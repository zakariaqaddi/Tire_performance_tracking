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partement-techniqu\OneDrive - Imperial pneu\Bureau\Codes\Projets\Projet Siége\"/>
    </mc:Choice>
  </mc:AlternateContent>
  <xr:revisionPtr revIDLastSave="0" documentId="13_ncr:1_{6BEF58B1-9E57-49B9-8B86-303185E1E6AB}" xr6:coauthVersionLast="47" xr6:coauthVersionMax="47" xr10:uidLastSave="{00000000-0000-0000-0000-000000000000}"/>
  <bookViews>
    <workbookView xWindow="-98" yWindow="-98" windowWidth="19396" windowHeight="10546" firstSheet="1" activeTab="1" xr2:uid="{00000000-000D-0000-FFFF-FFFF00000000}"/>
  </bookViews>
  <sheets>
    <sheet name="Data" sheetId="5" state="hidden" r:id="rId1"/>
    <sheet name="Fiche de suivi" sheetId="2" r:id="rId2"/>
    <sheet name="Historique" sheetId="3" r:id="rId3"/>
    <sheet name="Tableau de suivi" sheetId="4" r:id="rId4"/>
  </sheets>
  <externalReferences>
    <externalReference r:id="rId5"/>
  </externalReferences>
  <definedNames>
    <definedName name="_xlnm._FilterDatabase" localSheetId="0" hidden="1">Data!$A$1:$O$2570</definedName>
    <definedName name="config">[1]Sheet1!$C$2:$C$10</definedName>
    <definedName name="f_dim">OFFSET(p_dim,0,0,COUNTA(l_dim),1)</definedName>
    <definedName name="f_marque">OFFSET(p_marque,0,0,COUNTA(l_marque),1)</definedName>
    <definedName name="f_prof">OFFSET(p_prof,0,0,COUNTA(l_prof),1)</definedName>
    <definedName name="f_société">OFFSET(p_société,0,0,COUNTA(l_société),1)</definedName>
    <definedName name="l_dim">Data!$I:$I</definedName>
    <definedName name="l_marque">Data!$J:$J</definedName>
    <definedName name="l_prof">Data!$K:$K</definedName>
    <definedName name="l_société">Data!$N:$N</definedName>
    <definedName name="onoff">[1]Sheet1!$B$2:$B$9</definedName>
    <definedName name="p_dim">Data!$I$2</definedName>
    <definedName name="p_marque">Data!$J$2</definedName>
    <definedName name="p_prof">Data!$K$2</definedName>
    <definedName name="p_société">Data!$N$2</definedName>
    <definedName name="_xlnm.Print_Area" localSheetId="1">'Fiche de suivi'!$A$1:$CB$77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10" i="4" l="1"/>
  <c r="A809" i="4"/>
  <c r="A808" i="4"/>
  <c r="A807" i="4"/>
  <c r="A806" i="4"/>
  <c r="A805" i="4"/>
  <c r="A804" i="4"/>
  <c r="A803" i="4"/>
  <c r="A802" i="4"/>
  <c r="A801" i="4"/>
  <c r="A800" i="4"/>
  <c r="A799" i="4"/>
  <c r="A111" i="3"/>
  <c r="A798" i="4" l="1"/>
  <c r="A797" i="4"/>
  <c r="A796" i="4"/>
  <c r="A795" i="4"/>
  <c r="A794" i="4"/>
  <c r="A793" i="4"/>
  <c r="A110" i="3"/>
  <c r="A792" i="4" l="1"/>
  <c r="A791" i="4"/>
  <c r="A790" i="4"/>
  <c r="A789" i="4"/>
  <c r="A109" i="3"/>
  <c r="A788" i="4" l="1"/>
  <c r="A787" i="4"/>
  <c r="A786" i="4"/>
  <c r="A785" i="4"/>
  <c r="A784" i="4"/>
  <c r="A783" i="4"/>
  <c r="A108" i="3"/>
  <c r="A782" i="4" l="1"/>
  <c r="A781" i="4"/>
  <c r="A780" i="4"/>
  <c r="A779" i="4"/>
  <c r="A778" i="4"/>
  <c r="A777" i="4"/>
  <c r="A776" i="4"/>
  <c r="A107" i="3"/>
  <c r="A775" i="4" l="1"/>
  <c r="A774" i="4"/>
  <c r="A773" i="4"/>
  <c r="A772" i="4"/>
  <c r="A771" i="4"/>
  <c r="A770" i="4"/>
  <c r="A769" i="4"/>
  <c r="A106" i="3"/>
  <c r="A765" i="4" l="1"/>
  <c r="A768" i="4"/>
  <c r="A767" i="4"/>
  <c r="A766" i="4"/>
  <c r="A764" i="4"/>
  <c r="A105" i="3"/>
  <c r="A763" i="4" l="1"/>
  <c r="A762" i="4"/>
  <c r="A761" i="4"/>
  <c r="A760" i="4"/>
  <c r="A759" i="4"/>
  <c r="A758" i="4"/>
  <c r="A757" i="4"/>
  <c r="A104" i="3"/>
  <c r="A756" i="4" l="1"/>
  <c r="A755" i="4"/>
  <c r="A754" i="4"/>
  <c r="A753" i="4"/>
  <c r="A752" i="4"/>
  <c r="A751" i="4"/>
  <c r="A103" i="3"/>
  <c r="A750" i="4" l="1"/>
  <c r="A749" i="4"/>
  <c r="A748" i="4"/>
  <c r="A747" i="4"/>
  <c r="A746" i="4"/>
  <c r="A745" i="4"/>
  <c r="A744" i="4"/>
  <c r="A102" i="3"/>
  <c r="A743" i="4" l="1"/>
  <c r="A742" i="4"/>
  <c r="A741" i="4"/>
  <c r="A740" i="4"/>
  <c r="A739" i="4"/>
  <c r="A738" i="4"/>
  <c r="A737" i="4"/>
  <c r="A101" i="3"/>
  <c r="A736" i="4" l="1"/>
  <c r="A735" i="4"/>
  <c r="A734" i="4"/>
  <c r="A733" i="4"/>
  <c r="A732" i="4"/>
  <c r="A731" i="4"/>
  <c r="A100" i="3"/>
  <c r="A730" i="4" l="1"/>
  <c r="A729" i="4"/>
  <c r="A728" i="4"/>
  <c r="A727" i="4"/>
  <c r="A726" i="4"/>
  <c r="A725" i="4"/>
  <c r="A99" i="3"/>
  <c r="A724" i="4" l="1"/>
  <c r="A723" i="4"/>
  <c r="A722" i="4"/>
  <c r="A721" i="4"/>
  <c r="A720" i="4"/>
  <c r="A719" i="4"/>
  <c r="A98" i="3"/>
  <c r="A718" i="4" l="1"/>
  <c r="A717" i="4"/>
  <c r="A716" i="4"/>
  <c r="A715" i="4"/>
  <c r="A714" i="4"/>
  <c r="A713" i="4"/>
  <c r="A712" i="4"/>
  <c r="A711" i="4"/>
  <c r="A710" i="4"/>
  <c r="A709" i="4"/>
  <c r="A708" i="4"/>
  <c r="A707" i="4"/>
  <c r="A706" i="4"/>
  <c r="A97" i="3"/>
  <c r="A705" i="4" l="1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96" i="3"/>
  <c r="A691" i="4"/>
  <c r="A690" i="4"/>
  <c r="A689" i="4"/>
  <c r="A688" i="4"/>
  <c r="A687" i="4"/>
  <c r="A686" i="4"/>
  <c r="A95" i="3"/>
  <c r="A685" i="4" l="1"/>
  <c r="A684" i="4"/>
  <c r="A683" i="4"/>
  <c r="A682" i="4"/>
  <c r="A681" i="4"/>
  <c r="A680" i="4"/>
  <c r="A94" i="3"/>
  <c r="A679" i="4" l="1"/>
  <c r="A678" i="4"/>
  <c r="A677" i="4"/>
  <c r="A676" i="4"/>
  <c r="A675" i="4"/>
  <c r="A674" i="4"/>
  <c r="A673" i="4"/>
  <c r="A93" i="3"/>
  <c r="A672" i="4" l="1"/>
  <c r="A671" i="4"/>
  <c r="A670" i="4"/>
  <c r="A669" i="4"/>
  <c r="A668" i="4"/>
  <c r="A667" i="4"/>
  <c r="A92" i="3"/>
  <c r="A666" i="4" l="1"/>
  <c r="A665" i="4"/>
  <c r="A664" i="4"/>
  <c r="A663" i="4"/>
  <c r="A662" i="4"/>
  <c r="A661" i="4"/>
  <c r="A660" i="4"/>
  <c r="A91" i="3"/>
  <c r="A659" i="4" l="1"/>
  <c r="A658" i="4"/>
  <c r="A657" i="4"/>
  <c r="A656" i="4"/>
  <c r="A655" i="4"/>
  <c r="A654" i="4"/>
  <c r="A90" i="3"/>
  <c r="A653" i="4" l="1"/>
  <c r="A652" i="4"/>
  <c r="A651" i="4"/>
  <c r="A650" i="4"/>
  <c r="A649" i="4"/>
  <c r="A648" i="4"/>
  <c r="A647" i="4"/>
  <c r="A89" i="3"/>
  <c r="A646" i="4" l="1"/>
  <c r="A645" i="4"/>
  <c r="A644" i="4"/>
  <c r="A643" i="4"/>
  <c r="A642" i="4"/>
  <c r="A641" i="4"/>
  <c r="A88" i="3"/>
  <c r="A640" i="4" l="1"/>
  <c r="A639" i="4"/>
  <c r="A638" i="4"/>
  <c r="A637" i="4"/>
  <c r="A87" i="3"/>
  <c r="A636" i="4" l="1"/>
  <c r="A635" i="4"/>
  <c r="A634" i="4"/>
  <c r="A633" i="4"/>
  <c r="A632" i="4"/>
  <c r="A631" i="4"/>
  <c r="A630" i="4"/>
  <c r="A86" i="3"/>
  <c r="A629" i="4" l="1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85" i="3"/>
  <c r="A615" i="4" l="1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84" i="3"/>
  <c r="A601" i="4" l="1"/>
  <c r="A600" i="4"/>
  <c r="A599" i="4"/>
  <c r="A598" i="4"/>
  <c r="A597" i="4"/>
  <c r="A596" i="4"/>
  <c r="A595" i="4"/>
  <c r="A83" i="3"/>
  <c r="A594" i="4" l="1"/>
  <c r="A593" i="4"/>
  <c r="A592" i="4"/>
  <c r="A591" i="4"/>
  <c r="A590" i="4"/>
  <c r="A589" i="4"/>
  <c r="A588" i="4"/>
  <c r="A587" i="4"/>
  <c r="A586" i="4"/>
  <c r="A585" i="4"/>
  <c r="A584" i="4"/>
  <c r="A583" i="4"/>
  <c r="A582" i="4"/>
  <c r="A82" i="3"/>
  <c r="A81" i="3" l="1"/>
  <c r="A581" i="4" l="1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80" i="3"/>
  <c r="A567" i="4" l="1"/>
  <c r="A566" i="4"/>
  <c r="A565" i="4"/>
  <c r="A564" i="4"/>
  <c r="A563" i="4"/>
  <c r="A562" i="4"/>
  <c r="A561" i="4"/>
  <c r="A560" i="4"/>
  <c r="A559" i="4"/>
  <c r="A558" i="4"/>
  <c r="A557" i="4"/>
  <c r="A556" i="4"/>
  <c r="A555" i="4"/>
  <c r="A79" i="3"/>
  <c r="A554" i="4" l="1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78" i="3"/>
  <c r="A540" i="4" l="1"/>
  <c r="A539" i="4"/>
  <c r="A538" i="4"/>
  <c r="A537" i="4"/>
  <c r="A536" i="4"/>
  <c r="A535" i="4"/>
  <c r="A534" i="4"/>
  <c r="A77" i="3"/>
  <c r="A533" i="4" l="1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76" i="3"/>
  <c r="A75" i="3" l="1"/>
  <c r="A519" i="4"/>
  <c r="A518" i="4"/>
  <c r="A517" i="4"/>
  <c r="A516" i="4"/>
  <c r="A515" i="4"/>
  <c r="A514" i="4"/>
  <c r="A513" i="4"/>
  <c r="A74" i="3"/>
  <c r="A512" i="4"/>
  <c r="A511" i="4"/>
  <c r="A510" i="4"/>
  <c r="A509" i="4"/>
  <c r="A508" i="4"/>
  <c r="A507" i="4"/>
  <c r="A506" i="4"/>
  <c r="A73" i="3"/>
  <c r="A505" i="4" l="1"/>
  <c r="A504" i="4"/>
  <c r="A503" i="4"/>
  <c r="A502" i="4"/>
  <c r="A501" i="4"/>
  <c r="A500" i="4"/>
  <c r="A499" i="4"/>
  <c r="A72" i="3"/>
  <c r="A498" i="4" l="1"/>
  <c r="A497" i="4"/>
  <c r="A496" i="4"/>
  <c r="A495" i="4"/>
  <c r="A494" i="4"/>
  <c r="A493" i="4"/>
  <c r="A492" i="4"/>
  <c r="A71" i="3"/>
  <c r="A491" i="4" l="1"/>
  <c r="A490" i="4"/>
  <c r="A489" i="4"/>
  <c r="A488" i="4"/>
  <c r="A487" i="4"/>
  <c r="A486" i="4"/>
  <c r="A485" i="4"/>
  <c r="A70" i="3"/>
  <c r="A484" i="4" l="1"/>
  <c r="A483" i="4"/>
  <c r="A482" i="4"/>
  <c r="A481" i="4"/>
  <c r="A480" i="4"/>
  <c r="A479" i="4"/>
  <c r="A478" i="4"/>
  <c r="A69" i="3"/>
  <c r="A477" i="4" l="1"/>
  <c r="A476" i="4"/>
  <c r="A475" i="4"/>
  <c r="A474" i="4"/>
  <c r="A473" i="4"/>
  <c r="A472" i="4"/>
  <c r="A471" i="4"/>
  <c r="A68" i="3"/>
  <c r="A470" i="4" l="1"/>
  <c r="A469" i="4"/>
  <c r="A468" i="4"/>
  <c r="A467" i="4"/>
  <c r="A466" i="4"/>
  <c r="A465" i="4"/>
  <c r="A67" i="3"/>
  <c r="A464" i="4" l="1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66" i="3"/>
  <c r="A450" i="4" l="1"/>
  <c r="A449" i="4"/>
  <c r="A448" i="4"/>
  <c r="A447" i="4"/>
  <c r="A446" i="4"/>
  <c r="A445" i="4"/>
  <c r="A444" i="4"/>
  <c r="A443" i="4"/>
  <c r="A442" i="4"/>
  <c r="A65" i="3"/>
  <c r="A441" i="4"/>
  <c r="A440" i="4"/>
  <c r="A439" i="4"/>
  <c r="A438" i="4"/>
  <c r="A437" i="4"/>
  <c r="A436" i="4"/>
  <c r="A435" i="4"/>
  <c r="A64" i="3"/>
  <c r="A434" i="4" l="1"/>
  <c r="A433" i="4"/>
  <c r="A432" i="4"/>
  <c r="A431" i="4"/>
  <c r="A430" i="4"/>
  <c r="A429" i="4"/>
  <c r="A428" i="4"/>
  <c r="A427" i="4"/>
  <c r="A426" i="4"/>
  <c r="A425" i="4"/>
  <c r="A424" i="4"/>
  <c r="A423" i="4"/>
  <c r="A422" i="4"/>
  <c r="A63" i="3"/>
  <c r="A421" i="4"/>
  <c r="A420" i="4"/>
  <c r="A419" i="4"/>
  <c r="A418" i="4"/>
  <c r="A417" i="4"/>
  <c r="A416" i="4"/>
  <c r="A415" i="4"/>
  <c r="A62" i="3"/>
  <c r="A414" i="4" l="1"/>
  <c r="A413" i="4"/>
  <c r="A412" i="4"/>
  <c r="A411" i="4"/>
  <c r="A410" i="4"/>
  <c r="A409" i="4"/>
  <c r="A408" i="4"/>
  <c r="A61" i="3"/>
  <c r="A407" i="4" l="1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60" i="3"/>
  <c r="A59" i="3" l="1"/>
  <c r="A58" i="3" l="1"/>
  <c r="A392" i="4" l="1"/>
  <c r="A391" i="4"/>
  <c r="A390" i="4"/>
  <c r="A389" i="4"/>
  <c r="A388" i="4"/>
  <c r="A387" i="4"/>
  <c r="A386" i="4"/>
  <c r="A385" i="4"/>
  <c r="A384" i="4"/>
  <c r="A383" i="4"/>
  <c r="A382" i="4"/>
  <c r="A381" i="4"/>
  <c r="A380" i="4"/>
  <c r="A57" i="3"/>
  <c r="A379" i="4" l="1"/>
  <c r="A378" i="4"/>
  <c r="A377" i="4"/>
  <c r="A376" i="4"/>
  <c r="A375" i="4"/>
  <c r="A374" i="4"/>
  <c r="A373" i="4"/>
  <c r="A372" i="4"/>
  <c r="A371" i="4"/>
  <c r="A370" i="4"/>
  <c r="A369" i="4"/>
  <c r="A368" i="4"/>
  <c r="A367" i="4"/>
  <c r="A56" i="3"/>
  <c r="A55" i="3" l="1"/>
  <c r="A366" i="4" l="1"/>
  <c r="A365" i="4"/>
  <c r="A364" i="4"/>
  <c r="A363" i="4"/>
  <c r="A362" i="4"/>
  <c r="A361" i="4"/>
  <c r="A360" i="4"/>
  <c r="A359" i="4"/>
  <c r="A358" i="4"/>
  <c r="A357" i="4"/>
  <c r="A356" i="4"/>
  <c r="A355" i="4"/>
  <c r="A354" i="4"/>
  <c r="A54" i="3"/>
  <c r="A353" i="4" l="1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53" i="3"/>
  <c r="A328" i="4" l="1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52" i="3"/>
  <c r="A51" i="3" l="1"/>
  <c r="A300" i="4" l="1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50" i="3"/>
  <c r="A272" i="4" l="1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49" i="3"/>
  <c r="A245" i="4" l="1"/>
  <c r="A244" i="4"/>
  <c r="A243" i="4"/>
  <c r="A242" i="4"/>
  <c r="A241" i="4"/>
  <c r="A240" i="4"/>
  <c r="A239" i="4"/>
  <c r="A238" i="4"/>
  <c r="A237" i="4"/>
  <c r="A236" i="4"/>
  <c r="A235" i="4"/>
  <c r="A234" i="4"/>
  <c r="A233" i="4"/>
  <c r="A48" i="3"/>
  <c r="A232" i="4" l="1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47" i="3"/>
  <c r="A204" i="4" l="1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46" i="3"/>
  <c r="A189" i="4" l="1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45" i="3"/>
  <c r="A161" i="4" l="1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44" i="3"/>
  <c r="A138" i="4" l="1"/>
  <c r="A137" i="4"/>
  <c r="A136" i="4"/>
  <c r="A135" i="4"/>
  <c r="A134" i="4"/>
  <c r="A133" i="4"/>
  <c r="A132" i="4"/>
  <c r="A131" i="4"/>
  <c r="A130" i="4"/>
  <c r="A129" i="4"/>
  <c r="A128" i="4"/>
  <c r="A43" i="3"/>
  <c r="A127" i="4" l="1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42" i="3"/>
  <c r="A99" i="4" l="1"/>
  <c r="A98" i="4"/>
  <c r="A97" i="4"/>
  <c r="A96" i="4"/>
  <c r="A95" i="4"/>
  <c r="A94" i="4"/>
  <c r="A93" i="4"/>
  <c r="A92" i="4"/>
  <c r="A91" i="4"/>
  <c r="A90" i="4"/>
  <c r="A89" i="4"/>
  <c r="A88" i="4"/>
  <c r="A87" i="4"/>
  <c r="A41" i="3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40" i="3"/>
  <c r="A71" i="4" l="1"/>
  <c r="A70" i="4"/>
  <c r="A69" i="4"/>
  <c r="A68" i="4"/>
  <c r="A67" i="4"/>
  <c r="A66" i="4"/>
  <c r="A65" i="4"/>
  <c r="A64" i="4"/>
  <c r="A63" i="4"/>
  <c r="A62" i="4"/>
  <c r="A61" i="4"/>
  <c r="A60" i="4"/>
  <c r="A59" i="4"/>
  <c r="A39" i="3"/>
  <c r="A58" i="4" l="1"/>
  <c r="A57" i="4"/>
  <c r="A56" i="4"/>
  <c r="A55" i="4"/>
  <c r="A54" i="4"/>
  <c r="A53" i="4"/>
  <c r="A52" i="4"/>
  <c r="A38" i="3"/>
  <c r="A51" i="4" l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37" i="3"/>
  <c r="A36" i="3" l="1"/>
  <c r="A23" i="4"/>
  <c r="A35" i="3"/>
  <c r="J10" i="2" l="1"/>
  <c r="A34" i="3"/>
  <c r="A22" i="4"/>
  <c r="A21" i="4"/>
  <c r="A33" i="3"/>
  <c r="A20" i="4"/>
  <c r="A19" i="4"/>
  <c r="A18" i="4"/>
  <c r="A32" i="3"/>
  <c r="A17" i="4"/>
  <c r="A31" i="3"/>
  <c r="A16" i="4"/>
  <c r="A30" i="3"/>
  <c r="A15" i="4"/>
  <c r="A29" i="3"/>
  <c r="A28" i="3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A14" i="4" l="1"/>
  <c r="A27" i="3"/>
  <c r="A26" i="3"/>
  <c r="A25" i="3"/>
  <c r="A13" i="4"/>
  <c r="A24" i="3"/>
  <c r="A12" i="4"/>
  <c r="A23" i="3"/>
  <c r="A11" i="4"/>
  <c r="A22" i="3"/>
  <c r="A10" i="4"/>
  <c r="A21" i="3"/>
  <c r="A9" i="4"/>
  <c r="A20" i="3"/>
  <c r="A8" i="4"/>
  <c r="A19" i="3"/>
  <c r="A7" i="4"/>
  <c r="A18" i="3"/>
  <c r="A6" i="4"/>
  <c r="A17" i="3"/>
  <c r="A5" i="4" l="1"/>
  <c r="A16" i="3"/>
  <c r="A4" i="4"/>
  <c r="A15" i="3"/>
  <c r="A3" i="4"/>
  <c r="A14" i="3"/>
  <c r="A13" i="3"/>
  <c r="A2" i="4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<sst xmlns="http://schemas.openxmlformats.org/spreadsheetml/2006/main" count="21798" uniqueCount="6446">
  <si>
    <t>Nom de la société</t>
  </si>
  <si>
    <t>FICHE DE SUIVI</t>
  </si>
  <si>
    <t>N° Série</t>
  </si>
  <si>
    <t>Dimension</t>
  </si>
  <si>
    <t xml:space="preserve">Ville : </t>
  </si>
  <si>
    <t xml:space="preserve">Nom de la société : </t>
  </si>
  <si>
    <t xml:space="preserve">Tél : </t>
  </si>
  <si>
    <t>Pression</t>
  </si>
  <si>
    <t>Profil</t>
  </si>
  <si>
    <t xml:space="preserve">Nom du chauffeur : </t>
  </si>
  <si>
    <t xml:space="preserve">Remarques et Recommandations : </t>
  </si>
  <si>
    <t>Sahara logistics</t>
  </si>
  <si>
    <t xml:space="preserve">1-B-1 </t>
  </si>
  <si>
    <t>NO</t>
  </si>
  <si>
    <t xml:space="preserve">Marque de la véhicule </t>
  </si>
  <si>
    <t>Ville</t>
  </si>
  <si>
    <t>Nom du chauffeur</t>
  </si>
  <si>
    <t>Tél</t>
  </si>
  <si>
    <t>Date</t>
  </si>
  <si>
    <t>dddd</t>
  </si>
  <si>
    <t>04-12-2021</t>
  </si>
  <si>
    <t xml:space="preserve">2234-B-1 </t>
  </si>
  <si>
    <t>sssss</t>
  </si>
  <si>
    <t>13-03-2021</t>
  </si>
  <si>
    <t>sssssz</t>
  </si>
  <si>
    <t>kkkkaaaaaa</t>
  </si>
  <si>
    <t>L</t>
  </si>
  <si>
    <t>LL</t>
  </si>
  <si>
    <t>eeeee</t>
  </si>
  <si>
    <t>LLx</t>
  </si>
  <si>
    <t>x</t>
  </si>
  <si>
    <t>Logitrans</t>
  </si>
  <si>
    <t>02-02-2020</t>
  </si>
  <si>
    <t>Opérateur</t>
  </si>
  <si>
    <t>Configuration</t>
  </si>
  <si>
    <t>Imm/N°pTRc</t>
  </si>
  <si>
    <t>Marque</t>
  </si>
  <si>
    <t>Date de montage</t>
  </si>
  <si>
    <t>Position</t>
  </si>
  <si>
    <t>Km de montage</t>
  </si>
  <si>
    <t>No</t>
  </si>
  <si>
    <t>P1</t>
  </si>
  <si>
    <t>P2</t>
  </si>
  <si>
    <t>P3</t>
  </si>
  <si>
    <t>ON-OFF :</t>
  </si>
  <si>
    <t xml:space="preserve">Pression </t>
  </si>
  <si>
    <t>03-02-2020</t>
  </si>
  <si>
    <t>AVG</t>
  </si>
  <si>
    <t>sak</t>
  </si>
  <si>
    <t>sakaaaa</t>
  </si>
  <si>
    <t>10&amp;000</t>
  </si>
  <si>
    <t>03-03-2020</t>
  </si>
  <si>
    <t>10&amp;eee000</t>
  </si>
  <si>
    <t>Logimag</t>
  </si>
  <si>
    <t>60-40</t>
  </si>
  <si>
    <t xml:space="preserve">Brahim </t>
  </si>
  <si>
    <t>Casabblanca</t>
  </si>
  <si>
    <t xml:space="preserve">Volvo </t>
  </si>
  <si>
    <t>4X2</t>
  </si>
  <si>
    <t>Benne</t>
  </si>
  <si>
    <t>04-03-2020</t>
  </si>
  <si>
    <t>Status</t>
  </si>
  <si>
    <t>somaca</t>
  </si>
  <si>
    <t>02-03-2020</t>
  </si>
  <si>
    <t>08-08-2021</t>
  </si>
  <si>
    <t>New</t>
  </si>
  <si>
    <t>DOT</t>
  </si>
  <si>
    <t xml:space="preserve">Configuration : </t>
  </si>
  <si>
    <t>Opération</t>
  </si>
  <si>
    <t>ON-OFF</t>
  </si>
  <si>
    <t>AUTO CAR</t>
  </si>
  <si>
    <t>100-0</t>
  </si>
  <si>
    <t>4x2</t>
  </si>
  <si>
    <t>PORTEUR</t>
  </si>
  <si>
    <t>80-20</t>
  </si>
  <si>
    <t>4x2 - 3ES</t>
  </si>
  <si>
    <t>CONTENEUR</t>
  </si>
  <si>
    <t>4x2 - 2ES</t>
  </si>
  <si>
    <t>BENNE</t>
  </si>
  <si>
    <t>50-50</t>
  </si>
  <si>
    <t>6x4</t>
  </si>
  <si>
    <t>PLATEAU</t>
  </si>
  <si>
    <t>40-60</t>
  </si>
  <si>
    <t>6x4 - 2ES</t>
  </si>
  <si>
    <t>DES ORDURES</t>
  </si>
  <si>
    <t>20-80</t>
  </si>
  <si>
    <t>6x4 - 3ES</t>
  </si>
  <si>
    <t>AUTO BUS</t>
  </si>
  <si>
    <t>90-10</t>
  </si>
  <si>
    <t>8x4</t>
  </si>
  <si>
    <t>FRIGORIFIQUES</t>
  </si>
  <si>
    <t>0-100</t>
  </si>
  <si>
    <t>2ES</t>
  </si>
  <si>
    <t>CITERNE</t>
  </si>
  <si>
    <t>3ES</t>
  </si>
  <si>
    <t>SCOOP CHARGEUSE</t>
  </si>
  <si>
    <t>VOITURE TOURISME</t>
  </si>
  <si>
    <t>CAMIONNETTE</t>
  </si>
  <si>
    <t>CHARGEUSE</t>
  </si>
  <si>
    <t>PORTE-VEHICULE</t>
  </si>
  <si>
    <t>TRACTEUR</t>
  </si>
  <si>
    <t>TOLE</t>
  </si>
  <si>
    <t>BACHEE</t>
  </si>
  <si>
    <t xml:space="preserve">Opérateur : </t>
  </si>
  <si>
    <t>OTD</t>
  </si>
  <si>
    <t>GOODYEAR</t>
  </si>
  <si>
    <t>11R22,5</t>
  </si>
  <si>
    <t>RHSII</t>
  </si>
  <si>
    <t>12.00R20</t>
  </si>
  <si>
    <t>MSSII</t>
  </si>
  <si>
    <t>17.4</t>
  </si>
  <si>
    <t>KELLY</t>
  </si>
  <si>
    <t>KMS</t>
  </si>
  <si>
    <t>12.00R24</t>
  </si>
  <si>
    <t>MSDII</t>
  </si>
  <si>
    <t>BRIDGESTONE</t>
  </si>
  <si>
    <t>12R22,5</t>
  </si>
  <si>
    <t>R250</t>
  </si>
  <si>
    <t>TOYO</t>
  </si>
  <si>
    <t>M111z</t>
  </si>
  <si>
    <t xml:space="preserve">15.5 </t>
  </si>
  <si>
    <t>M87z</t>
  </si>
  <si>
    <t>DUNLOP</t>
  </si>
  <si>
    <t>13R22,5</t>
  </si>
  <si>
    <t>SP382</t>
  </si>
  <si>
    <t>MSS</t>
  </si>
  <si>
    <t>185/65R15</t>
  </si>
  <si>
    <t>LM704</t>
  </si>
  <si>
    <t>195/65R15</t>
  </si>
  <si>
    <t>205/75R17.5</t>
  </si>
  <si>
    <t>215/75R17,5</t>
  </si>
  <si>
    <t>M1430</t>
  </si>
  <si>
    <t>245/70R17,5</t>
  </si>
  <si>
    <t>RHTII</t>
  </si>
  <si>
    <t>295/80R22,5</t>
  </si>
  <si>
    <t>R-Steer001</t>
  </si>
  <si>
    <t>CONTINENTAL</t>
  </si>
  <si>
    <t>HS3</t>
  </si>
  <si>
    <t>COACH</t>
  </si>
  <si>
    <t>LHSII</t>
  </si>
  <si>
    <t>LHSII+</t>
  </si>
  <si>
    <t>15.7</t>
  </si>
  <si>
    <t>AUSTONE</t>
  </si>
  <si>
    <t>315/80R22,5</t>
  </si>
  <si>
    <t>AT127</t>
  </si>
  <si>
    <t>M729z</t>
  </si>
  <si>
    <t>M749</t>
  </si>
  <si>
    <t>M840</t>
  </si>
  <si>
    <t>R152GZ</t>
  </si>
  <si>
    <t>R184</t>
  </si>
  <si>
    <t>R249</t>
  </si>
  <si>
    <t>R-Drive001</t>
  </si>
  <si>
    <t>SP344</t>
  </si>
  <si>
    <t>SP444</t>
  </si>
  <si>
    <t>FULDA</t>
  </si>
  <si>
    <t>Ecocontrol 2</t>
  </si>
  <si>
    <t>Ecoforce 2</t>
  </si>
  <si>
    <t>FUELMAX D</t>
  </si>
  <si>
    <t>KAMAX D</t>
  </si>
  <si>
    <t>KAMAX S</t>
  </si>
  <si>
    <t>LHDII</t>
  </si>
  <si>
    <t>RHDII</t>
  </si>
  <si>
    <t>RHDII+</t>
  </si>
  <si>
    <t>KDM+</t>
  </si>
  <si>
    <t>MICHELIN</t>
  </si>
  <si>
    <t>XDE</t>
  </si>
  <si>
    <t>XZE</t>
  </si>
  <si>
    <t>M170</t>
  </si>
  <si>
    <t>16.5</t>
  </si>
  <si>
    <t>M632</t>
  </si>
  <si>
    <t xml:space="preserve">22.4 </t>
  </si>
  <si>
    <t>HSC1 ED</t>
  </si>
  <si>
    <t>358/65R22,5</t>
  </si>
  <si>
    <t>385/65R22,5</t>
  </si>
  <si>
    <t>R168</t>
  </si>
  <si>
    <t>SP244</t>
  </si>
  <si>
    <t>Ecotonn+</t>
  </si>
  <si>
    <t>KTR</t>
  </si>
  <si>
    <t>SAVA</t>
  </si>
  <si>
    <t>CARGOC3</t>
  </si>
  <si>
    <t>LASSA</t>
  </si>
  <si>
    <t>8.5R17,5</t>
  </si>
  <si>
    <t>LSR</t>
  </si>
  <si>
    <t>9,5R17,5</t>
  </si>
  <si>
    <t>SP261</t>
  </si>
  <si>
    <t>385/55R22,5</t>
  </si>
  <si>
    <t>SP320</t>
  </si>
  <si>
    <t>SP350A</t>
  </si>
  <si>
    <t>315/70R22,5</t>
  </si>
  <si>
    <t>SP442</t>
  </si>
  <si>
    <t>SP835</t>
  </si>
  <si>
    <t>10R22,5</t>
  </si>
  <si>
    <t>SP160</t>
  </si>
  <si>
    <t>SP931</t>
  </si>
  <si>
    <t>SP571</t>
  </si>
  <si>
    <t>SP925</t>
  </si>
  <si>
    <t>325/95R24</t>
  </si>
  <si>
    <t>LHDII+</t>
  </si>
  <si>
    <t>265/70R19,5</t>
  </si>
  <si>
    <t>M61z</t>
  </si>
  <si>
    <t>315/60R22,5</t>
  </si>
  <si>
    <t>1200R24</t>
  </si>
  <si>
    <t>VAN01</t>
  </si>
  <si>
    <t>185/65R14</t>
  </si>
  <si>
    <t>LINGLONG</t>
  </si>
  <si>
    <t>D960</t>
  </si>
  <si>
    <t>20.5R25</t>
  </si>
  <si>
    <t>RL-5K L5</t>
  </si>
  <si>
    <t>23.5R25</t>
  </si>
  <si>
    <t>18.00R25</t>
  </si>
  <si>
    <t>ORD</t>
  </si>
  <si>
    <t>SP321</t>
  </si>
  <si>
    <t>RECHAPE</t>
  </si>
  <si>
    <t>RHS230</t>
  </si>
  <si>
    <t>MATADOR</t>
  </si>
  <si>
    <t>FH1</t>
  </si>
  <si>
    <t>HSU</t>
  </si>
  <si>
    <t>PIRELLI</t>
  </si>
  <si>
    <t>FR01</t>
  </si>
  <si>
    <t>HDR2ED</t>
  </si>
  <si>
    <t>HSR2ED</t>
  </si>
  <si>
    <t>HTR2ED</t>
  </si>
  <si>
    <t>X WORKS D</t>
  </si>
  <si>
    <t>XDA+N</t>
  </si>
  <si>
    <t>XZA2+</t>
  </si>
  <si>
    <t>KORMORAN</t>
  </si>
  <si>
    <t>F</t>
  </si>
  <si>
    <t>FG01</t>
  </si>
  <si>
    <t>285/70R19,5</t>
  </si>
  <si>
    <t>LHTII</t>
  </si>
  <si>
    <t>SEMPERIT</t>
  </si>
  <si>
    <t>M470</t>
  </si>
  <si>
    <t>TQ99</t>
  </si>
  <si>
    <t>VARIOFORCE</t>
  </si>
  <si>
    <t>XDA2+</t>
  </si>
  <si>
    <t>XD ALL ROADS</t>
  </si>
  <si>
    <t>XDE2+</t>
  </si>
  <si>
    <t>X MULTIWAY XZE</t>
  </si>
  <si>
    <t>X WORKS Z</t>
  </si>
  <si>
    <t>XZ ALL ROADS</t>
  </si>
  <si>
    <t>XZH 2R</t>
  </si>
  <si>
    <t>TRIANGLE</t>
  </si>
  <si>
    <t>TR669</t>
  </si>
  <si>
    <t>TB516 L3</t>
  </si>
  <si>
    <t>TB516 L5</t>
  </si>
  <si>
    <t>TECHKING</t>
  </si>
  <si>
    <t>ETD2S L5</t>
  </si>
  <si>
    <t>LB01A L5</t>
  </si>
  <si>
    <t>FG88</t>
  </si>
  <si>
    <t>TG01</t>
  </si>
  <si>
    <t>LLA01</t>
  </si>
  <si>
    <t>LHD270</t>
  </si>
  <si>
    <t>RHS250</t>
  </si>
  <si>
    <t>M506</t>
  </si>
  <si>
    <t>HT3</t>
  </si>
  <si>
    <t>X LINE F</t>
  </si>
  <si>
    <t>G391</t>
  </si>
  <si>
    <t>195/75R16c</t>
  </si>
  <si>
    <t>conti van contact100</t>
  </si>
  <si>
    <t>195/75R16C</t>
  </si>
  <si>
    <t>AGILIS-X</t>
  </si>
  <si>
    <t>BFGOODRICHE</t>
  </si>
  <si>
    <t>ROUTE CONTROL</t>
  </si>
  <si>
    <t>X MULTIWAY 3D</t>
  </si>
  <si>
    <t>X LINE D</t>
  </si>
  <si>
    <t>LLD01</t>
  </si>
  <si>
    <t>215/75R16</t>
  </si>
  <si>
    <t>205/75R16C</t>
  </si>
  <si>
    <t>Dimension&amp;profil</t>
  </si>
  <si>
    <t>205/70R15C</t>
  </si>
  <si>
    <t>195/60R16C</t>
  </si>
  <si>
    <t>195/70R15C</t>
  </si>
  <si>
    <t>8,5R17,5</t>
  </si>
  <si>
    <t>SUMITOMO</t>
  </si>
  <si>
    <t>265/65R17</t>
  </si>
  <si>
    <t>275/80R22</t>
  </si>
  <si>
    <t>265/70R17,5</t>
  </si>
  <si>
    <t>8,5R175</t>
  </si>
  <si>
    <t>205/75R17,5</t>
  </si>
  <si>
    <t>KUMHO</t>
  </si>
  <si>
    <t>HANKOOK</t>
  </si>
  <si>
    <t>CHENGCHAN</t>
  </si>
  <si>
    <t>Dunlop</t>
  </si>
  <si>
    <t>10,00R20</t>
  </si>
  <si>
    <t>235/75R17,5</t>
  </si>
  <si>
    <t>275/80R22,5</t>
  </si>
  <si>
    <t>11,00R22</t>
  </si>
  <si>
    <t>11,00R20</t>
  </si>
  <si>
    <t>SP350</t>
  </si>
  <si>
    <t>325/95R22,5</t>
  </si>
  <si>
    <t>12,00R24</t>
  </si>
  <si>
    <t>13R20</t>
  </si>
  <si>
    <t>12,00R22,5</t>
  </si>
  <si>
    <t>225/80R17,5</t>
  </si>
  <si>
    <t>7,50R16</t>
  </si>
  <si>
    <t>275/70R22,5</t>
  </si>
  <si>
    <t>9R22,5</t>
  </si>
  <si>
    <t>9,00R20</t>
  </si>
  <si>
    <t>245/70R19,5</t>
  </si>
  <si>
    <t>7,50R18</t>
  </si>
  <si>
    <t>8,25R16</t>
  </si>
  <si>
    <t>10,00R15</t>
  </si>
  <si>
    <t>SP446</t>
  </si>
  <si>
    <t>SP247</t>
  </si>
  <si>
    <t>Autre</t>
  </si>
  <si>
    <t>Compteur</t>
  </si>
  <si>
    <t>P22</t>
  </si>
  <si>
    <t xml:space="preserve">Type de visite : </t>
  </si>
  <si>
    <t xml:space="preserve">Type de visiste </t>
  </si>
  <si>
    <t>Type de visite</t>
  </si>
  <si>
    <t xml:space="preserve">Montage </t>
  </si>
  <si>
    <t xml:space="preserve">Contrôle </t>
  </si>
  <si>
    <t xml:space="preserve">Service </t>
  </si>
  <si>
    <t>Code</t>
  </si>
  <si>
    <t>Raison Sociale</t>
  </si>
  <si>
    <t>VILLE</t>
  </si>
  <si>
    <t>CLR0001</t>
  </si>
  <si>
    <t>STE AL AKHMAS</t>
  </si>
  <si>
    <t>TANGER</t>
  </si>
  <si>
    <t>CLS1384</t>
  </si>
  <si>
    <t xml:space="preserve"> S. F. S. N.</t>
  </si>
  <si>
    <t>RABAT</t>
  </si>
  <si>
    <t>CLS0443</t>
  </si>
  <si>
    <t xml:space="preserve"> S.TOURISME</t>
  </si>
  <si>
    <t>MOHAMMEDIA</t>
  </si>
  <si>
    <t>CLS1396</t>
  </si>
  <si>
    <t xml:space="preserve"> T.H&amp;L</t>
  </si>
  <si>
    <t>MARRAKECH</t>
  </si>
  <si>
    <t>CLS1392</t>
  </si>
  <si>
    <t xml:space="preserve"> TALISMAN CAR</t>
  </si>
  <si>
    <t>CASABLANCA</t>
  </si>
  <si>
    <t>CLS0738</t>
  </si>
  <si>
    <t>(A NE PAS LIVRER ) BIG TRAVAUX</t>
  </si>
  <si>
    <t>BENI MELLAL</t>
  </si>
  <si>
    <t>CLT0295</t>
  </si>
  <si>
    <t>3HA TRANSPORT FRIGORIFIQUE</t>
  </si>
  <si>
    <t>AITMELLOUL</t>
  </si>
  <si>
    <t>CLT0572</t>
  </si>
  <si>
    <t>4 A LOGISTIC</t>
  </si>
  <si>
    <t>CLS0255</t>
  </si>
  <si>
    <t>A 2 R LOGISTIC</t>
  </si>
  <si>
    <t>TEMARA</t>
  </si>
  <si>
    <t>CLS1096</t>
  </si>
  <si>
    <t>A ANNULER</t>
  </si>
  <si>
    <t>AGADIR</t>
  </si>
  <si>
    <t>CLT0150</t>
  </si>
  <si>
    <t>A S T I</t>
  </si>
  <si>
    <t>CLS1409</t>
  </si>
  <si>
    <t>A.L.K. CONSULTING</t>
  </si>
  <si>
    <t>CLA0033</t>
  </si>
  <si>
    <t>A.N.L.C.A</t>
  </si>
  <si>
    <t>CLA0042</t>
  </si>
  <si>
    <t>A.R.E.P.T.T.A</t>
  </si>
  <si>
    <t>CLS0613</t>
  </si>
  <si>
    <t>A2TP</t>
  </si>
  <si>
    <t>CLS0052</t>
  </si>
  <si>
    <t>ABACOM</t>
  </si>
  <si>
    <t>CLS0334</t>
  </si>
  <si>
    <t>ABDA BATIMENT</t>
  </si>
  <si>
    <t>SAFI</t>
  </si>
  <si>
    <t>CLR0002</t>
  </si>
  <si>
    <t>GARAGE REZZOUKI</t>
  </si>
  <si>
    <t>CLR0003</t>
  </si>
  <si>
    <t>PNEUMATIQUE ANAJAH</t>
  </si>
  <si>
    <t>INEZGANE</t>
  </si>
  <si>
    <t>CLR0004</t>
  </si>
  <si>
    <t>C T P D</t>
  </si>
  <si>
    <t>CLT0428</t>
  </si>
  <si>
    <t>ABDELMOATAZ TRANS</t>
  </si>
  <si>
    <t>CLT0279</t>
  </si>
  <si>
    <t>ABEL TRANS</t>
  </si>
  <si>
    <t>CLR0005</t>
  </si>
  <si>
    <t>ISMAIL ZAOUI</t>
  </si>
  <si>
    <t>MAROC</t>
  </si>
  <si>
    <t>CLT0448</t>
  </si>
  <si>
    <t>ABONPORT</t>
  </si>
  <si>
    <t>CLS1012</t>
  </si>
  <si>
    <t>ABOU MOHAMED GHALI</t>
  </si>
  <si>
    <t>CLR0006</t>
  </si>
  <si>
    <t>PNEUMATIQUE AL MAJD TEMARA</t>
  </si>
  <si>
    <t>CLT0451</t>
  </si>
  <si>
    <t>ABS PETRO SERVICE</t>
  </si>
  <si>
    <t>CLT0323</t>
  </si>
  <si>
    <t>ABS TRANS</t>
  </si>
  <si>
    <t>CLS0040</t>
  </si>
  <si>
    <t>ABSABETON</t>
  </si>
  <si>
    <t>CLT0363</t>
  </si>
  <si>
    <t>AC TRANSPORT ET LOGISTIQUE</t>
  </si>
  <si>
    <t>CLS0733</t>
  </si>
  <si>
    <t>ACADEMIE FRANCIS VALERY</t>
  </si>
  <si>
    <t>CLS0635</t>
  </si>
  <si>
    <t>ACADEMIE SCOLAIRE LAHLOU</t>
  </si>
  <si>
    <t>CLS1372</t>
  </si>
  <si>
    <t>ACCESS TRANSIT</t>
  </si>
  <si>
    <t>CLT0590</t>
  </si>
  <si>
    <t>ACCROI TRANS</t>
  </si>
  <si>
    <t>CLS1106</t>
  </si>
  <si>
    <t>ACHANAN CAR</t>
  </si>
  <si>
    <t>CLT0204</t>
  </si>
  <si>
    <t>ACHCHABI TRANS</t>
  </si>
  <si>
    <t>SIDI BENNOUR</t>
  </si>
  <si>
    <t>CLR0007</t>
  </si>
  <si>
    <t>STAT.SERVICE AL QODS</t>
  </si>
  <si>
    <t>SIDI KACEM</t>
  </si>
  <si>
    <t>CLS0586</t>
  </si>
  <si>
    <t>ACOMAG</t>
  </si>
  <si>
    <t>CLT0396</t>
  </si>
  <si>
    <t>ACYLOG</t>
  </si>
  <si>
    <t>CLS0547</t>
  </si>
  <si>
    <t>ADAMAN DE TRAVAUX PUBLICS</t>
  </si>
  <si>
    <t>CLT0194</t>
  </si>
  <si>
    <t>ADAMOUR TRANSPORT</t>
  </si>
  <si>
    <t>CLR0008</t>
  </si>
  <si>
    <t>KHNAYFAR MOHAMED</t>
  </si>
  <si>
    <t>ZEMAMRA</t>
  </si>
  <si>
    <t>CLT0453</t>
  </si>
  <si>
    <t>ADMIRA TRANSPORT</t>
  </si>
  <si>
    <t>SALE</t>
  </si>
  <si>
    <t>CLR0009</t>
  </si>
  <si>
    <t>FRIKICH MOHAMED</t>
  </si>
  <si>
    <t>SIDI SLIMANE</t>
  </si>
  <si>
    <t>CLT0292</t>
  </si>
  <si>
    <t>AFRAD TRANS</t>
  </si>
  <si>
    <t>CLS1168</t>
  </si>
  <si>
    <t>AFRIC BITUMES</t>
  </si>
  <si>
    <t>SKHIRAT</t>
  </si>
  <si>
    <t>CLA1170</t>
  </si>
  <si>
    <t>CLS0956</t>
  </si>
  <si>
    <t>AFRIC POIDS LOURDS</t>
  </si>
  <si>
    <t>CLS0380</t>
  </si>
  <si>
    <t>AFRIPAL</t>
  </si>
  <si>
    <t>CLS0069</t>
  </si>
  <si>
    <t>AFRIQUIA  SMDC</t>
  </si>
  <si>
    <t>CLS0063</t>
  </si>
  <si>
    <t>AFRIQUIA GAZ</t>
  </si>
  <si>
    <t>CLR0010</t>
  </si>
  <si>
    <t>STE OUARZAZATE AUTOMOTIVE</t>
  </si>
  <si>
    <t>OUARZAZATE</t>
  </si>
  <si>
    <t>CLA0037</t>
  </si>
  <si>
    <t>AGENCE URBAINE TANGER</t>
  </si>
  <si>
    <t>CLS1394</t>
  </si>
  <si>
    <t>AGREA MAROC</t>
  </si>
  <si>
    <t>CLS0087</t>
  </si>
  <si>
    <t>AGREBETON</t>
  </si>
  <si>
    <t>CLS0717</t>
  </si>
  <si>
    <t>AGREGAT OUED CHERRAT</t>
  </si>
  <si>
    <t>CLS0332</t>
  </si>
  <si>
    <t>AGRIMATCO</t>
  </si>
  <si>
    <t>CLT0466</t>
  </si>
  <si>
    <t>AHMED BEN LHAJ</t>
  </si>
  <si>
    <t>TINGHIR</t>
  </si>
  <si>
    <t>CLS0823</t>
  </si>
  <si>
    <t>AIC</t>
  </si>
  <si>
    <t>KENITRA</t>
  </si>
  <si>
    <t>CLS0043</t>
  </si>
  <si>
    <t>AIR CAR</t>
  </si>
  <si>
    <t>CLS0064</t>
  </si>
  <si>
    <t>AIR LIQUIDE</t>
  </si>
  <si>
    <t>CLS0070</t>
  </si>
  <si>
    <t>AIR SEA MAROC</t>
  </si>
  <si>
    <t>CLR0011</t>
  </si>
  <si>
    <t>PNEUMATIQUE RIZKI</t>
  </si>
  <si>
    <t>CLS1145</t>
  </si>
  <si>
    <t>AIT HAJ MY ABDELGHANI</t>
  </si>
  <si>
    <t>DEMNAT</t>
  </si>
  <si>
    <t>CLR0012</t>
  </si>
  <si>
    <t>SOSUDMAR</t>
  </si>
  <si>
    <t>CLS1200</t>
  </si>
  <si>
    <t>AIT YOUSSEF CAR</t>
  </si>
  <si>
    <t>CLR0013</t>
  </si>
  <si>
    <t>STE BECHARI</t>
  </si>
  <si>
    <t>CLT0342</t>
  </si>
  <si>
    <t>AKARIAG</t>
  </si>
  <si>
    <t>CLS1450</t>
  </si>
  <si>
    <t>AKDOUMI GAZ</t>
  </si>
  <si>
    <t>BEJAAD</t>
  </si>
  <si>
    <t>CLT0458</t>
  </si>
  <si>
    <t>AKLIM TRAVEL</t>
  </si>
  <si>
    <t>CLS1127</t>
  </si>
  <si>
    <t>AKRITE TRANS</t>
  </si>
  <si>
    <t>LAAYOUNE</t>
  </si>
  <si>
    <t>CLS0082</t>
  </si>
  <si>
    <t>AKWA GROUP</t>
  </si>
  <si>
    <t>CLS0921</t>
  </si>
  <si>
    <t>AL AKHAWAYNE AUTO</t>
  </si>
  <si>
    <t>CLS0857</t>
  </si>
  <si>
    <t>AL ARSA AIRE DE SERVICES MEDIOUNA</t>
  </si>
  <si>
    <t>CLR0014</t>
  </si>
  <si>
    <t>PNEUMATIQUE ECH-CHAFIRI</t>
  </si>
  <si>
    <t>FKIH BEN SALEH</t>
  </si>
  <si>
    <t>CLR0015</t>
  </si>
  <si>
    <t>STE CHRIF PNEUS</t>
  </si>
  <si>
    <t>CLS0329</t>
  </si>
  <si>
    <t>AL KARAMA</t>
  </si>
  <si>
    <t>CLS0345</t>
  </si>
  <si>
    <t>AL MARAI VIANDES</t>
  </si>
  <si>
    <t>CLT0460</t>
  </si>
  <si>
    <t>AL NAHRAIN DIJLA</t>
  </si>
  <si>
    <t>CLS1172</t>
  </si>
  <si>
    <t>AL QODS TRANSPORT</t>
  </si>
  <si>
    <t>CLR0016</t>
  </si>
  <si>
    <t>CHEPAT</t>
  </si>
  <si>
    <t>CHEFCHAOUEN</t>
  </si>
  <si>
    <t>CLT0562</t>
  </si>
  <si>
    <t>ALAJADE DISTRIBUTION</t>
  </si>
  <si>
    <t>CLS0176</t>
  </si>
  <si>
    <t>ALCHEMILLE RABAT</t>
  </si>
  <si>
    <t>CLS0231</t>
  </si>
  <si>
    <t>ALCOMAT</t>
  </si>
  <si>
    <t>MEKNES</t>
  </si>
  <si>
    <t>CLS1126</t>
  </si>
  <si>
    <t>ALD AUTOMOTIVE</t>
  </si>
  <si>
    <t>BOUSKOURA</t>
  </si>
  <si>
    <t>CLS1415</t>
  </si>
  <si>
    <t>ALF AFRIQUIA</t>
  </si>
  <si>
    <t>BERRECHID</t>
  </si>
  <si>
    <t>CLS1431</t>
  </si>
  <si>
    <t>ALF MABROUK</t>
  </si>
  <si>
    <t>BOUZNIKA</t>
  </si>
  <si>
    <t>CLS0486</t>
  </si>
  <si>
    <t>ALF SAHEL  SARL</t>
  </si>
  <si>
    <t>HAD SOUALEM</t>
  </si>
  <si>
    <t>CLS0571</t>
  </si>
  <si>
    <t>ALGANON</t>
  </si>
  <si>
    <t>CLS0379</t>
  </si>
  <si>
    <t>ALI BABA CARS</t>
  </si>
  <si>
    <t>CLS0669</t>
  </si>
  <si>
    <t>ALIF LAM MIM</t>
  </si>
  <si>
    <t>CLS0837</t>
  </si>
  <si>
    <t>ALLIANZ MAROC</t>
  </si>
  <si>
    <t>CLR0017</t>
  </si>
  <si>
    <t>PNEUS CHOURAFA</t>
  </si>
  <si>
    <t>KHOURIBGA</t>
  </si>
  <si>
    <t>CLS1036</t>
  </si>
  <si>
    <t>ALO METAL</t>
  </si>
  <si>
    <t>CLS0370</t>
  </si>
  <si>
    <t>ALPHA BENNES</t>
  </si>
  <si>
    <t>CLS0868</t>
  </si>
  <si>
    <t>ALPI TP</t>
  </si>
  <si>
    <t>CLT0127</t>
  </si>
  <si>
    <t>ALPI TRANS</t>
  </si>
  <si>
    <t>CLS02074</t>
  </si>
  <si>
    <t>ALSA ALBAYDA</t>
  </si>
  <si>
    <t>CLR0018</t>
  </si>
  <si>
    <t>CENTRE PNEUMATIQUE TOUHMO</t>
  </si>
  <si>
    <t>CLT0257</t>
  </si>
  <si>
    <t>ALYASS  SARL</t>
  </si>
  <si>
    <t>CLS0174</t>
  </si>
  <si>
    <t>AMA DETERGENT</t>
  </si>
  <si>
    <t>EL JADIDA</t>
  </si>
  <si>
    <t>CLR0019</t>
  </si>
  <si>
    <t>ESPACE PNEU 2 MARS</t>
  </si>
  <si>
    <t>CLS0056</t>
  </si>
  <si>
    <t>AMGALA</t>
  </si>
  <si>
    <t>CLT0385</t>
  </si>
  <si>
    <t>AMGHAR TRANSPORT</t>
  </si>
  <si>
    <t>CLR0020</t>
  </si>
  <si>
    <t>ALSACE PNEU</t>
  </si>
  <si>
    <t>CLR0021</t>
  </si>
  <si>
    <t>STE MASTER TYRE</t>
  </si>
  <si>
    <t>CLT0142</t>
  </si>
  <si>
    <t>AMMARI TRANS</t>
  </si>
  <si>
    <t>CLS0612</t>
  </si>
  <si>
    <t>AMOUDOU CARS</t>
  </si>
  <si>
    <t>CLT0172</t>
  </si>
  <si>
    <t>AMR MASSIR TRANS</t>
  </si>
  <si>
    <t>CLR0022</t>
  </si>
  <si>
    <t>PNEUMATIQUE CHERKAOUI</t>
  </si>
  <si>
    <t>CLS0203</t>
  </si>
  <si>
    <t>AMSAY GROUP</t>
  </si>
  <si>
    <t>CLR0023</t>
  </si>
  <si>
    <t>BOUAYAD MOHAMED</t>
  </si>
  <si>
    <t>TARGUIST</t>
  </si>
  <si>
    <t>CLT0106</t>
  </si>
  <si>
    <t>ANADI TRANS</t>
  </si>
  <si>
    <t>CLT0417</t>
  </si>
  <si>
    <t>ANAS TRANSPORT INTERNATIONAL</t>
  </si>
  <si>
    <t>CLDIVSGE</t>
  </si>
  <si>
    <t>ANCIEN  CLIENTS DIVERS SIEGE</t>
  </si>
  <si>
    <t>CLDIVAGDR</t>
  </si>
  <si>
    <t>ANCIEN CLIENTS DIVERS AGADIR</t>
  </si>
  <si>
    <t>CLDIVAMRKC</t>
  </si>
  <si>
    <t>CLDIVMRF</t>
  </si>
  <si>
    <t>ANCIEN CLIENTS DIVERS MAARIF</t>
  </si>
  <si>
    <t>CLDIVMRKC</t>
  </si>
  <si>
    <t>ANCIEN CLIENTS DIVERS MARRAKECH</t>
  </si>
  <si>
    <t>CLDIVTGR</t>
  </si>
  <si>
    <t>ANCIEN CLIENTS DIVERS TANGER</t>
  </si>
  <si>
    <t>CLDIVZNT</t>
  </si>
  <si>
    <t>ANCIEN CLIENTS DIVERS ZENATA</t>
  </si>
  <si>
    <t>CLS0961</t>
  </si>
  <si>
    <t>ANGAD PIECES AUTO</t>
  </si>
  <si>
    <t>CLS0657</t>
  </si>
  <si>
    <t>ANNOUKHBA</t>
  </si>
  <si>
    <t>CLT0002</t>
  </si>
  <si>
    <t>ANNOUR BUS</t>
  </si>
  <si>
    <t>OUJDA</t>
  </si>
  <si>
    <t>CLT0382</t>
  </si>
  <si>
    <t>ANYWHERE TRANS</t>
  </si>
  <si>
    <t>CLS1016</t>
  </si>
  <si>
    <t>ANZA MATERIAUX</t>
  </si>
  <si>
    <t>CLS0295</t>
  </si>
  <si>
    <t>APM TERMINALS TANGER SA</t>
  </si>
  <si>
    <t>CLT0139</t>
  </si>
  <si>
    <t>ARABITAL SHIPPING MOROCCO</t>
  </si>
  <si>
    <t>CLT0397</t>
  </si>
  <si>
    <t>ARAMEX INTERNATIONAL MOROCCO</t>
  </si>
  <si>
    <t>CLS0245</t>
  </si>
  <si>
    <t>ARCHIRODON GROUP NV</t>
  </si>
  <si>
    <t>CLS1139</t>
  </si>
  <si>
    <t>ARCOL PEINTURES</t>
  </si>
  <si>
    <t>CLT0052</t>
  </si>
  <si>
    <t>AREKNOUSS TAIB</t>
  </si>
  <si>
    <t>GUELMIM</t>
  </si>
  <si>
    <t>CLR0024</t>
  </si>
  <si>
    <t>BENMOUSSA FOUAD</t>
  </si>
  <si>
    <t>TETOUAN</t>
  </si>
  <si>
    <t>CLS1440</t>
  </si>
  <si>
    <t>ARMA HOLDING</t>
  </si>
  <si>
    <t>CLS1371</t>
  </si>
  <si>
    <t>ARMA MARRAKECH</t>
  </si>
  <si>
    <t>CLS1405</t>
  </si>
  <si>
    <t>ARMA MAZAGAN SA</t>
  </si>
  <si>
    <t>CLS0546</t>
  </si>
  <si>
    <t>ARRAHMOUNI MOURAD</t>
  </si>
  <si>
    <t>NADOR</t>
  </si>
  <si>
    <t>CLA0001</t>
  </si>
  <si>
    <t>ARRONDISSEMENT MAARIF</t>
  </si>
  <si>
    <t>CLS0252</t>
  </si>
  <si>
    <t>ARVAL MAROC</t>
  </si>
  <si>
    <t>CLT0310</t>
  </si>
  <si>
    <t>ARZ VOYAGES</t>
  </si>
  <si>
    <t>FES</t>
  </si>
  <si>
    <t>CLS1102</t>
  </si>
  <si>
    <t>ASDK TRAVAUX</t>
  </si>
  <si>
    <t>CLS0240</t>
  </si>
  <si>
    <t>ASSAINISSEMENT RESEAUX CONSEIL</t>
  </si>
  <si>
    <t>CLS0851</t>
  </si>
  <si>
    <t>ASSISTANCE EXECUTIVE RENT</t>
  </si>
  <si>
    <t>CLS0598</t>
  </si>
  <si>
    <t>ASSOCIATION BAYTI</t>
  </si>
  <si>
    <t>CLS1194</t>
  </si>
  <si>
    <t>ASSOUL</t>
  </si>
  <si>
    <t>CLR0025</t>
  </si>
  <si>
    <t>STAT.SERVICE BOUZID BELFAIZA</t>
  </si>
  <si>
    <t>CLR0026</t>
  </si>
  <si>
    <t>EL MOURABIT OMAR</t>
  </si>
  <si>
    <t>CLS1485</t>
  </si>
  <si>
    <t>ATELIER DE VULCANISATION OUARAB</t>
  </si>
  <si>
    <t>CLT0022</t>
  </si>
  <si>
    <t>ATLANTIC HYDRAULIQUE ET TRANS</t>
  </si>
  <si>
    <t>CLS1061</t>
  </si>
  <si>
    <t>ATLAS BOTTLING COMPANY</t>
  </si>
  <si>
    <t>CLS0811</t>
  </si>
  <si>
    <t>ATLAS LLD</t>
  </si>
  <si>
    <t>CLS0713</t>
  </si>
  <si>
    <t>ATLAS NAVIGATION</t>
  </si>
  <si>
    <t>CLR0027</t>
  </si>
  <si>
    <t>PNEUMATIQUE BELHAJ</t>
  </si>
  <si>
    <t>CLT0179</t>
  </si>
  <si>
    <t>ATLAS REMORQUE</t>
  </si>
  <si>
    <t>CLS01211</t>
  </si>
  <si>
    <t>ATLAS SERVAIR</t>
  </si>
  <si>
    <t>CLT0471</t>
  </si>
  <si>
    <t>ATLAS VAN LINES</t>
  </si>
  <si>
    <t>CLR0028</t>
  </si>
  <si>
    <t>PNEUMATIQUE MAYYAT</t>
  </si>
  <si>
    <t>EL KALAA DES SRAGHNA</t>
  </si>
  <si>
    <t>CLS0378</t>
  </si>
  <si>
    <t>ATRAL</t>
  </si>
  <si>
    <t>CLT0445</t>
  </si>
  <si>
    <t>ATS CRANE</t>
  </si>
  <si>
    <t>CLS1034</t>
  </si>
  <si>
    <t>ATTAKADOUM ATTARBAOUI PRIVE</t>
  </si>
  <si>
    <t>CLT0065</t>
  </si>
  <si>
    <t>ATTARI ABDELWAHED</t>
  </si>
  <si>
    <t>CLS0706</t>
  </si>
  <si>
    <t>AUJEMAT</t>
  </si>
  <si>
    <t>CLT0166</t>
  </si>
  <si>
    <t>AUTASA</t>
  </si>
  <si>
    <t>CLS0856</t>
  </si>
  <si>
    <t>AUTO 4 RICARD</t>
  </si>
  <si>
    <t>CLS0994</t>
  </si>
  <si>
    <t>AUTO AMINE</t>
  </si>
  <si>
    <t>CLS1098</t>
  </si>
  <si>
    <t>AUTO BAABI HUILE</t>
  </si>
  <si>
    <t>CLS0362</t>
  </si>
  <si>
    <t>AUTO CLAIR SIDI RAHAL</t>
  </si>
  <si>
    <t>SIDI RAHAL</t>
  </si>
  <si>
    <t>CLR0029</t>
  </si>
  <si>
    <t>OUTELHA</t>
  </si>
  <si>
    <t>AZROU</t>
  </si>
  <si>
    <t>CLS1090</t>
  </si>
  <si>
    <t>AUTO DEL MAR</t>
  </si>
  <si>
    <t>CLS0221</t>
  </si>
  <si>
    <t>AUTO DISTRIBUTION</t>
  </si>
  <si>
    <t>CLS0626</t>
  </si>
  <si>
    <t>AUTO ECOLE EL FADL</t>
  </si>
  <si>
    <t>CLS0597</t>
  </si>
  <si>
    <t>AUTO ECOLE LOUAFY</t>
  </si>
  <si>
    <t>CLS0170</t>
  </si>
  <si>
    <t>AUTO HALL VEHICULES INDUSTRIELS</t>
  </si>
  <si>
    <t>CLS0608</t>
  </si>
  <si>
    <t>AUTO MEDI LOCATION VOITURE</t>
  </si>
  <si>
    <t>CLS1099</t>
  </si>
  <si>
    <t>AUTO MILLA</t>
  </si>
  <si>
    <t>CLR0030</t>
  </si>
  <si>
    <t>ESEBEK PNEU</t>
  </si>
  <si>
    <t>KASBET TADLA</t>
  </si>
  <si>
    <t>CLR0031</t>
  </si>
  <si>
    <t>TIZIRAN BATIMENT</t>
  </si>
  <si>
    <t>CLR0032</t>
  </si>
  <si>
    <t>STAR TRAVAUX TETOUAN</t>
  </si>
  <si>
    <t>CLS0714</t>
  </si>
  <si>
    <t>AUTO SERVICE YAHYA</t>
  </si>
  <si>
    <t>CLS1050</t>
  </si>
  <si>
    <t>AUTO TURBO</t>
  </si>
  <si>
    <t>CLS0802</t>
  </si>
  <si>
    <t>AUTO VITE</t>
  </si>
  <si>
    <t>CLS0368</t>
  </si>
  <si>
    <t>AUTOMOTIVE MAINTENANCE SERVICE</t>
  </si>
  <si>
    <t>CLR0033</t>
  </si>
  <si>
    <t>PNEUMATIQUE HATIM</t>
  </si>
  <si>
    <t>LARACHE</t>
  </si>
  <si>
    <t>CLR0034</t>
  </si>
  <si>
    <t>PNEU SOUSS MASSA</t>
  </si>
  <si>
    <t>CHTOUKA AIT BAHA</t>
  </si>
  <si>
    <t>CLS0993</t>
  </si>
  <si>
    <t>AVANZIT TECHNOLOGIE MAROC</t>
  </si>
  <si>
    <t>CLS0394</t>
  </si>
  <si>
    <t>AVENDIS COSMETICS</t>
  </si>
  <si>
    <t>CLS1068</t>
  </si>
  <si>
    <t>AVENIR BETON</t>
  </si>
  <si>
    <t>CLS1022</t>
  </si>
  <si>
    <t>AVERDA CASA</t>
  </si>
  <si>
    <t>CLS0276</t>
  </si>
  <si>
    <t>AVERDA MAROC</t>
  </si>
  <si>
    <t>CLS10053</t>
  </si>
  <si>
    <t>AVERDA RABAT</t>
  </si>
  <si>
    <t>CLS0341</t>
  </si>
  <si>
    <t>AVIBERN</t>
  </si>
  <si>
    <t>CLS1427</t>
  </si>
  <si>
    <t>AWLOUZ GAZ</t>
  </si>
  <si>
    <t>TAROUDANT</t>
  </si>
  <si>
    <t>CLS0016</t>
  </si>
  <si>
    <t>AWRACH AL BARAKA</t>
  </si>
  <si>
    <t>CLS0620</t>
  </si>
  <si>
    <t>AXE GRAPHIC</t>
  </si>
  <si>
    <t>CLS0877</t>
  </si>
  <si>
    <t>AYA BRIQ</t>
  </si>
  <si>
    <t>CLS0588</t>
  </si>
  <si>
    <t>AZ CLEAN</t>
  </si>
  <si>
    <t>CLS0369</t>
  </si>
  <si>
    <t>AZIK TRADING LTD</t>
  </si>
  <si>
    <t>CLS1031</t>
  </si>
  <si>
    <t>AZMI LOC VOITURE</t>
  </si>
  <si>
    <t>CLT0080</t>
  </si>
  <si>
    <t>B M J (NE PAS LIVRER)</t>
  </si>
  <si>
    <t>CLT0216</t>
  </si>
  <si>
    <t>B T M TRANSPORT</t>
  </si>
  <si>
    <t>CLS0625</t>
  </si>
  <si>
    <t>B6SOMA SAS</t>
  </si>
  <si>
    <t>CLT0285</t>
  </si>
  <si>
    <t>BABA TRANSPORT</t>
  </si>
  <si>
    <t>CLS0737</t>
  </si>
  <si>
    <t>BABY FOOD MAGHREB</t>
  </si>
  <si>
    <t>CLS0670</t>
  </si>
  <si>
    <t>BACHAR CAR</t>
  </si>
  <si>
    <t>CLR0035</t>
  </si>
  <si>
    <t>PRIMA CAR PNEUMATIQUE</t>
  </si>
  <si>
    <t>CLS1162</t>
  </si>
  <si>
    <t>BAJOURI P.A</t>
  </si>
  <si>
    <t>CLR0036</t>
  </si>
  <si>
    <t>REGION 4 TRADE COMPAGNY</t>
  </si>
  <si>
    <t>CLR0037</t>
  </si>
  <si>
    <t>AIT TARJDALT LAVAGE</t>
  </si>
  <si>
    <t>CLT0171</t>
  </si>
  <si>
    <t>BANADO TRANSPORT</t>
  </si>
  <si>
    <t>CLS0573</t>
  </si>
  <si>
    <t>BANNE MAROC</t>
  </si>
  <si>
    <t>CLT0473</t>
  </si>
  <si>
    <t>BAOUANOU GAZ</t>
  </si>
  <si>
    <t>CLS1094</t>
  </si>
  <si>
    <t>BAROUMA TOURS</t>
  </si>
  <si>
    <t>CLT0214</t>
  </si>
  <si>
    <t>BASALAH TRANS</t>
  </si>
  <si>
    <t>CLS0695</t>
  </si>
  <si>
    <t>BATITOUR</t>
  </si>
  <si>
    <t>CLT0558</t>
  </si>
  <si>
    <t>BAZARD TOBACCO COMPANY</t>
  </si>
  <si>
    <t>CLT0197</t>
  </si>
  <si>
    <t>BAZINE TRANS</t>
  </si>
  <si>
    <t>CLR0038</t>
  </si>
  <si>
    <t>PNEUMATIQUE AL BOUGHAZ</t>
  </si>
  <si>
    <t>CLT0303</t>
  </si>
  <si>
    <t>BBF TRANS</t>
  </si>
  <si>
    <t>CLS0116</t>
  </si>
  <si>
    <t>BECOMAR</t>
  </si>
  <si>
    <t>CLS1180</t>
  </si>
  <si>
    <t>BELMEKKI HASSAN ET FILS</t>
  </si>
  <si>
    <t>meknes</t>
  </si>
  <si>
    <t>CLS0177</t>
  </si>
  <si>
    <t>BELZA PREFA</t>
  </si>
  <si>
    <t>CLT0017</t>
  </si>
  <si>
    <t>BEN H TRANSPORT</t>
  </si>
  <si>
    <t>CLT0362</t>
  </si>
  <si>
    <t>BEN MODERNE TECHNIQUE</t>
  </si>
  <si>
    <t>CLS1077</t>
  </si>
  <si>
    <t>BENAF CARS</t>
  </si>
  <si>
    <t>CLR0039</t>
  </si>
  <si>
    <t>PNEUMATIQUE ATTAWHID</t>
  </si>
  <si>
    <t>CLT0593</t>
  </si>
  <si>
    <t>BENASLIM</t>
  </si>
  <si>
    <t>CLT0361</t>
  </si>
  <si>
    <t>BENCO</t>
  </si>
  <si>
    <t>CLR0040</t>
  </si>
  <si>
    <t>PNEUMATIQUE CHALABIL</t>
  </si>
  <si>
    <t>CLS0234</t>
  </si>
  <si>
    <t>BENHADDOU FER</t>
  </si>
  <si>
    <t>CLS1019</t>
  </si>
  <si>
    <t>BENHAMDOUNE MATERIAUX CONSTRUCTION</t>
  </si>
  <si>
    <t>CLS1477</t>
  </si>
  <si>
    <t>BENI MELLAL ENVIRONNEMENT</t>
  </si>
  <si>
    <t>CLS0610</t>
  </si>
  <si>
    <t>BENKIRAN'S</t>
  </si>
  <si>
    <t>CLS1014</t>
  </si>
  <si>
    <t>BENLHOU FRERES</t>
  </si>
  <si>
    <t>CLR0041</t>
  </si>
  <si>
    <t>PNEUMATIQUE ESPACE EL KHALIL</t>
  </si>
  <si>
    <t>CLS0019</t>
  </si>
  <si>
    <t>BENNES MARREL MAROC</t>
  </si>
  <si>
    <t>CLT0055</t>
  </si>
  <si>
    <t>BENNTRANS</t>
  </si>
  <si>
    <t>CLT0247</t>
  </si>
  <si>
    <t>BENSABAT TRANS</t>
  </si>
  <si>
    <t>CLT0109</t>
  </si>
  <si>
    <t>BERHIMOU MOHAMED</t>
  </si>
  <si>
    <t>CLT0108</t>
  </si>
  <si>
    <t>BERHIMOU RACHID</t>
  </si>
  <si>
    <t>CLR0042</t>
  </si>
  <si>
    <t>PNEUMATIQUE AIT ZINEB</t>
  </si>
  <si>
    <t>CLS0948</t>
  </si>
  <si>
    <t>BEST MARK</t>
  </si>
  <si>
    <t>CLS1024</t>
  </si>
  <si>
    <t>BESTOUR</t>
  </si>
  <si>
    <t>CLT0144</t>
  </si>
  <si>
    <t>BETA EXPRESS</t>
  </si>
  <si>
    <t>CLS0941</t>
  </si>
  <si>
    <t>BETON ENGINEERING DE SETTET</t>
  </si>
  <si>
    <t>SETTAT</t>
  </si>
  <si>
    <t>CLS0127</t>
  </si>
  <si>
    <t>BETRAJAN</t>
  </si>
  <si>
    <t>CLS0185</t>
  </si>
  <si>
    <t>BETRATER</t>
  </si>
  <si>
    <t>CLT0006</t>
  </si>
  <si>
    <t>BHA TRANS</t>
  </si>
  <si>
    <t>CLS1135</t>
  </si>
  <si>
    <t>BHZ3</t>
  </si>
  <si>
    <t>CLS0912</t>
  </si>
  <si>
    <t>BICAFE</t>
  </si>
  <si>
    <t>CLT0129</t>
  </si>
  <si>
    <t>BIELLA TOURS</t>
  </si>
  <si>
    <t>CLT0062</t>
  </si>
  <si>
    <t>BIHMIDEN NEGOCE</t>
  </si>
  <si>
    <t>TAFRAOUT</t>
  </si>
  <si>
    <t>CLS0095</t>
  </si>
  <si>
    <t>BIMO</t>
  </si>
  <si>
    <t>CLS0604</t>
  </si>
  <si>
    <t>BINMA</t>
  </si>
  <si>
    <t>CLT0079</t>
  </si>
  <si>
    <t>BIO MECANIQUE</t>
  </si>
  <si>
    <t>KSAR EL KBIR</t>
  </si>
  <si>
    <t>CLS0590</t>
  </si>
  <si>
    <t>BIOCAR MEDICAL</t>
  </si>
  <si>
    <t>CLS0611</t>
  </si>
  <si>
    <t>BIOMATI CONSTRUCTION</t>
  </si>
  <si>
    <t>ESSAOUIRA</t>
  </si>
  <si>
    <t>CLS1193</t>
  </si>
  <si>
    <t>BIOUGNACH EQUIPEMENT</t>
  </si>
  <si>
    <t>CLS0816</t>
  </si>
  <si>
    <t>BITUMA</t>
  </si>
  <si>
    <t>CLS1406</t>
  </si>
  <si>
    <t>BLENT CAR RENT</t>
  </si>
  <si>
    <t>CLS0782</t>
  </si>
  <si>
    <t>BM RENTAL</t>
  </si>
  <si>
    <t>CLS01142</t>
  </si>
  <si>
    <t>BM TRANS</t>
  </si>
  <si>
    <t>CLS0336</t>
  </si>
  <si>
    <t>BMK NEGOCES</t>
  </si>
  <si>
    <t>CLS0698</t>
  </si>
  <si>
    <t>BOCH EQUIPEMENT</t>
  </si>
  <si>
    <t>CLS0271</t>
  </si>
  <si>
    <t>BODOR MILLS</t>
  </si>
  <si>
    <t>CLR0043</t>
  </si>
  <si>
    <t>F1 AUTO SERVICE</t>
  </si>
  <si>
    <t>CLS0630</t>
  </si>
  <si>
    <t>BONO TRAV</t>
  </si>
  <si>
    <t>CLS0607</t>
  </si>
  <si>
    <t>BOOST AUTO</t>
  </si>
  <si>
    <t>CLT0132</t>
  </si>
  <si>
    <t>BOSTON TRAVEL LIMO</t>
  </si>
  <si>
    <t>CLT0300</t>
  </si>
  <si>
    <t>BOUALED HAMID</t>
  </si>
  <si>
    <t>CLR0044</t>
  </si>
  <si>
    <t>PNEUMATIQUE FERKLA</t>
  </si>
  <si>
    <t>ERRACHIDIA</t>
  </si>
  <si>
    <t>CLR0045</t>
  </si>
  <si>
    <t>COMPLEXE AIN SADAK</t>
  </si>
  <si>
    <t>CLR0046</t>
  </si>
  <si>
    <t>PNEUMATIQUE LAKHSASS</t>
  </si>
  <si>
    <t>DAKHLA</t>
  </si>
  <si>
    <t>CLS0339</t>
  </si>
  <si>
    <t>BOUDIH FER</t>
  </si>
  <si>
    <t>CLS0275</t>
  </si>
  <si>
    <t>BOUJOUNOUI HASSAN</t>
  </si>
  <si>
    <t>CLT0061</t>
  </si>
  <si>
    <t>BOULADAB TRANSPORT</t>
  </si>
  <si>
    <t>CLS0301</t>
  </si>
  <si>
    <t>BOURCHANIN ET CIE</t>
  </si>
  <si>
    <t>CLR0047</t>
  </si>
  <si>
    <t>SPEED AUTO SERVICE</t>
  </si>
  <si>
    <t>MACHRAA BELKSIRI</t>
  </si>
  <si>
    <t>CLR0048</t>
  </si>
  <si>
    <t>PNEUS AL MASSAR</t>
  </si>
  <si>
    <t>CLS0641</t>
  </si>
  <si>
    <t>BOYAUDERIE DRIMANO</t>
  </si>
  <si>
    <t>CLS0083</t>
  </si>
  <si>
    <t>BRIMAK</t>
  </si>
  <si>
    <t>CLS0124</t>
  </si>
  <si>
    <t>BRIOR SA</t>
  </si>
  <si>
    <t>CLS0745</t>
  </si>
  <si>
    <t>BRIQUETERIE BATI CHAOUIA</t>
  </si>
  <si>
    <t>CLS0600</t>
  </si>
  <si>
    <t>BRIQUETERIE BRINOR</t>
  </si>
  <si>
    <t>CLS0518</t>
  </si>
  <si>
    <t>BRIQUETERIE MABROUKA SARL</t>
  </si>
  <si>
    <t>CLS0548</t>
  </si>
  <si>
    <t>BRIQUETERIE SIDI KACEM</t>
  </si>
  <si>
    <t>CLS1486</t>
  </si>
  <si>
    <t>BRIQUETRIE BATI CHAOUIA</t>
  </si>
  <si>
    <t>CLS0200</t>
  </si>
  <si>
    <t>BROYCHIM</t>
  </si>
  <si>
    <t>CLS1025</t>
  </si>
  <si>
    <t>BRUNO RENTAL</t>
  </si>
  <si>
    <t>CLS0711</t>
  </si>
  <si>
    <t>BUENO CAR</t>
  </si>
  <si>
    <t>CLT0024</t>
  </si>
  <si>
    <t>BUENO TRANS</t>
  </si>
  <si>
    <t>CLT0286</t>
  </si>
  <si>
    <t>BULSAID TRANS</t>
  </si>
  <si>
    <t>CLS1113</t>
  </si>
  <si>
    <t>C B G N</t>
  </si>
  <si>
    <t>CLS0229</t>
  </si>
  <si>
    <t>C B G S</t>
  </si>
  <si>
    <t>CLS0094</t>
  </si>
  <si>
    <t>C C G T GRANULATS</t>
  </si>
  <si>
    <t>CLS0181</t>
  </si>
  <si>
    <t>C G A</t>
  </si>
  <si>
    <t>CLS1033</t>
  </si>
  <si>
    <t>C G T C</t>
  </si>
  <si>
    <t>CLT0322</t>
  </si>
  <si>
    <t>C G T TRANS</t>
  </si>
  <si>
    <t>CLT0401</t>
  </si>
  <si>
    <t>C I C M</t>
  </si>
  <si>
    <t>CLS0239</t>
  </si>
  <si>
    <t>C I M A T</t>
  </si>
  <si>
    <t>CLS0102</t>
  </si>
  <si>
    <t>C M M</t>
  </si>
  <si>
    <t>CLA0006</t>
  </si>
  <si>
    <t>C M M O  2/1</t>
  </si>
  <si>
    <t>CLR0049</t>
  </si>
  <si>
    <t>SWIFT ISLAH</t>
  </si>
  <si>
    <t>CLS0101</t>
  </si>
  <si>
    <t>C T M</t>
  </si>
  <si>
    <t>CLS0668</t>
  </si>
  <si>
    <t>C T M MESSAGERIE</t>
  </si>
  <si>
    <t>CLR0050</t>
  </si>
  <si>
    <t>BENELUX PNEUS</t>
  </si>
  <si>
    <t>CLS0585</t>
  </si>
  <si>
    <t>C T U MAROC</t>
  </si>
  <si>
    <t>CLS1402</t>
  </si>
  <si>
    <t>C.A.C.E.D</t>
  </si>
  <si>
    <t>CLS1138</t>
  </si>
  <si>
    <t>C.E.C.I</t>
  </si>
  <si>
    <t>CLS0637</t>
  </si>
  <si>
    <t>C.M.E.R</t>
  </si>
  <si>
    <t>CLA0036</t>
  </si>
  <si>
    <t>C.R.I.T.T.H</t>
  </si>
  <si>
    <t>CLS0489</t>
  </si>
  <si>
    <t>CABINET D'ARCHITET A. BENNANI</t>
  </si>
  <si>
    <t>CLS0990</t>
  </si>
  <si>
    <t>CALL AND DRIVE</t>
  </si>
  <si>
    <t>CLS0875</t>
  </si>
  <si>
    <t>CAN TRANSPORT</t>
  </si>
  <si>
    <t>CLT0168</t>
  </si>
  <si>
    <t>CANADA TRANSPORT</t>
  </si>
  <si>
    <t>CLS0389</t>
  </si>
  <si>
    <t>CANAL FOOD</t>
  </si>
  <si>
    <t>CLS1009</t>
  </si>
  <si>
    <t>CANDIDATE CAR</t>
  </si>
  <si>
    <t>CLS0682</t>
  </si>
  <si>
    <t>CAP ADVISE</t>
  </si>
  <si>
    <t>CLS1175</t>
  </si>
  <si>
    <t>CAP GRAVETTES</t>
  </si>
  <si>
    <t>CLS0801</t>
  </si>
  <si>
    <t>CAPEP</t>
  </si>
  <si>
    <t>CLS0655</t>
  </si>
  <si>
    <t>CARBONATE CHAOUIA</t>
  </si>
  <si>
    <t>BEN AHMED</t>
  </si>
  <si>
    <t>CLS1414</t>
  </si>
  <si>
    <t>CAREN</t>
  </si>
  <si>
    <t>CLS0719</t>
  </si>
  <si>
    <t>CAROSSERIE AUTO PRESTIGE</t>
  </si>
  <si>
    <t>CLS1087</t>
  </si>
  <si>
    <t>CAROSSERIE KIMO</t>
  </si>
  <si>
    <t>CLT0429</t>
  </si>
  <si>
    <t>CARPITCH</t>
  </si>
  <si>
    <t>CLS0161</t>
  </si>
  <si>
    <t>CARRE</t>
  </si>
  <si>
    <t>CLR0051</t>
  </si>
  <si>
    <t>SERVICE DES PNEUS BENABOUD</t>
  </si>
  <si>
    <t>CLS1114</t>
  </si>
  <si>
    <t>CARRIERE ALLACH</t>
  </si>
  <si>
    <t>CLS0150</t>
  </si>
  <si>
    <t>CARRIERE GRAIN DE SABLE</t>
  </si>
  <si>
    <t>CLS0146</t>
  </si>
  <si>
    <t>CARRIERE OUED RMEL</t>
  </si>
  <si>
    <t>CLT0264</t>
  </si>
  <si>
    <t>CARRIERE TIZAGUINE</t>
  </si>
  <si>
    <t>CLS0080</t>
  </si>
  <si>
    <t>CARRIERE TIZGHA</t>
  </si>
  <si>
    <t>BENSLIMANE</t>
  </si>
  <si>
    <t>CLT0249</t>
  </si>
  <si>
    <t>CARRIERES ET TRANSPORT MENARA</t>
  </si>
  <si>
    <t>CLS0531</t>
  </si>
  <si>
    <t>CARRIERES SABRI</t>
  </si>
  <si>
    <t>CLS0911</t>
  </si>
  <si>
    <t>CARRIPREFA</t>
  </si>
  <si>
    <t>CLT0138</t>
  </si>
  <si>
    <t>CASA GRAINS LOGISTIQUE</t>
  </si>
  <si>
    <t>CLR0052</t>
  </si>
  <si>
    <t>STE SARHANE RABII</t>
  </si>
  <si>
    <t>CLR0053</t>
  </si>
  <si>
    <t>SPRING PNEUMATIQUES</t>
  </si>
  <si>
    <t>CLS1105</t>
  </si>
  <si>
    <t>CASA POIDS LOURDS</t>
  </si>
  <si>
    <t>CLS0701</t>
  </si>
  <si>
    <t>CASA TECHNIQUE</t>
  </si>
  <si>
    <t>CLS1447</t>
  </si>
  <si>
    <t>CASA TECHNIQUE AL BAY'A</t>
  </si>
  <si>
    <t>CLS1467</t>
  </si>
  <si>
    <t>CASA TECHNIQUE KASBAT TADLA</t>
  </si>
  <si>
    <t>CLS1466</t>
  </si>
  <si>
    <t>CASA TECHNIQUE TASSOULTANTE</t>
  </si>
  <si>
    <t>CLT0256</t>
  </si>
  <si>
    <t>CASCATRANS</t>
  </si>
  <si>
    <t>AIN HARROUDA</t>
  </si>
  <si>
    <t>CLS1074</t>
  </si>
  <si>
    <t>CAT MEKNES</t>
  </si>
  <si>
    <t>CLT0174</t>
  </si>
  <si>
    <t>CATRAD</t>
  </si>
  <si>
    <t>CLT0301</t>
  </si>
  <si>
    <t>CEFA DIS</t>
  </si>
  <si>
    <t>CLS0194</t>
  </si>
  <si>
    <t>CEMENT CINDER AND SAND</t>
  </si>
  <si>
    <t>CLS0602</t>
  </si>
  <si>
    <t>CENTRA  S.A.</t>
  </si>
  <si>
    <t>CLS0953</t>
  </si>
  <si>
    <t>CENTRALE AUTOMOBILE CHERIFIENNE</t>
  </si>
  <si>
    <t>CLT0523</t>
  </si>
  <si>
    <t>CENTRALE D'ACHATS VEHICULES</t>
  </si>
  <si>
    <t>CLR0054</t>
  </si>
  <si>
    <t>SERVICE AUTO BELAIR</t>
  </si>
  <si>
    <t>CLR0055</t>
  </si>
  <si>
    <t>CENTRE PNEUMATIQUE ABDELMOUMEN</t>
  </si>
  <si>
    <t>CLR0056</t>
  </si>
  <si>
    <t>FOULKITIRE</t>
  </si>
  <si>
    <t>CLR0057</t>
  </si>
  <si>
    <t>PREMIUM PNEUS</t>
  </si>
  <si>
    <t>CLR0058</t>
  </si>
  <si>
    <t>AIT AUTO</t>
  </si>
  <si>
    <t>CLR0059</t>
  </si>
  <si>
    <t>TOUKSPO</t>
  </si>
  <si>
    <t>CLT0392</t>
  </si>
  <si>
    <t>CENTRE PNEUMATIQUE CHICHAOUA</t>
  </si>
  <si>
    <t>CHICHAOUA</t>
  </si>
  <si>
    <t>CLR0060</t>
  </si>
  <si>
    <t>PNEUMATIQUE MHANECH</t>
  </si>
  <si>
    <t>CLR0061</t>
  </si>
  <si>
    <t>PNEUMATIQUE ABOU YASSINE</t>
  </si>
  <si>
    <t>CLR0062</t>
  </si>
  <si>
    <t>MIRAMAR AUTO</t>
  </si>
  <si>
    <t>CLR0063</t>
  </si>
  <si>
    <t>EXCELLENT PNEU</t>
  </si>
  <si>
    <t>CLR0064</t>
  </si>
  <si>
    <t>STE MAHLAOUI AUTO</t>
  </si>
  <si>
    <t>CLR0065</t>
  </si>
  <si>
    <t>PNEUMATIQUE AFOUD</t>
  </si>
  <si>
    <t>CLR0066</t>
  </si>
  <si>
    <t>LABEL PNEU</t>
  </si>
  <si>
    <t>CLR0067</t>
  </si>
  <si>
    <t>PNEUMATIQUE EL MANAR</t>
  </si>
  <si>
    <t>CLR0068</t>
  </si>
  <si>
    <t>MAYOU LAHCEN</t>
  </si>
  <si>
    <t>TIZNIT</t>
  </si>
  <si>
    <t>CLS1379</t>
  </si>
  <si>
    <t>CFAO MOTORS MAROC</t>
  </si>
  <si>
    <t>CLS0466</t>
  </si>
  <si>
    <t>CHAABI LLD</t>
  </si>
  <si>
    <t>CLS1432</t>
  </si>
  <si>
    <t>CHAABI TRUKS</t>
  </si>
  <si>
    <t>CLT0442</t>
  </si>
  <si>
    <t>CHADID LARBI</t>
  </si>
  <si>
    <t>CLR0069</t>
  </si>
  <si>
    <t>PNEU BELLE VUE</t>
  </si>
  <si>
    <t>CLS1119</t>
  </si>
  <si>
    <t>CHAMAL AZOUAGH</t>
  </si>
  <si>
    <t>CLS0018</t>
  </si>
  <si>
    <t>CHARIKAT AL YASSIN LITTIJARA</t>
  </si>
  <si>
    <t>CLT0273</t>
  </si>
  <si>
    <t>CHARK BUS</t>
  </si>
  <si>
    <t>CLS0249</t>
  </si>
  <si>
    <t>CHEAP CAR</t>
  </si>
  <si>
    <t>CLR0070</t>
  </si>
  <si>
    <t>CENTRE PNEUMATIQUE OULED TEIMA</t>
  </si>
  <si>
    <t>OULED TEIMA</t>
  </si>
  <si>
    <t>CLS0009</t>
  </si>
  <si>
    <t>CHENANE FRERES</t>
  </si>
  <si>
    <t>CLR0071</t>
  </si>
  <si>
    <t>PNEUMATIQUE ABDELMOULA</t>
  </si>
  <si>
    <t>CLS0060</t>
  </si>
  <si>
    <t>CHICHAOUA GAZ</t>
  </si>
  <si>
    <t>CLS0634</t>
  </si>
  <si>
    <t>CHIKAR INDUSTRIE</t>
  </si>
  <si>
    <t>CLT0412</t>
  </si>
  <si>
    <t>CHIMTRA</t>
  </si>
  <si>
    <t>CLS0167</t>
  </si>
  <si>
    <t>CHINA INTERNATIONAL WATER &amp;</t>
  </si>
  <si>
    <t>CLT0374</t>
  </si>
  <si>
    <t>CHOUAL TRANSPORT</t>
  </si>
  <si>
    <t>CLS1480</t>
  </si>
  <si>
    <t>CHOUKRALLAH DISTRIBUTION</t>
  </si>
  <si>
    <t>CLS0824</t>
  </si>
  <si>
    <t>CHROMA COLOR</t>
  </si>
  <si>
    <t>CLS0451</t>
  </si>
  <si>
    <t>CIETEC  EX. LEROY SOMER MAROC</t>
  </si>
  <si>
    <t>CLS1182</t>
  </si>
  <si>
    <t>CIMENT ET FER TAFILALET</t>
  </si>
  <si>
    <t>CLS0259</t>
  </si>
  <si>
    <t>CIMENTS DU MAROC</t>
  </si>
  <si>
    <t>CLT0082</t>
  </si>
  <si>
    <t>CITY BUS  FES</t>
  </si>
  <si>
    <t>CLR0072</t>
  </si>
  <si>
    <t>TAMAZIRET PNEU</t>
  </si>
  <si>
    <t>CLS0716</t>
  </si>
  <si>
    <t>CLAUDIUS PETERS TECHNOLOGIES S.A.S</t>
  </si>
  <si>
    <t>CLR0073</t>
  </si>
  <si>
    <t>EL MACHROHI MLY SAID</t>
  </si>
  <si>
    <t>CLS1130</t>
  </si>
  <si>
    <t>CLICPNEU.MA</t>
  </si>
  <si>
    <t>CLDIVBACHAT</t>
  </si>
  <si>
    <t>CLIENT COMPTANT BON ACHAT</t>
  </si>
  <si>
    <t>CLDVCHEF30M</t>
  </si>
  <si>
    <t>CLIENT DIVERS CHEFCHAOUNI 30MIN</t>
  </si>
  <si>
    <t>CLDIVPSRB</t>
  </si>
  <si>
    <t>CLIENT DIVERS POINTS RABAT</t>
  </si>
  <si>
    <t>CLDIVAGADIR</t>
  </si>
  <si>
    <t>CLIENTS DIVERS AGADIR</t>
  </si>
  <si>
    <t>CLD30AGADIR</t>
  </si>
  <si>
    <t>CLIENTS DIVERS AGADIR 30 MIN</t>
  </si>
  <si>
    <t>CLD30AITML</t>
  </si>
  <si>
    <t>CLIENTS DIVERS AIT MALLOUL 30 MIN</t>
  </si>
  <si>
    <t>CLDIVATML</t>
  </si>
  <si>
    <t>CLIENTS DIVERS AIT MELLOUL</t>
  </si>
  <si>
    <t>CLDIVCHFN</t>
  </si>
  <si>
    <t>CLIENTS DIVERS CHEFCHAOUNI</t>
  </si>
  <si>
    <t>CLDIVDOM</t>
  </si>
  <si>
    <t>CLIENTS DIVERS DOMICILE</t>
  </si>
  <si>
    <t>CLDIVFDAE</t>
  </si>
  <si>
    <t>CLIENTS DIVERS FEDERAT AUTO ECOLE</t>
  </si>
  <si>
    <t>CLDIVKNT</t>
  </si>
  <si>
    <t>CLIENTS DIVERS KENITRA</t>
  </si>
  <si>
    <t>CLDIVKHOURBGA</t>
  </si>
  <si>
    <t>CLIENTS DIVERS KHOURIBGA</t>
  </si>
  <si>
    <t>CLDIVMAARIF</t>
  </si>
  <si>
    <t>CLIENTS DIVERS MAARIF</t>
  </si>
  <si>
    <t>CLDIVMARRAKECH</t>
  </si>
  <si>
    <t>CLIENTS DIVERS MARRAKECH</t>
  </si>
  <si>
    <t>CLD30MARRAKECH</t>
  </si>
  <si>
    <t>CLIENTS DIVERS MARRAKECH 30 MIN</t>
  </si>
  <si>
    <t>CLDIVMEK</t>
  </si>
  <si>
    <t>CLIENTS DIVERS MEKNES</t>
  </si>
  <si>
    <t>CLD30MEK</t>
  </si>
  <si>
    <t>CLIENTS DIVERS MEKNES 30 MIN</t>
  </si>
  <si>
    <t>CLDIVRBH</t>
  </si>
  <si>
    <t>CLIENTS DIVERS RABAT HASSAN</t>
  </si>
  <si>
    <t>CLD30RBH</t>
  </si>
  <si>
    <t>CLIENTS DIVERS RABAT HASSAN 30 MIN</t>
  </si>
  <si>
    <t>CLDIVSIEGE</t>
  </si>
  <si>
    <t>CLIENTS DIVERS SIEGE</t>
  </si>
  <si>
    <t>CLD30SIEGE</t>
  </si>
  <si>
    <t>CLIENTS DIVERS SIEGE 30MIN</t>
  </si>
  <si>
    <t>CLDIVPSSG</t>
  </si>
  <si>
    <t>CLIENTS DIVERS SIEGE PS</t>
  </si>
  <si>
    <t>CLDIVTDR</t>
  </si>
  <si>
    <t>CLIENTS DIVERS TADART</t>
  </si>
  <si>
    <t>CLDIVTGE</t>
  </si>
  <si>
    <t>CLIENTS DIVERS TANGER</t>
  </si>
  <si>
    <t>CLD30TANGER</t>
  </si>
  <si>
    <t>CLIENTS DIVERS TANGER 30 MIN</t>
  </si>
  <si>
    <t>CLDIVTXT</t>
  </si>
  <si>
    <t>CLIENTS DIVERS TAXI</t>
  </si>
  <si>
    <t>CLDIVTICHKA</t>
  </si>
  <si>
    <t>CLIENTS DIVERS TICHKA</t>
  </si>
  <si>
    <t>CLDIVZT</t>
  </si>
  <si>
    <t>CLIENTS DIVERS ZENATA</t>
  </si>
  <si>
    <t>CLR0074</t>
  </si>
  <si>
    <t>PNEUMATIQUE SARHANE</t>
  </si>
  <si>
    <t>JORF EL MALHA</t>
  </si>
  <si>
    <t>CLT0173</t>
  </si>
  <si>
    <t>CMTL</t>
  </si>
  <si>
    <t>CLS0487</t>
  </si>
  <si>
    <t>COGETRANS</t>
  </si>
  <si>
    <t>CLR0075</t>
  </si>
  <si>
    <t>MAJIDI ABDESSLAM</t>
  </si>
  <si>
    <t>CLS0108</t>
  </si>
  <si>
    <t>COMARBOIS</t>
  </si>
  <si>
    <t>CLA0004</t>
  </si>
  <si>
    <t>COMMUNE URBAINE DE CASABLANCA</t>
  </si>
  <si>
    <t>CLS0404</t>
  </si>
  <si>
    <t>COMPAGNIE MINIERE DE SEKSAOUA</t>
  </si>
  <si>
    <t>CLS0138</t>
  </si>
  <si>
    <t>COMPAGNIE MINIERE DES GUEMASSA</t>
  </si>
  <si>
    <t>CLR0076</t>
  </si>
  <si>
    <t>PNEUS MOBARAK</t>
  </si>
  <si>
    <t>CLR0077</t>
  </si>
  <si>
    <t>STE CHAMAL PNEUX</t>
  </si>
  <si>
    <t>OUAZANE</t>
  </si>
  <si>
    <t>CLS1038</t>
  </si>
  <si>
    <t>COMPTOIR DU ROULEMENT</t>
  </si>
  <si>
    <t>CLS1408</t>
  </si>
  <si>
    <t>COMPTOIR GENERAL DU DADES</t>
  </si>
  <si>
    <t>CLS1115</t>
  </si>
  <si>
    <t>COMPTOIR RAMADA</t>
  </si>
  <si>
    <t>CLT0101</t>
  </si>
  <si>
    <t>COMPTOIR SERVICE</t>
  </si>
  <si>
    <t>CLS0871</t>
  </si>
  <si>
    <t>Comptoire géneral de Dades</t>
  </si>
  <si>
    <t>CLS0654</t>
  </si>
  <si>
    <t>COMPTOIRE NAKHIL MARRAKECH</t>
  </si>
  <si>
    <t>CLS0153</t>
  </si>
  <si>
    <t>COMUNIVERS</t>
  </si>
  <si>
    <t>CLR0078</t>
  </si>
  <si>
    <t>STE TAZA SERVICE TRAD</t>
  </si>
  <si>
    <t>TAZA</t>
  </si>
  <si>
    <t>CLA0043</t>
  </si>
  <si>
    <t>CONSEIL DES OLAMA DE SIDI BENNOUR</t>
  </si>
  <si>
    <t>CLT0251</t>
  </si>
  <si>
    <t>CONSOLIDAIRE TRANS SERVICE</t>
  </si>
  <si>
    <t>CLS0169</t>
  </si>
  <si>
    <t>CONSTRUCTION METTALIQUE SYSTEME</t>
  </si>
  <si>
    <t>CLS0521</t>
  </si>
  <si>
    <t>COPAG</t>
  </si>
  <si>
    <t>CLR0079</t>
  </si>
  <si>
    <t>HIBA PNEUMATIQUE</t>
  </si>
  <si>
    <t>CLS0931</t>
  </si>
  <si>
    <t>CORAIL TRANSPORT</t>
  </si>
  <si>
    <t>CLS0832</t>
  </si>
  <si>
    <t>COTER</t>
  </si>
  <si>
    <t>CLT0068</t>
  </si>
  <si>
    <t>COTRAMAB</t>
  </si>
  <si>
    <t>CLS0347</t>
  </si>
  <si>
    <t>COUV DINDE</t>
  </si>
  <si>
    <t>CLT0198</t>
  </si>
  <si>
    <t>CRUISE TRANSPORT</t>
  </si>
  <si>
    <t>CLS0222</t>
  </si>
  <si>
    <t>CS2I</t>
  </si>
  <si>
    <t>CLT0404</t>
  </si>
  <si>
    <t>CSL s.a.r.l</t>
  </si>
  <si>
    <t>CLS1463</t>
  </si>
  <si>
    <t>CTE  MECHOUAR MARRAKECH</t>
  </si>
  <si>
    <t>CLF0001</t>
  </si>
  <si>
    <t>CURRUS</t>
  </si>
  <si>
    <t>CLT0298</t>
  </si>
  <si>
    <t>D . D . S</t>
  </si>
  <si>
    <t>CLR0080</t>
  </si>
  <si>
    <t>STE COMMERC. RIDAHI LILAHBAB</t>
  </si>
  <si>
    <t>CLA0010</t>
  </si>
  <si>
    <t>D C G M</t>
  </si>
  <si>
    <t>CLS1215</t>
  </si>
  <si>
    <t>DABA ASSISTANCE</t>
  </si>
  <si>
    <t>CLT0212</t>
  </si>
  <si>
    <t>DACHSER MOROCCO</t>
  </si>
  <si>
    <t>CLT0203</t>
  </si>
  <si>
    <t>DAFT</t>
  </si>
  <si>
    <t>CLS1179</t>
  </si>
  <si>
    <t>DAKMAR TRANS</t>
  </si>
  <si>
    <t>CLS0136</t>
  </si>
  <si>
    <t>DAKO CONSTRUCTION</t>
  </si>
  <si>
    <t>CLS0785</t>
  </si>
  <si>
    <t>DALIA CORP</t>
  </si>
  <si>
    <t>CLS0349</t>
  </si>
  <si>
    <t>DALIA FOODS</t>
  </si>
  <si>
    <t>CLS0392</t>
  </si>
  <si>
    <t>DAMANDIS</t>
  </si>
  <si>
    <t>CLT0025</t>
  </si>
  <si>
    <t>DANA TRANSPORT</t>
  </si>
  <si>
    <t>CLT0051</t>
  </si>
  <si>
    <t>DAOUDI LOGISTIC</t>
  </si>
  <si>
    <t>CLS0950</t>
  </si>
  <si>
    <t>DAR L'BRIQ</t>
  </si>
  <si>
    <t>CLS0092</t>
  </si>
  <si>
    <t>DARAN</t>
  </si>
  <si>
    <t>CLT0165</t>
  </si>
  <si>
    <t>DARKAOUI MOHAMED</t>
  </si>
  <si>
    <t>CLT0284</t>
  </si>
  <si>
    <t>DATA EXPRESS FARIDI</t>
  </si>
  <si>
    <t>CLR0081</t>
  </si>
  <si>
    <t>PNEUMATIQUE SMARA</t>
  </si>
  <si>
    <t>CLS0344</t>
  </si>
  <si>
    <t>DAWAJINE AL MARAI</t>
  </si>
  <si>
    <t>CLS0346</t>
  </si>
  <si>
    <t>DAWAJINE VIANDES</t>
  </si>
  <si>
    <t>CLS0326</t>
  </si>
  <si>
    <t>DBILIJ CAR</t>
  </si>
  <si>
    <t>CLS0463</t>
  </si>
  <si>
    <t>DELATRE LEVIVIER MAROC</t>
  </si>
  <si>
    <t>CLS0589</t>
  </si>
  <si>
    <t>DELATTRE GENARALE MECANIQUE</t>
  </si>
  <si>
    <t>CLS0619</t>
  </si>
  <si>
    <t>DELATTRE GENERALE DE MECANIQUE</t>
  </si>
  <si>
    <t>CLA0041</t>
  </si>
  <si>
    <t>DELEGATION TOURISME</t>
  </si>
  <si>
    <t>CLS0583</t>
  </si>
  <si>
    <t>DELTA  ARGILE</t>
  </si>
  <si>
    <t>CLS1229</t>
  </si>
  <si>
    <t>DELTA HOLDING</t>
  </si>
  <si>
    <t>CLS1149</t>
  </si>
  <si>
    <t>DERICHEBOURG IFRANE</t>
  </si>
  <si>
    <t>CLS0372</t>
  </si>
  <si>
    <t>DERICHEBOURG MAROC</t>
  </si>
  <si>
    <t>CLS1021</t>
  </si>
  <si>
    <t>DERICHEBOURG MARRAKECH</t>
  </si>
  <si>
    <t>CLS1063</t>
  </si>
  <si>
    <t>DERICHEBOURG MAZAGAN</t>
  </si>
  <si>
    <t>CLS1020</t>
  </si>
  <si>
    <t>DERICHEBOURG RABAT</t>
  </si>
  <si>
    <t>CLS0159</t>
  </si>
  <si>
    <t>DIAGONAL CONSTRUCTION</t>
  </si>
  <si>
    <t>CLR0082</t>
  </si>
  <si>
    <t>STE PNEUMATIQUE EL KSAR</t>
  </si>
  <si>
    <t>CLA0039</t>
  </si>
  <si>
    <t>DIRECTION GLE DE PROTECTION CIVIL</t>
  </si>
  <si>
    <t>CLA0003</t>
  </si>
  <si>
    <t>DIRECTION LOGISTIQUE</t>
  </si>
  <si>
    <t>CLA0007</t>
  </si>
  <si>
    <t>DIRECTION REG DES DOMAINES</t>
  </si>
  <si>
    <t>CLS1468</t>
  </si>
  <si>
    <t>DISGOUP</t>
  </si>
  <si>
    <t>CLS0022</t>
  </si>
  <si>
    <t>DISLOG</t>
  </si>
  <si>
    <t>CLT0042</t>
  </si>
  <si>
    <t>DISPOTRANS</t>
  </si>
  <si>
    <t>CLT0069</t>
  </si>
  <si>
    <t>DISTRACOM</t>
  </si>
  <si>
    <t>CLT0405</t>
  </si>
  <si>
    <t>DISTRANS EXPRESS MAROC</t>
  </si>
  <si>
    <t>CLA0020</t>
  </si>
  <si>
    <t>DISTRECT POLICE SD BERNOUSSI</t>
  </si>
  <si>
    <t>CLR0083</t>
  </si>
  <si>
    <t>VULCANISATION RAPID</t>
  </si>
  <si>
    <t>CLA0009</t>
  </si>
  <si>
    <t>DISTRICT AIN CHOCK</t>
  </si>
  <si>
    <t>CLA0025</t>
  </si>
  <si>
    <t>DISTRICT AIN SEBAA HAY MOHAMMADI</t>
  </si>
  <si>
    <t>CLA0031</t>
  </si>
  <si>
    <t>DISTRICT DU PORT MARITIME CASA</t>
  </si>
  <si>
    <t>CLA0008</t>
  </si>
  <si>
    <t>DISTRICT HAY HASSANI</t>
  </si>
  <si>
    <t>CLS677</t>
  </si>
  <si>
    <t>DOLIDOL</t>
  </si>
  <si>
    <t>CLS0333</t>
  </si>
  <si>
    <t>DOUKKALA GAZ</t>
  </si>
  <si>
    <t>CLS0639</t>
  </si>
  <si>
    <t>DRAA PREFA</t>
  </si>
  <si>
    <t>CLS1382</t>
  </si>
  <si>
    <t>DREAM'S STATION</t>
  </si>
  <si>
    <t>CLR0084</t>
  </si>
  <si>
    <t>PNEUMATIQUE AFRICA</t>
  </si>
  <si>
    <t>CLA0028</t>
  </si>
  <si>
    <t>DRM NORT EST FES</t>
  </si>
  <si>
    <t>CLS0485</t>
  </si>
  <si>
    <t>DROGUERIE BISMILLAH</t>
  </si>
  <si>
    <t>CLS1141</t>
  </si>
  <si>
    <t>DS PNEU</t>
  </si>
  <si>
    <t>CLS0605</t>
  </si>
  <si>
    <t>DUNLOP SERVICE</t>
  </si>
  <si>
    <t>CLS1109</t>
  </si>
  <si>
    <t>DYNAMIC MOTORS</t>
  </si>
  <si>
    <t>CLA0005</t>
  </si>
  <si>
    <t>E A C C E</t>
  </si>
  <si>
    <t>CLS0160</t>
  </si>
  <si>
    <t>E C A EL MARAH</t>
  </si>
  <si>
    <t>CLS0126</t>
  </si>
  <si>
    <t>E C D S</t>
  </si>
  <si>
    <t>CLS0031</t>
  </si>
  <si>
    <t>E N T C</t>
  </si>
  <si>
    <t>CLS1192</t>
  </si>
  <si>
    <t>E P E P</t>
  </si>
  <si>
    <t>CLS0627</t>
  </si>
  <si>
    <t>E.N.P.R.</t>
  </si>
  <si>
    <t>CLS0578</t>
  </si>
  <si>
    <t>E.R.M.P.</t>
  </si>
  <si>
    <t>CLS0010</t>
  </si>
  <si>
    <t>E.T.F</t>
  </si>
  <si>
    <t>CLS0769</t>
  </si>
  <si>
    <t>EAGLE CORP</t>
  </si>
  <si>
    <t>CLT0031</t>
  </si>
  <si>
    <t>EAGLE TRANS</t>
  </si>
  <si>
    <t>CLS0001</t>
  </si>
  <si>
    <t>EBERTEC</t>
  </si>
  <si>
    <t>CLS0965</t>
  </si>
  <si>
    <t>EBOOKING CAR</t>
  </si>
  <si>
    <t>CLS0692</t>
  </si>
  <si>
    <t>EBT SERVICES</t>
  </si>
  <si>
    <t>CLS0015</t>
  </si>
  <si>
    <t>ECO 2A</t>
  </si>
  <si>
    <t>CLS1476</t>
  </si>
  <si>
    <t>ECO AZEMMOUR</t>
  </si>
  <si>
    <t>CLR0085</t>
  </si>
  <si>
    <t>PNEUMATIQUE DAR OULD ZIDOUH</t>
  </si>
  <si>
    <t>DAR OULD ZIDOUH</t>
  </si>
  <si>
    <t>CLS0446</t>
  </si>
  <si>
    <t>ECOGER</t>
  </si>
  <si>
    <t>CLS0603</t>
  </si>
  <si>
    <t>ECOLE EL JABR</t>
  </si>
  <si>
    <t>CLS0511</t>
  </si>
  <si>
    <t>ECOLE LE ROSEAU</t>
  </si>
  <si>
    <t>CLS0793</t>
  </si>
  <si>
    <t>ECONOMY LLD</t>
  </si>
  <si>
    <t>CLS0099</t>
  </si>
  <si>
    <t>ECOPRAM  SARL</t>
  </si>
  <si>
    <t>CLS0476</t>
  </si>
  <si>
    <t>ECOTRA</t>
  </si>
  <si>
    <t>CLS0814</t>
  </si>
  <si>
    <t>EGEC</t>
  </si>
  <si>
    <t>CLS1423</t>
  </si>
  <si>
    <t>EGLOFEE</t>
  </si>
  <si>
    <t>CLS1446</t>
  </si>
  <si>
    <t>EJJENNANE MOHAMED</t>
  </si>
  <si>
    <t>OULAD TEIMA</t>
  </si>
  <si>
    <t>CLR0086</t>
  </si>
  <si>
    <t>PNEUMATIQUE AL MANSOURA</t>
  </si>
  <si>
    <t>CLR0087</t>
  </si>
  <si>
    <t>ARIF SAID</t>
  </si>
  <si>
    <t>BIR JDID</t>
  </si>
  <si>
    <t>CLS1086</t>
  </si>
  <si>
    <t>EL BAYED PIECES AUTO</t>
  </si>
  <si>
    <t>CLT0337</t>
  </si>
  <si>
    <t>EL HABZA TRANS</t>
  </si>
  <si>
    <t>CLS1197</t>
  </si>
  <si>
    <t>EL HADDADI TRANSPORT</t>
  </si>
  <si>
    <t>CLR0088</t>
  </si>
  <si>
    <t>PNEUMATIQUE TAIBA</t>
  </si>
  <si>
    <t>CLT0467</t>
  </si>
  <si>
    <t>EL HASNAOUI MADANI</t>
  </si>
  <si>
    <t>CLS1212</t>
  </si>
  <si>
    <t>EL HICHOU PNEU</t>
  </si>
  <si>
    <t>CLS0047</t>
  </si>
  <si>
    <t>EL KANDOUSSI</t>
  </si>
  <si>
    <t>CLR0089</t>
  </si>
  <si>
    <t>STE PNEUMATIQUE AIT DAOUD</t>
  </si>
  <si>
    <t>CLT0357</t>
  </si>
  <si>
    <t>EL MANSOURI ABDERRAHIM</t>
  </si>
  <si>
    <t>CLR0090</t>
  </si>
  <si>
    <t>PNEUTIQ ABDELHAMID &amp;</t>
  </si>
  <si>
    <t>CLR0091</t>
  </si>
  <si>
    <t>AUTO CONSULT</t>
  </si>
  <si>
    <t>CLT0180</t>
  </si>
  <si>
    <t>EL OUALI TRANSPORT</t>
  </si>
  <si>
    <t>CLR0092</t>
  </si>
  <si>
    <t>NAIR PNEUMATIQUE</t>
  </si>
  <si>
    <t>CLS0681</t>
  </si>
  <si>
    <t>EL WASSIT AUTO SERVICE</t>
  </si>
  <si>
    <t>CLT0159</t>
  </si>
  <si>
    <t>EL YAMA TRANSPORT</t>
  </si>
  <si>
    <t>CLS1045</t>
  </si>
  <si>
    <t>ELATARI CAR</t>
  </si>
  <si>
    <t>CLS0998</t>
  </si>
  <si>
    <t>ELECTRA</t>
  </si>
  <si>
    <t>CLS0631</t>
  </si>
  <si>
    <t>ELECTRO INDUSTRIE</t>
  </si>
  <si>
    <t>CLS0512</t>
  </si>
  <si>
    <t>ELECTRO TADART</t>
  </si>
  <si>
    <t>CLT0577</t>
  </si>
  <si>
    <t>E-LOGISTICS</t>
  </si>
  <si>
    <t>SIDI SMAIL</t>
  </si>
  <si>
    <t>CLS1456</t>
  </si>
  <si>
    <t>ELORF NEGOCE</t>
  </si>
  <si>
    <t>CLS0676</t>
  </si>
  <si>
    <t>ELTEN</t>
  </si>
  <si>
    <t>CLS1107</t>
  </si>
  <si>
    <t>ELWISSAM EDDAHABI</t>
  </si>
  <si>
    <t>CLS0477</t>
  </si>
  <si>
    <t>EMACOTRA</t>
  </si>
  <si>
    <t>CLS0726</t>
  </si>
  <si>
    <t>EMILE CAR</t>
  </si>
  <si>
    <t>CLS0557</t>
  </si>
  <si>
    <t>EMRA</t>
  </si>
  <si>
    <t>CLS0662</t>
  </si>
  <si>
    <t>ENELAC</t>
  </si>
  <si>
    <t>CLS0880</t>
  </si>
  <si>
    <t>ENEMATRAT</t>
  </si>
  <si>
    <t>CLS0919</t>
  </si>
  <si>
    <t>ENERGY TRANSFO</t>
  </si>
  <si>
    <t>CLT0570</t>
  </si>
  <si>
    <t>ENIMA PREFA</t>
  </si>
  <si>
    <t>CLR0093</t>
  </si>
  <si>
    <t>LEADER PNEUS</t>
  </si>
  <si>
    <t>CLT0238</t>
  </si>
  <si>
    <t>ENNASSIRIA TRS</t>
  </si>
  <si>
    <t>CLS0248</t>
  </si>
  <si>
    <t>ENT DE CONSTRUCTION EL OILLAF</t>
  </si>
  <si>
    <t>CLS0644</t>
  </si>
  <si>
    <t>ENT EL HAJJI ABDELLAH</t>
  </si>
  <si>
    <t>CLS0273</t>
  </si>
  <si>
    <t>ENTISEGE</t>
  </si>
  <si>
    <t>CLS0386</t>
  </si>
  <si>
    <t>ENTOURAGE ELECTRICITE</t>
  </si>
  <si>
    <t>CLS0926</t>
  </si>
  <si>
    <t>ENTREPRISE BOUDRAHAM DE CONSTRUCTIO</t>
  </si>
  <si>
    <t>CLS01035</t>
  </si>
  <si>
    <t>ENTREPRISE BOUYACHTAT</t>
  </si>
  <si>
    <t>CLS1311</t>
  </si>
  <si>
    <t>ENTREPRISE EL HALLAOUI</t>
  </si>
  <si>
    <t>CLS0053</t>
  </si>
  <si>
    <t>ENTREPRISE ETTOLBA</t>
  </si>
  <si>
    <t>CLS0322</t>
  </si>
  <si>
    <t>ENTREPRISE HIMMOU</t>
  </si>
  <si>
    <t>CLS0847</t>
  </si>
  <si>
    <t>ENTREPRISE MOHCINE</t>
  </si>
  <si>
    <t>CLS0059</t>
  </si>
  <si>
    <t>ENTREPRISE MOUSSADAK BOUCHTA</t>
  </si>
  <si>
    <t>CLS0582</t>
  </si>
  <si>
    <t>ENTREPRISE OUARRACH HAMID</t>
  </si>
  <si>
    <t>CLS0261</t>
  </si>
  <si>
    <t>ENTREPRISE SEFIANI</t>
  </si>
  <si>
    <t>CLS1202</t>
  </si>
  <si>
    <t>EPME ELECTRIC</t>
  </si>
  <si>
    <t>CLT0191</t>
  </si>
  <si>
    <t>EQUINOX TRANSPORT</t>
  </si>
  <si>
    <t>CLS0213</t>
  </si>
  <si>
    <t>EQUIPEMENT ERRAIS</t>
  </si>
  <si>
    <t>CLS0098</t>
  </si>
  <si>
    <t>EQUIPEMENT OUARZAZATE</t>
  </si>
  <si>
    <t>CLS0196</t>
  </si>
  <si>
    <t>ERRATI CONSTRUCTION</t>
  </si>
  <si>
    <t>CLS1208</t>
  </si>
  <si>
    <t>ERRECHCHAM MOHAMED</t>
  </si>
  <si>
    <t>CLS1046</t>
  </si>
  <si>
    <t>ESCORT SERVICES CAR</t>
  </si>
  <si>
    <t>CLR0094</t>
  </si>
  <si>
    <t>PNEUMATIQUE EL FASSIA</t>
  </si>
  <si>
    <t>CLS0622</t>
  </si>
  <si>
    <t>ESOTRAM</t>
  </si>
  <si>
    <t>CLS1121</t>
  </si>
  <si>
    <t>ESPACE DE LOCATION</t>
  </si>
  <si>
    <t>CLR0095</t>
  </si>
  <si>
    <t>SAIDI PNEU</t>
  </si>
  <si>
    <t>CLR0096</t>
  </si>
  <si>
    <t>TILAL PNEUS</t>
  </si>
  <si>
    <t>CLR0097</t>
  </si>
  <si>
    <t>STE FILS TOUNSSI</t>
  </si>
  <si>
    <t>CLS0638</t>
  </si>
  <si>
    <t>ESPACE REMORQUE</t>
  </si>
  <si>
    <t>CLS0678</t>
  </si>
  <si>
    <t>ESPACE VERT</t>
  </si>
  <si>
    <t>CLS0760</t>
  </si>
  <si>
    <t>ESPANO CERAME</t>
  </si>
  <si>
    <t>CLS0566</t>
  </si>
  <si>
    <t>ESPERIDEZ</t>
  </si>
  <si>
    <t>CLT0289</t>
  </si>
  <si>
    <t>ESSALAM TRANS</t>
  </si>
  <si>
    <t>CLR0098</t>
  </si>
  <si>
    <t>MULTI PNEU</t>
  </si>
  <si>
    <t>CLS182</t>
  </si>
  <si>
    <t>ESTAR BATIMENT</t>
  </si>
  <si>
    <t>CLS0705</t>
  </si>
  <si>
    <t>ETAF</t>
  </si>
  <si>
    <t>CLS0304</t>
  </si>
  <si>
    <t>ETAPE AUTO MAROC</t>
  </si>
  <si>
    <t>CLS1131</t>
  </si>
  <si>
    <t>ETHANOL</t>
  </si>
  <si>
    <t>CLS0643</t>
  </si>
  <si>
    <t>ETIJ TRAD</t>
  </si>
  <si>
    <t>CLR0099</t>
  </si>
  <si>
    <t>PNEUMATIQUES OULED HADDOU</t>
  </si>
  <si>
    <t>CLS1196</t>
  </si>
  <si>
    <t>ETS BOULADAB FRERES</t>
  </si>
  <si>
    <t>CLS0135</t>
  </si>
  <si>
    <t>ETS BOUTCHRAFIN</t>
  </si>
  <si>
    <t>ERFOUD</t>
  </si>
  <si>
    <t>CLS0500</t>
  </si>
  <si>
    <t>ETS HANIN FRERES</t>
  </si>
  <si>
    <t>CLR0100</t>
  </si>
  <si>
    <t>PNEUMATIQUE DEROUA</t>
  </si>
  <si>
    <t>CLS0606</t>
  </si>
  <si>
    <t>ETS LAHLOU MOHAMED</t>
  </si>
  <si>
    <t>CLS1373</t>
  </si>
  <si>
    <t>ETS OUBAHA ET FILS</t>
  </si>
  <si>
    <t>CLS0256</t>
  </si>
  <si>
    <t>ETS TAJ ZAIM FRERES</t>
  </si>
  <si>
    <t>CLR0101</t>
  </si>
  <si>
    <t>PNEUS BAB MANSOUR</t>
  </si>
  <si>
    <t>CLR0102</t>
  </si>
  <si>
    <t>PNEUMATIQ MAINTENANCE SERVICES</t>
  </si>
  <si>
    <t>CLR0103</t>
  </si>
  <si>
    <t>PNEUMATIQUE JAMILA</t>
  </si>
  <si>
    <t>CLS0741</t>
  </si>
  <si>
    <t>EUROBENNES</t>
  </si>
  <si>
    <t>CLT0009</t>
  </si>
  <si>
    <t>EUROCAM</t>
  </si>
  <si>
    <t>CLS0142</t>
  </si>
  <si>
    <t>EUROGATE</t>
  </si>
  <si>
    <t>CLS1029</t>
  </si>
  <si>
    <t>EVER BEST CAR</t>
  </si>
  <si>
    <t>CLS1147</t>
  </si>
  <si>
    <t>EVERTON CAR</t>
  </si>
  <si>
    <t>CLR0104</t>
  </si>
  <si>
    <t>TECHNIQUE DE SERVICES ET PNEUS</t>
  </si>
  <si>
    <t>CLS0936</t>
  </si>
  <si>
    <t>EXPBAT</t>
  </si>
  <si>
    <t>CLS0621</t>
  </si>
  <si>
    <t>EXPERT PREFA</t>
  </si>
  <si>
    <t>CLS0615</t>
  </si>
  <si>
    <t>EXPERT TRADING</t>
  </si>
  <si>
    <t>CLS0384</t>
  </si>
  <si>
    <t>EXPLOMAR</t>
  </si>
  <si>
    <t>CLS1092</t>
  </si>
  <si>
    <t>EXPOBOIS</t>
  </si>
  <si>
    <t>CLS0575</t>
  </si>
  <si>
    <t>EXPRESS BETON</t>
  </si>
  <si>
    <t>CLS0122</t>
  </si>
  <si>
    <t>EXTRA AGGLOS</t>
  </si>
  <si>
    <t>CLS0576</t>
  </si>
  <si>
    <t>EXTRA BENNES MAROC</t>
  </si>
  <si>
    <t>CLR0105</t>
  </si>
  <si>
    <t>TIDLI SERVICES AUTO</t>
  </si>
  <si>
    <t>CLS1133</t>
  </si>
  <si>
    <t>EZEKARI MOUNIR</t>
  </si>
  <si>
    <t>CLT0007</t>
  </si>
  <si>
    <t>F S TRANS</t>
  </si>
  <si>
    <t>CLR0106</t>
  </si>
  <si>
    <t>PNEUMATIQUE AZAITOUN</t>
  </si>
  <si>
    <t>CLS1213</t>
  </si>
  <si>
    <t>FABEN ISKANE</t>
  </si>
  <si>
    <t>CLS0137</t>
  </si>
  <si>
    <t>FABRINOV</t>
  </si>
  <si>
    <t>CLS0724</t>
  </si>
  <si>
    <t>FANDI PREFA</t>
  </si>
  <si>
    <t>CLS0721</t>
  </si>
  <si>
    <t>FANDY MAROC FARINE</t>
  </si>
  <si>
    <t>CLT0418</t>
  </si>
  <si>
    <t>FANDY TRANSPORT</t>
  </si>
  <si>
    <t>CLS1072</t>
  </si>
  <si>
    <t>FAST PRO</t>
  </si>
  <si>
    <t>CLR0107</t>
  </si>
  <si>
    <t>ENNAHDA MECANIQUE</t>
  </si>
  <si>
    <t>CLS1120</t>
  </si>
  <si>
    <t>FED BRIQ</t>
  </si>
  <si>
    <t>CLS0740</t>
  </si>
  <si>
    <t>FENIE BROSSETTE</t>
  </si>
  <si>
    <t>CLS1474</t>
  </si>
  <si>
    <t>FERKLA BETONS</t>
  </si>
  <si>
    <t>CLS0157</t>
  </si>
  <si>
    <t>FGCR  SARL</t>
  </si>
  <si>
    <t>CLR0108</t>
  </si>
  <si>
    <t>PNEUMARHABA</t>
  </si>
  <si>
    <t>CLS0030</t>
  </si>
  <si>
    <t>FIRST CAR</t>
  </si>
  <si>
    <t>CLS0599</t>
  </si>
  <si>
    <t>FIRST DISTRIBUTION INDUSTRIEL</t>
  </si>
  <si>
    <t>CLT0302</t>
  </si>
  <si>
    <t>FIRST LOGISTIC MOVERS</t>
  </si>
  <si>
    <t>CLR0109</t>
  </si>
  <si>
    <t>PNEUMATIQUE AZIZI</t>
  </si>
  <si>
    <t>CLS1471</t>
  </si>
  <si>
    <t>FLEETCOST</t>
  </si>
  <si>
    <t>CLS1445</t>
  </si>
  <si>
    <t>FLEX AUTO</t>
  </si>
  <si>
    <t>CLS0694</t>
  </si>
  <si>
    <t>FLEXI AUTO</t>
  </si>
  <si>
    <t>CLT0290</t>
  </si>
  <si>
    <t>FLI ROUTIERE</t>
  </si>
  <si>
    <t>MISSOUR</t>
  </si>
  <si>
    <t>CLS0689</t>
  </si>
  <si>
    <t>FLSMIDTH</t>
  </si>
  <si>
    <t>JORF LASFAR</t>
  </si>
  <si>
    <t>CLS1191</t>
  </si>
  <si>
    <t>FMJ TRANS</t>
  </si>
  <si>
    <t>CLS0708</t>
  </si>
  <si>
    <t>FONDATION ATTAWFIQ</t>
  </si>
  <si>
    <t>CLS0312</t>
  </si>
  <si>
    <t>FOODS GOODS</t>
  </si>
  <si>
    <t>CLS0773</t>
  </si>
  <si>
    <t>FORAMAG S.A.</t>
  </si>
  <si>
    <t>CLR0110</t>
  </si>
  <si>
    <t>PALM AUTO</t>
  </si>
  <si>
    <t>CLA0026</t>
  </si>
  <si>
    <t>FORCES ARMEES ROYALES</t>
  </si>
  <si>
    <t>CLR0111</t>
  </si>
  <si>
    <t>PNEU BENARBIA</t>
  </si>
  <si>
    <t>BENI DRAR</t>
  </si>
  <si>
    <t>CLS0103</t>
  </si>
  <si>
    <t>FOUBUMAR</t>
  </si>
  <si>
    <t>CLR0112</t>
  </si>
  <si>
    <t>TAGADIRT PROMOTION</t>
  </si>
  <si>
    <t>CLT0278</t>
  </si>
  <si>
    <t>FOX TRANSPORT</t>
  </si>
  <si>
    <t>CLS1007</t>
  </si>
  <si>
    <t>FPR 3 SARL</t>
  </si>
  <si>
    <t>CLS0371</t>
  </si>
  <si>
    <t>FRANCE CAR</t>
  </si>
  <si>
    <t>CLS1055</t>
  </si>
  <si>
    <t>FREINS EXPRES DOUKKALA</t>
  </si>
  <si>
    <t>CLR0113</t>
  </si>
  <si>
    <t>LEADER MOTORS</t>
  </si>
  <si>
    <t>CLT0410</t>
  </si>
  <si>
    <t>FUST TRANSPORT</t>
  </si>
  <si>
    <t>CLT0372</t>
  </si>
  <si>
    <t>FUTUR TRANS ATLANTIC</t>
  </si>
  <si>
    <t>CLT0104</t>
  </si>
  <si>
    <t>FUTUR TRANS MAROC</t>
  </si>
  <si>
    <t>CLS0199</t>
  </si>
  <si>
    <t>G 3 C</t>
  </si>
  <si>
    <t>CLS0735</t>
  </si>
  <si>
    <t>G T C</t>
  </si>
  <si>
    <t>CLS1052</t>
  </si>
  <si>
    <t>G.S RAYHANA</t>
  </si>
  <si>
    <t>CLT0406</t>
  </si>
  <si>
    <t>GABS SARL</t>
  </si>
  <si>
    <t>CLT0189</t>
  </si>
  <si>
    <t>GAMBRI TRANS</t>
  </si>
  <si>
    <t>CLS0391</t>
  </si>
  <si>
    <t>GANTER  SARL</t>
  </si>
  <si>
    <t>CLR0114</t>
  </si>
  <si>
    <t>TABIT PNEUS OULAD ABBOU</t>
  </si>
  <si>
    <t>CLR0115</t>
  </si>
  <si>
    <t>PNEUMATIQUE ATTAKOUA</t>
  </si>
  <si>
    <t>CLS0849</t>
  </si>
  <si>
    <t>GARAGE ESSAFA</t>
  </si>
  <si>
    <t>CLS0826</t>
  </si>
  <si>
    <t>GARAGE MOUQRICH</t>
  </si>
  <si>
    <t>CLS0846</t>
  </si>
  <si>
    <t>GARAGE PLUS</t>
  </si>
  <si>
    <t>CLR0116</t>
  </si>
  <si>
    <t>AUTOZONE</t>
  </si>
  <si>
    <t>BEN GUERIR</t>
  </si>
  <si>
    <t>CLR0117</t>
  </si>
  <si>
    <t>BENARBIA MOHAMED</t>
  </si>
  <si>
    <t>CLR0118</t>
  </si>
  <si>
    <t>PNEUMATIQUE MENOUNI</t>
  </si>
  <si>
    <t>TAOUJTATE</t>
  </si>
  <si>
    <t>CLS0996</t>
  </si>
  <si>
    <t>GARAGE TARIK BNOU ZIAD</t>
  </si>
  <si>
    <t>CLS0464</t>
  </si>
  <si>
    <t>GCR</t>
  </si>
  <si>
    <t>CLS0141</t>
  </si>
  <si>
    <t>GECOTAN</t>
  </si>
  <si>
    <t>CLS0821</t>
  </si>
  <si>
    <t>GENA</t>
  </si>
  <si>
    <t>CLR0119</t>
  </si>
  <si>
    <t>JAAFARI HASSAN</t>
  </si>
  <si>
    <t>CLS0904</t>
  </si>
  <si>
    <t>GENERAL CHANTIERS</t>
  </si>
  <si>
    <t>CLR0120</t>
  </si>
  <si>
    <t>PNEUMATIQUE ERRACHIDIA</t>
  </si>
  <si>
    <t>CLS0503</t>
  </si>
  <si>
    <t>GENERALE ROUTIERE</t>
  </si>
  <si>
    <t>CLS0707</t>
  </si>
  <si>
    <t>GENIAL CAR</t>
  </si>
  <si>
    <t>CLS0510</t>
  </si>
  <si>
    <t>GERMANETTI MAROC</t>
  </si>
  <si>
    <t>CLT0033</t>
  </si>
  <si>
    <t>GERONIMO CONSULTING</t>
  </si>
  <si>
    <t>CLS0210</t>
  </si>
  <si>
    <t>GESTION MULTISERVICES</t>
  </si>
  <si>
    <t>CLT0075</t>
  </si>
  <si>
    <t>GETRASCO</t>
  </si>
  <si>
    <t>CLT0470</t>
  </si>
  <si>
    <t>GHAZALA TOURISME</t>
  </si>
  <si>
    <t>CLS1413</t>
  </si>
  <si>
    <t>GHOLAMI INTERNATIONAL BOIS</t>
  </si>
  <si>
    <t>CLS0527</t>
  </si>
  <si>
    <t>GIVAUDAN</t>
  </si>
  <si>
    <t>CLS0852</t>
  </si>
  <si>
    <t>GLASSAUTO EXPRESS</t>
  </si>
  <si>
    <t>CLS1017</t>
  </si>
  <si>
    <t>GLOBAL ENGINES</t>
  </si>
  <si>
    <t>CLS0331</t>
  </si>
  <si>
    <t>GLOBAL RENT SERVICE</t>
  </si>
  <si>
    <t>CLS0640</t>
  </si>
  <si>
    <t>GLOBAL SATELLITE MOROCCO</t>
  </si>
  <si>
    <t>CLS1064</t>
  </si>
  <si>
    <t>GLOBALTRANS FRIGO</t>
  </si>
  <si>
    <t>CLS0453</t>
  </si>
  <si>
    <t>GLOBE ASSOCIATED CONSULTANTS</t>
  </si>
  <si>
    <t>CLT0434</t>
  </si>
  <si>
    <t>GLOG MAROC</t>
  </si>
  <si>
    <t>CLS0105</t>
  </si>
  <si>
    <t>GM EQUIPEMENT</t>
  </si>
  <si>
    <t>CLS1220</t>
  </si>
  <si>
    <t>GM2 TOURS</t>
  </si>
  <si>
    <t>CLS1176</t>
  </si>
  <si>
    <t>GMT</t>
  </si>
  <si>
    <t>CLS0154</t>
  </si>
  <si>
    <t>GOFER</t>
  </si>
  <si>
    <t>CLT0312</t>
  </si>
  <si>
    <t>GOLD TRANS</t>
  </si>
  <si>
    <t>CLR0121</t>
  </si>
  <si>
    <t>PNEUMATIQUE HAFID</t>
  </si>
  <si>
    <t>CLS0373</t>
  </si>
  <si>
    <t>GOODYEAR MAROC</t>
  </si>
  <si>
    <t>CLS1059</t>
  </si>
  <si>
    <t>GRANAL</t>
  </si>
  <si>
    <t>CLS1140</t>
  </si>
  <si>
    <t>GRAND SUD</t>
  </si>
  <si>
    <t>CLS1174</t>
  </si>
  <si>
    <t>GRANDS MOULINS ATLANTC</t>
  </si>
  <si>
    <t>CLS0929</t>
  </si>
  <si>
    <t>GRAVE CASA</t>
  </si>
  <si>
    <t>CLS0037</t>
  </si>
  <si>
    <t>GRAVETTE ET BATIMENT</t>
  </si>
  <si>
    <t>CLR0122</t>
  </si>
  <si>
    <t>PNEUMATIQUE BELHASSAN</t>
  </si>
  <si>
    <t>CLS0311</t>
  </si>
  <si>
    <t>GRICHE CAR</t>
  </si>
  <si>
    <t>CLS0623</t>
  </si>
  <si>
    <t>GRIMAR</t>
  </si>
  <si>
    <t>CLS0794</t>
  </si>
  <si>
    <t>GROUP H  SARL</t>
  </si>
  <si>
    <t>CLS1224</t>
  </si>
  <si>
    <t>GROUPE AIT ADEL</t>
  </si>
  <si>
    <t>CLS0763</t>
  </si>
  <si>
    <t>GROUPE MOJAZINE</t>
  </si>
  <si>
    <t>CLS1158</t>
  </si>
  <si>
    <t>GROUPE MONDIAL SERVICE</t>
  </si>
  <si>
    <t>CLS0319</t>
  </si>
  <si>
    <t>GROUPE SCOLAIRE MISBAH</t>
  </si>
  <si>
    <t>CLS0164</t>
  </si>
  <si>
    <t>GTM TRAVAUX PUBLIC</t>
  </si>
  <si>
    <t>CLT0067</t>
  </si>
  <si>
    <t>GUANTER MAROC TRANSPORT</t>
  </si>
  <si>
    <t>CLR0123</t>
  </si>
  <si>
    <t>PNEUMATIQUE TAKWA</t>
  </si>
  <si>
    <t>CLS1478</t>
  </si>
  <si>
    <t>GUEMAB NEGOCE</t>
  </si>
  <si>
    <t xml:space="preserve"> MARRAKECH</t>
  </si>
  <si>
    <t>CLS1070</t>
  </si>
  <si>
    <t>H.R PIECES AUTO</t>
  </si>
  <si>
    <t>BERKANE</t>
  </si>
  <si>
    <t>CLT0389</t>
  </si>
  <si>
    <t>HACHIMI DISTRIBUTION</t>
  </si>
  <si>
    <t>OUED ZEM</t>
  </si>
  <si>
    <t>CLT0368</t>
  </si>
  <si>
    <t>HADACHI TRANSPORT</t>
  </si>
  <si>
    <t>BOUARFA</t>
  </si>
  <si>
    <t>CLR0124</t>
  </si>
  <si>
    <t>STE GHADDARI MILTI SERVICE</t>
  </si>
  <si>
    <t>GUERCIF</t>
  </si>
  <si>
    <t>CLS0651</t>
  </si>
  <si>
    <t>HAJJI MED PIECES AUTO</t>
  </si>
  <si>
    <t>BOULMANE</t>
  </si>
  <si>
    <t>CLR0125</t>
  </si>
  <si>
    <t>STE AIT MELLOUL PNEUS</t>
  </si>
  <si>
    <t>CLS1401</t>
  </si>
  <si>
    <t>HAMDOUNE CAR</t>
  </si>
  <si>
    <t>CLR0126</t>
  </si>
  <si>
    <t>ADRAR PNEUMATIQUE</t>
  </si>
  <si>
    <t>CLS0923</t>
  </si>
  <si>
    <t>HAMZA LUBRIFIANTS s.a.r.l</t>
  </si>
  <si>
    <t>CLT0403</t>
  </si>
  <si>
    <t>HANI TRANS</t>
  </si>
  <si>
    <t>CLR0127</t>
  </si>
  <si>
    <t>SAROZA PNEU</t>
  </si>
  <si>
    <t>CLT0270</t>
  </si>
  <si>
    <t>HARK TRANS</t>
  </si>
  <si>
    <t>CLT0253</t>
  </si>
  <si>
    <t>HATIFI NOUREDDINE</t>
  </si>
  <si>
    <t>CLS0162</t>
  </si>
  <si>
    <t>HAY MATERIAUX</t>
  </si>
  <si>
    <t>CLS676</t>
  </si>
  <si>
    <t>HAYTAM SERVICE</t>
  </si>
  <si>
    <t>CLR0128</t>
  </si>
  <si>
    <t>TACK DISTRIBUTION</t>
  </si>
  <si>
    <t>CLS1097</t>
  </si>
  <si>
    <t>HICHAM PIECES AUTO</t>
  </si>
  <si>
    <t>CLT0110</t>
  </si>
  <si>
    <t>HICHOU TRANS</t>
  </si>
  <si>
    <t>CLS0325</t>
  </si>
  <si>
    <t>HIRE AUTOMOTIVE GROUP</t>
  </si>
  <si>
    <t>CLR0129</t>
  </si>
  <si>
    <t>PNEUMATIQUE FOUNTY</t>
  </si>
  <si>
    <t>CLS0850</t>
  </si>
  <si>
    <t>HO RENT A CAR</t>
  </si>
  <si>
    <t>CLR0130</t>
  </si>
  <si>
    <t>DISTRI PNEU</t>
  </si>
  <si>
    <t>CLT0254</t>
  </si>
  <si>
    <t>HOUSE LOGISTICS SARL</t>
  </si>
  <si>
    <t>CLS0751</t>
  </si>
  <si>
    <t>HYDRAUTECH INDUSTRIE</t>
  </si>
  <si>
    <t>CLS0481</t>
  </si>
  <si>
    <t>HYDRO PRO</t>
  </si>
  <si>
    <t>CLT0415</t>
  </si>
  <si>
    <t>HYDROTRANS</t>
  </si>
  <si>
    <t>CLS0225</t>
  </si>
  <si>
    <t>HYGIENE ORIENT</t>
  </si>
  <si>
    <t>CLS0945</t>
  </si>
  <si>
    <t>HYUNDAI CONSTRUCTION EQUIP. MAROC</t>
  </si>
  <si>
    <t>CLS1395</t>
  </si>
  <si>
    <t>I X I CAR</t>
  </si>
  <si>
    <t>CLA0027</t>
  </si>
  <si>
    <t>I.N.R.H</t>
  </si>
  <si>
    <t>CLA0034</t>
  </si>
  <si>
    <t>I.R.U.A.T.R.T.</t>
  </si>
  <si>
    <t>CLS1159</t>
  </si>
  <si>
    <t>ID MAROC</t>
  </si>
  <si>
    <t>CLS0648</t>
  </si>
  <si>
    <t>IDEAL FORUM TRS</t>
  </si>
  <si>
    <t>CLT0307</t>
  </si>
  <si>
    <t>CLS1132</t>
  </si>
  <si>
    <t>IDHAD TRANS</t>
  </si>
  <si>
    <t>CLS1091</t>
  </si>
  <si>
    <t>IDOLAN TRANSPORT</t>
  </si>
  <si>
    <t>CLS0097</t>
  </si>
  <si>
    <t>IGASER</t>
  </si>
  <si>
    <t>CLT0044</t>
  </si>
  <si>
    <t>ILYA TRANS</t>
  </si>
  <si>
    <t>CLT0047</t>
  </si>
  <si>
    <t>IMA SAAD</t>
  </si>
  <si>
    <t>CLS0870</t>
  </si>
  <si>
    <t>IMACID</t>
  </si>
  <si>
    <t>CLS0367</t>
  </si>
  <si>
    <t>IMANDY MILLS</t>
  </si>
  <si>
    <t>CLT0269</t>
  </si>
  <si>
    <t>IMAYA TRANSPORT</t>
  </si>
  <si>
    <t>CLS1005</t>
  </si>
  <si>
    <t>IMJAD CAR</t>
  </si>
  <si>
    <t>CLS0216</t>
  </si>
  <si>
    <t>IMMEUBLES VEHICULE ACCESSOIRE MAROC</t>
  </si>
  <si>
    <t>CLS1035</t>
  </si>
  <si>
    <t>IMPERIAL INVEST</t>
  </si>
  <si>
    <t>CLT0441</t>
  </si>
  <si>
    <t>IMPERIAL LOGITRANS EXPRESS</t>
  </si>
  <si>
    <t>CLS0765</t>
  </si>
  <si>
    <t>IMPERIAL MAINTENANCE</t>
  </si>
  <si>
    <t>CLS1473</t>
  </si>
  <si>
    <t>IMPERIAL PETROLEUM</t>
  </si>
  <si>
    <t>CLS0497</t>
  </si>
  <si>
    <t>IMPERIAL PNEU</t>
  </si>
  <si>
    <t>CLR0131</t>
  </si>
  <si>
    <t>LAHMADNI PNEU</t>
  </si>
  <si>
    <t>ATTAOUIA</t>
  </si>
  <si>
    <t>CLS1056</t>
  </si>
  <si>
    <t>INAS FER</t>
  </si>
  <si>
    <t>CLS0653</t>
  </si>
  <si>
    <t>INDUMAT</t>
  </si>
  <si>
    <t>CLS1198</t>
  </si>
  <si>
    <t>INDUSALIM</t>
  </si>
  <si>
    <t>CLS0661</t>
  </si>
  <si>
    <t>INSTITUT CADI AYAD</t>
  </si>
  <si>
    <t>CLS1153</t>
  </si>
  <si>
    <t>INSTITUTION IBNOU ARABI</t>
  </si>
  <si>
    <t>CLS0296</t>
  </si>
  <si>
    <t>INSTITUTION LAHLOU</t>
  </si>
  <si>
    <t>CLR0132</t>
  </si>
  <si>
    <t>ZINIS SERVICES</t>
  </si>
  <si>
    <t>CLR0133</t>
  </si>
  <si>
    <t>PNEUMATIQUE BEN GUERIR</t>
  </si>
  <si>
    <t>CLS0677</t>
  </si>
  <si>
    <t>INTER PREMIUM</t>
  </si>
  <si>
    <t>CLT0092</t>
  </si>
  <si>
    <t>INTER STATE TRANS</t>
  </si>
  <si>
    <t>CLT0384</t>
  </si>
  <si>
    <t>INTERCER</t>
  </si>
  <si>
    <t>CLR0134</t>
  </si>
  <si>
    <t>MONTASSIR MUSTAPHA</t>
  </si>
  <si>
    <t>CLR0135</t>
  </si>
  <si>
    <t>AMINE AMROU</t>
  </si>
  <si>
    <t>CLT0443</t>
  </si>
  <si>
    <t>IPSEN LOGISTICS</t>
  </si>
  <si>
    <t>CLS0353</t>
  </si>
  <si>
    <t>IRISH CARS</t>
  </si>
  <si>
    <t>CLR0136</t>
  </si>
  <si>
    <t>PNEUMATIQUE BEN MASSOUD</t>
  </si>
  <si>
    <t>CLS0342</t>
  </si>
  <si>
    <t>ISLY FER</t>
  </si>
  <si>
    <t>CLR0137</t>
  </si>
  <si>
    <t>BONNE ROUTE</t>
  </si>
  <si>
    <t>CLS0660</t>
  </si>
  <si>
    <t>ISMA WOOD</t>
  </si>
  <si>
    <t>CLR0138</t>
  </si>
  <si>
    <t>STE BOURAIN DE PNEUMATIQUES</t>
  </si>
  <si>
    <t>CLR0139</t>
  </si>
  <si>
    <t>BAHJA PNEUS</t>
  </si>
  <si>
    <t>CLS1425</t>
  </si>
  <si>
    <t>ISTISBAGH GAZ</t>
  </si>
  <si>
    <t>CLT0192</t>
  </si>
  <si>
    <t>ITALIA TRANS</t>
  </si>
  <si>
    <t>CLT0327</t>
  </si>
  <si>
    <t>ITIRIA SERVICES</t>
  </si>
  <si>
    <t>CLS0866</t>
  </si>
  <si>
    <t>ITRAN SOUSS</t>
  </si>
  <si>
    <t>CLT0063</t>
  </si>
  <si>
    <t>ITRASER</t>
  </si>
  <si>
    <t>CLT0086</t>
  </si>
  <si>
    <t>J M T TRANS</t>
  </si>
  <si>
    <t>CLR0140</t>
  </si>
  <si>
    <t>ETS BELKAID</t>
  </si>
  <si>
    <t>CLR0141</t>
  </si>
  <si>
    <t>CITY PNEUS</t>
  </si>
  <si>
    <t>CLS0357</t>
  </si>
  <si>
    <t>JAD AUTO SARL</t>
  </si>
  <si>
    <t>CLT0123</t>
  </si>
  <si>
    <t>JADI TRANSPORT SARL</t>
  </si>
  <si>
    <t>CLT0383</t>
  </si>
  <si>
    <t>JADISAL</t>
  </si>
  <si>
    <t>RICH</t>
  </si>
  <si>
    <t>CLS1006</t>
  </si>
  <si>
    <t>JADOU PIECES AUTO</t>
  </si>
  <si>
    <t>CLS1088</t>
  </si>
  <si>
    <t>CLT0588</t>
  </si>
  <si>
    <t>JAK  TRANSPORT</t>
  </si>
  <si>
    <t>CLR0142</t>
  </si>
  <si>
    <t>C P I T</t>
  </si>
  <si>
    <t>CLS0872</t>
  </si>
  <si>
    <t>JAMAL FRUIT DE MER</t>
  </si>
  <si>
    <t>CLT0161</t>
  </si>
  <si>
    <t>JANISMAR</t>
  </si>
  <si>
    <t>CLR0143</t>
  </si>
  <si>
    <t>PNEUMATIQ AZILAL OP. DAKHLA</t>
  </si>
  <si>
    <t>CLT0206</t>
  </si>
  <si>
    <t>JEDDA TRANS</t>
  </si>
  <si>
    <t>CLS0652</t>
  </si>
  <si>
    <t>JET CAR</t>
  </si>
  <si>
    <t>CLS0179</t>
  </si>
  <si>
    <t>JET CAR PLUS</t>
  </si>
  <si>
    <t>CLT0287</t>
  </si>
  <si>
    <t>JORES TRANS</t>
  </si>
  <si>
    <t>CLA0040</t>
  </si>
  <si>
    <t>JORF FERTILIZERS COMPANY I</t>
  </si>
  <si>
    <t>CLA0032</t>
  </si>
  <si>
    <t>JORF FERTILIZERS COMPANY III</t>
  </si>
  <si>
    <t>CLS0377</t>
  </si>
  <si>
    <t>JURA SANITAIRE</t>
  </si>
  <si>
    <t>CLT0288</t>
  </si>
  <si>
    <t>JUSTE A TEMPS</t>
  </si>
  <si>
    <t>CLS1110</t>
  </si>
  <si>
    <t>JVI DISTRIBUTION</t>
  </si>
  <si>
    <t>CLS0754</t>
  </si>
  <si>
    <t>K BETON</t>
  </si>
  <si>
    <t>CLS0710</t>
  </si>
  <si>
    <t>K M M C</t>
  </si>
  <si>
    <t>CLS1177</t>
  </si>
  <si>
    <t>K.S.D TRANS</t>
  </si>
  <si>
    <t>CLS1013</t>
  </si>
  <si>
    <t>KA RENT</t>
  </si>
  <si>
    <t>CLT0236</t>
  </si>
  <si>
    <t>KAISSO TRANS</t>
  </si>
  <si>
    <t>CLS0584</t>
  </si>
  <si>
    <t>KAMACONS</t>
  </si>
  <si>
    <t>CLS0609</t>
  </si>
  <si>
    <t>KAMARED GRAPE</t>
  </si>
  <si>
    <t>CLT0350</t>
  </si>
  <si>
    <t>KAMASO TRANSPORT</t>
  </si>
  <si>
    <t>CLT0463</t>
  </si>
  <si>
    <t>KAMAT TRANS</t>
  </si>
  <si>
    <t>CLT0083</t>
  </si>
  <si>
    <t>KANADI TRANS</t>
  </si>
  <si>
    <t>CLR0144</t>
  </si>
  <si>
    <t>D . M . A</t>
  </si>
  <si>
    <t>CLT0221</t>
  </si>
  <si>
    <t>KARAMA BUS KENITRA</t>
  </si>
  <si>
    <t>CLT0275</t>
  </si>
  <si>
    <t>KARAMA BUS RABAT</t>
  </si>
  <si>
    <t>CLS1136</t>
  </si>
  <si>
    <t>KAUFMANN</t>
  </si>
  <si>
    <t>CLS1169</t>
  </si>
  <si>
    <t>KELLALI TRANS</t>
  </si>
  <si>
    <t>CLS0595</t>
  </si>
  <si>
    <t>KENETRAV SARL</t>
  </si>
  <si>
    <t>CLS1080</t>
  </si>
  <si>
    <t>KENITRA NEGOCE</t>
  </si>
  <si>
    <t>CLR0145</t>
  </si>
  <si>
    <t>EXTRA PNEU</t>
  </si>
  <si>
    <t>CLS0287</t>
  </si>
  <si>
    <t>KHAIR AL JANOUB</t>
  </si>
  <si>
    <t>CLR0146</t>
  </si>
  <si>
    <t>FORCE PNEU</t>
  </si>
  <si>
    <t>CLT0335</t>
  </si>
  <si>
    <t>KHATIB HAMID</t>
  </si>
  <si>
    <t>CLR0147</t>
  </si>
  <si>
    <t>ROCAMORA</t>
  </si>
  <si>
    <t>CLS0112</t>
  </si>
  <si>
    <t>KOMCAT</t>
  </si>
  <si>
    <t>CLS1199</t>
  </si>
  <si>
    <t>KOSOVO</t>
  </si>
  <si>
    <t>CLS0152</t>
  </si>
  <si>
    <t>L G C</t>
  </si>
  <si>
    <t>CLS0292</t>
  </si>
  <si>
    <t>L.M.H</t>
  </si>
  <si>
    <t>CLT0160</t>
  </si>
  <si>
    <t>L2M TRANS</t>
  </si>
  <si>
    <t>CLS0666</t>
  </si>
  <si>
    <t>LA GENERALE DES MINES ET CARRIERES</t>
  </si>
  <si>
    <t>CLS0815</t>
  </si>
  <si>
    <t>LA LIGNE BLANCHE</t>
  </si>
  <si>
    <t>CLS0004</t>
  </si>
  <si>
    <t>LA MAISON DU CERAME</t>
  </si>
  <si>
    <t>MEDIOUNA</t>
  </si>
  <si>
    <t>CLA0013</t>
  </si>
  <si>
    <t>LA MARINE</t>
  </si>
  <si>
    <t>CLT0222</t>
  </si>
  <si>
    <t>LA VOIE EXPRESS</t>
  </si>
  <si>
    <t>CLT0090</t>
  </si>
  <si>
    <t>LA VOIE RAPIDE</t>
  </si>
  <si>
    <t>CLR0148</t>
  </si>
  <si>
    <t>KHALIFI NEGOCE</t>
  </si>
  <si>
    <t>CLR0149</t>
  </si>
  <si>
    <t>PNEUMATIQUE LAAROUSSI</t>
  </si>
  <si>
    <t>CLS1398</t>
  </si>
  <si>
    <t>LABERAGA TRAVAUX</t>
  </si>
  <si>
    <t>CLS0247</t>
  </si>
  <si>
    <t>LADRAM</t>
  </si>
  <si>
    <t>CLS0278</t>
  </si>
  <si>
    <t>LAFARGE CIMENTS</t>
  </si>
  <si>
    <t>CLS0387</t>
  </si>
  <si>
    <t>LAFARGE CIMENTS  MEKNES</t>
  </si>
  <si>
    <t>CLS1195</t>
  </si>
  <si>
    <t>LAGOUASSEM</t>
  </si>
  <si>
    <t>CLS0310</t>
  </si>
  <si>
    <t>LAHLOU HOME COMPANY</t>
  </si>
  <si>
    <t>CLR0150</t>
  </si>
  <si>
    <t>MOULAY OMAR</t>
  </si>
  <si>
    <t>CLS1161</t>
  </si>
  <si>
    <t>LAMALIF DIFFUSION</t>
  </si>
  <si>
    <t>CLT0353</t>
  </si>
  <si>
    <t>LARBI DEBDOUBI</t>
  </si>
  <si>
    <t>CLT0571</t>
  </si>
  <si>
    <t>LATITRANS</t>
  </si>
  <si>
    <t>CLS0928</t>
  </si>
  <si>
    <t>LAV'CAR</t>
  </si>
  <si>
    <t>CLR0151</t>
  </si>
  <si>
    <t>OUARDI</t>
  </si>
  <si>
    <t>CLS0272</t>
  </si>
  <si>
    <t>LE MONDE PREFA</t>
  </si>
  <si>
    <t>CLR0152</t>
  </si>
  <si>
    <t>ORIENTAL PNEUS</t>
  </si>
  <si>
    <t>CLR0153</t>
  </si>
  <si>
    <t>PNEUMATIQUE REGUERAGA</t>
  </si>
  <si>
    <t>CLS0013</t>
  </si>
  <si>
    <t>LEGA</t>
  </si>
  <si>
    <t>CLS0764</t>
  </si>
  <si>
    <t>LES CABLERIES DU MAROC</t>
  </si>
  <si>
    <t>CLS1465</t>
  </si>
  <si>
    <t>LES CARRIERES AL JAOUDA</t>
  </si>
  <si>
    <t>CLS0731</t>
  </si>
  <si>
    <t>LES DIVERS AOURACHS MAROCAINS</t>
  </si>
  <si>
    <t>CLS0119</t>
  </si>
  <si>
    <t>LES DOMAINES BRAHIM ZNIBER</t>
  </si>
  <si>
    <t>CLS0314</t>
  </si>
  <si>
    <t>LES EAUX MINERALES D'OULMES</t>
  </si>
  <si>
    <t>CLS0725</t>
  </si>
  <si>
    <t>LES ECOLES RIAD</t>
  </si>
  <si>
    <t>CLR0154</t>
  </si>
  <si>
    <t>PNEUMATIQUE ENNOUR</t>
  </si>
  <si>
    <t>CLS1069</t>
  </si>
  <si>
    <t>LES GRANDES CARRIERES ENNASR</t>
  </si>
  <si>
    <t>CLS0120</t>
  </si>
  <si>
    <t>LES GRANDES SEMOULERIES DU MAROC</t>
  </si>
  <si>
    <t>CLS0088</t>
  </si>
  <si>
    <t>LES GRANDES SEMOULERIES SAFI</t>
  </si>
  <si>
    <t>CLS0697</t>
  </si>
  <si>
    <t>LES GRANDS MOULINS ZINE</t>
  </si>
  <si>
    <t>CLS0191</t>
  </si>
  <si>
    <t>LES GRAVETTES DE BEN SLIMANE</t>
  </si>
  <si>
    <t>CLS0795</t>
  </si>
  <si>
    <t>LES HERITIER HANNAOUI MOHAMED KARIM</t>
  </si>
  <si>
    <t>CLS1075</t>
  </si>
  <si>
    <t>LES JARDINS DE CHOROUK</t>
  </si>
  <si>
    <t>M'DIQ</t>
  </si>
  <si>
    <t>CLT0122</t>
  </si>
  <si>
    <t>LES SOURCES DE FADILA</t>
  </si>
  <si>
    <t>CLS0066</t>
  </si>
  <si>
    <t>LESIEUR CRISTAL</t>
  </si>
  <si>
    <t>CLT0354</t>
  </si>
  <si>
    <t>LH LOGISTICS</t>
  </si>
  <si>
    <t>CLS0395</t>
  </si>
  <si>
    <t>LIEGE TOUR</t>
  </si>
  <si>
    <t>CLT0267</t>
  </si>
  <si>
    <t>LIFYKA MAROC INTERNATIONAL</t>
  </si>
  <si>
    <t>CLS0299</t>
  </si>
  <si>
    <t>LINEA</t>
  </si>
  <si>
    <t>CLT0338</t>
  </si>
  <si>
    <t>LITTORAL DE LOGISTIQUE</t>
  </si>
  <si>
    <t>CLT0291</t>
  </si>
  <si>
    <t>LIZMA LOGISTIC</t>
  </si>
  <si>
    <t>CLS0792</t>
  </si>
  <si>
    <t>LOCALUB</t>
  </si>
  <si>
    <t>CLS1218</t>
  </si>
  <si>
    <t>LOCAMA</t>
  </si>
  <si>
    <t>CLS1219</t>
  </si>
  <si>
    <t>LOCAMAP</t>
  </si>
  <si>
    <t>CLS0545</t>
  </si>
  <si>
    <t>LOCASOM</t>
  </si>
  <si>
    <t>CLS0257</t>
  </si>
  <si>
    <t>LODITEC "POP EVENTS"</t>
  </si>
  <si>
    <t>CLT0049</t>
  </si>
  <si>
    <t>LOGI NORD TRANS</t>
  </si>
  <si>
    <t>CLT0099</t>
  </si>
  <si>
    <t>LOGIC TRANSPORT</t>
  </si>
  <si>
    <t>CLT0334</t>
  </si>
  <si>
    <t>LOGIKATRANS</t>
  </si>
  <si>
    <t>CLS0385</t>
  </si>
  <si>
    <t>LOGIMAG</t>
  </si>
  <si>
    <t>CLS0744</t>
  </si>
  <si>
    <t>LOGIMED</t>
  </si>
  <si>
    <t>CLT0386</t>
  </si>
  <si>
    <t>LOGIPHAR</t>
  </si>
  <si>
    <t>CLT0241</t>
  </si>
  <si>
    <t>LOGISMAR</t>
  </si>
  <si>
    <t>CLT0190</t>
  </si>
  <si>
    <t>LOGISTIC FRISON</t>
  </si>
  <si>
    <t>CLS01812</t>
  </si>
  <si>
    <t>LOGITRACO</t>
  </si>
  <si>
    <t>CLS0246</t>
  </si>
  <si>
    <t>LOISIRS 4X4</t>
  </si>
  <si>
    <t>CLS0840</t>
  </si>
  <si>
    <t>LONGOFER</t>
  </si>
  <si>
    <t>CLS0490</t>
  </si>
  <si>
    <t>LOREJ  SARL</t>
  </si>
  <si>
    <t>CLS1171</t>
  </si>
  <si>
    <t>LOUBI CAR</t>
  </si>
  <si>
    <t>CLT0393</t>
  </si>
  <si>
    <t>LOUBMAK</t>
  </si>
  <si>
    <t>CLS0388</t>
  </si>
  <si>
    <t>LOUHI NEGOCE</t>
  </si>
  <si>
    <t>CLS0269</t>
  </si>
  <si>
    <t>LOUTRA CONSTRUCTION</t>
  </si>
  <si>
    <t>IMINTANOUTE</t>
  </si>
  <si>
    <t>CLS1082</t>
  </si>
  <si>
    <t>LOXA DRIVE</t>
  </si>
  <si>
    <t>CLS0997</t>
  </si>
  <si>
    <t>CLT0059</t>
  </si>
  <si>
    <t>LUXURY TRANSPORT</t>
  </si>
  <si>
    <t>CLS0393</t>
  </si>
  <si>
    <t>LX CAR</t>
  </si>
  <si>
    <t>CLS0173</t>
  </si>
  <si>
    <t>LYOUTE DE CONSTRUCTION</t>
  </si>
  <si>
    <t>CLT0321</t>
  </si>
  <si>
    <t>M B TRANSPORT</t>
  </si>
  <si>
    <t>CLS0266</t>
  </si>
  <si>
    <t>M C D F</t>
  </si>
  <si>
    <t>CLS1397</t>
  </si>
  <si>
    <t>M T ARCHITECTE</t>
  </si>
  <si>
    <t>CLT0373</t>
  </si>
  <si>
    <t>M T C I</t>
  </si>
  <si>
    <t>CLT0200</t>
  </si>
  <si>
    <t>M T M</t>
  </si>
  <si>
    <t>CLT0450</t>
  </si>
  <si>
    <t>M T R</t>
  </si>
  <si>
    <t>CLT0041</t>
  </si>
  <si>
    <t>M T R L M</t>
  </si>
  <si>
    <t>CLT0120</t>
  </si>
  <si>
    <t>M TIR</t>
  </si>
  <si>
    <t>CLS0279</t>
  </si>
  <si>
    <t>M.A.T.P.B</t>
  </si>
  <si>
    <t>CLS0672</t>
  </si>
  <si>
    <t>M2A DES MATERIAUX</t>
  </si>
  <si>
    <t>CLT0207</t>
  </si>
  <si>
    <t>M3A TRANSPORT</t>
  </si>
  <si>
    <t>CLS1060</t>
  </si>
  <si>
    <t>MA DU MAROC</t>
  </si>
  <si>
    <t>CLS1451</t>
  </si>
  <si>
    <t>MAACH-TRAV</t>
  </si>
  <si>
    <t>CLT0557</t>
  </si>
  <si>
    <t>MAALY TRANS</t>
  </si>
  <si>
    <t>CLT0087</t>
  </si>
  <si>
    <t>MAANI TRANS</t>
  </si>
  <si>
    <t>CLR0155</t>
  </si>
  <si>
    <t>PNEUMATIQUE BEN ALLAL</t>
  </si>
  <si>
    <t>CLS0096</t>
  </si>
  <si>
    <t>MABRAS INTERNATIONAL</t>
  </si>
  <si>
    <t>CLS0401</t>
  </si>
  <si>
    <t>MAC//Z TUBE EN CUIVRE</t>
  </si>
  <si>
    <t>CLS0397</t>
  </si>
  <si>
    <t>MACOFED</t>
  </si>
  <si>
    <t>CLS0396</t>
  </si>
  <si>
    <t>MACOJIB</t>
  </si>
  <si>
    <t>CLS1407</t>
  </si>
  <si>
    <t>MAC-SET</t>
  </si>
  <si>
    <t>CLS1462</t>
  </si>
  <si>
    <t>MADEC</t>
  </si>
  <si>
    <t>CLS1484</t>
  </si>
  <si>
    <t>MADEC HPC</t>
  </si>
  <si>
    <t>CLS1483</t>
  </si>
  <si>
    <t>MADEC WORLD FOOD</t>
  </si>
  <si>
    <t>CLS0587</t>
  </si>
  <si>
    <t>MAFERI</t>
  </si>
  <si>
    <t>CLT0436</t>
  </si>
  <si>
    <t>MAG LOGISTIC</t>
  </si>
  <si>
    <t>CLS1049</t>
  </si>
  <si>
    <t>MAGHREB AGREGATS</t>
  </si>
  <si>
    <t>CLS0224</t>
  </si>
  <si>
    <t>MAGHREB GAZ</t>
  </si>
  <si>
    <t>CLS1073</t>
  </si>
  <si>
    <t>MAGHREB GRILLAGE</t>
  </si>
  <si>
    <t>CLS02062</t>
  </si>
  <si>
    <t>MAGHREB INDUSTRIE</t>
  </si>
  <si>
    <t>CLS0403</t>
  </si>
  <si>
    <t>MAGHREB OXYGENE</t>
  </si>
  <si>
    <t>CLS0402</t>
  </si>
  <si>
    <t>MAGHREB STEEL</t>
  </si>
  <si>
    <t>CLR0156</t>
  </si>
  <si>
    <t>ATLAS REGOM PNEUS</t>
  </si>
  <si>
    <t>CLR0157</t>
  </si>
  <si>
    <t>PNEUMATIQUE EL TAHADI</t>
  </si>
  <si>
    <t>CLT0182</t>
  </si>
  <si>
    <t>MAJATRANS</t>
  </si>
  <si>
    <t>CLR0158</t>
  </si>
  <si>
    <t>SOTAP</t>
  </si>
  <si>
    <t>CLR0159</t>
  </si>
  <si>
    <t>PNEUMATIQUE AOULOUZ</t>
  </si>
  <si>
    <t>CLS0472</t>
  </si>
  <si>
    <t>MAK-YOL</t>
  </si>
  <si>
    <t>CLR0160</t>
  </si>
  <si>
    <t>PNEUMATIQUE SOUSS</t>
  </si>
  <si>
    <t>CLS1042</t>
  </si>
  <si>
    <t>MALDALONA CAR</t>
  </si>
  <si>
    <t>CLT0297</t>
  </si>
  <si>
    <t>MALIH ARCHI SERVICE &amp; SERVICE</t>
  </si>
  <si>
    <t>CLT0201</t>
  </si>
  <si>
    <t>MALIH DE TRANSPORT</t>
  </si>
  <si>
    <t>CLT0559</t>
  </si>
  <si>
    <t>MALIH NOV LINE</t>
  </si>
  <si>
    <t>CLT0263</t>
  </si>
  <si>
    <t>MANICH TRANS</t>
  </si>
  <si>
    <t>CLS0390</t>
  </si>
  <si>
    <t>MANOR BOIS</t>
  </si>
  <si>
    <t>CLR0161</t>
  </si>
  <si>
    <t>ZENATA PNEU</t>
  </si>
  <si>
    <t>CLS0774</t>
  </si>
  <si>
    <t>MANUDEN</t>
  </si>
  <si>
    <t>CLR0162</t>
  </si>
  <si>
    <t>PNEUMATIQUE DAHBI</t>
  </si>
  <si>
    <t>CLS0190</t>
  </si>
  <si>
    <t>MANZ AGENCEMENT</t>
  </si>
  <si>
    <t>CLT0274</t>
  </si>
  <si>
    <t>MARATRANS</t>
  </si>
  <si>
    <t>CLS0226</t>
  </si>
  <si>
    <t>MARBERIE TANALT</t>
  </si>
  <si>
    <t>CLT0239</t>
  </si>
  <si>
    <t>MAREZ TRANS  SARL</t>
  </si>
  <si>
    <t>CLS1093</t>
  </si>
  <si>
    <t>MARGAFRIQUE</t>
  </si>
  <si>
    <t>CLT0457</t>
  </si>
  <si>
    <t>MARINA LOGISTICS</t>
  </si>
  <si>
    <t>CLS0283</t>
  </si>
  <si>
    <t>MARINAS CAR</t>
  </si>
  <si>
    <t>CLA0002</t>
  </si>
  <si>
    <t>MARINE ROYALE</t>
  </si>
  <si>
    <t>CLR0163</t>
  </si>
  <si>
    <t>PNEUMATIQUE L' ENTENTE</t>
  </si>
  <si>
    <t>CLT0399</t>
  </si>
  <si>
    <t>MARLO FRIO</t>
  </si>
  <si>
    <t>CLS0592</t>
  </si>
  <si>
    <t>MARLOC S.A EUROPCAR</t>
  </si>
  <si>
    <t>CLS0104</t>
  </si>
  <si>
    <t>MARLOC TRAVAUX LOGISTIQUE</t>
  </si>
  <si>
    <t>CLS0755</t>
  </si>
  <si>
    <t>MAROC DINDE</t>
  </si>
  <si>
    <t>CLS0574</t>
  </si>
  <si>
    <t>MAROC DISCOUNT</t>
  </si>
  <si>
    <t>CLS0254</t>
  </si>
  <si>
    <t>MAROC EQUIPEMENT  SERVICE</t>
  </si>
  <si>
    <t>CLS0077</t>
  </si>
  <si>
    <t>MAROC EXPRESS</t>
  </si>
  <si>
    <t>CLS0502</t>
  </si>
  <si>
    <t>MAROC EXPRESS LIVRAISONS</t>
  </si>
  <si>
    <t>CLS0232</t>
  </si>
  <si>
    <t>MAROC FER</t>
  </si>
  <si>
    <t>CLS0839</t>
  </si>
  <si>
    <t>MAROC INDUSTRIE AUTOMOBILE</t>
  </si>
  <si>
    <t>CLS0284</t>
  </si>
  <si>
    <t>MAROC MOBILE CANCASSAGE</t>
  </si>
  <si>
    <t>CLS0399</t>
  </si>
  <si>
    <t>MAROC PHOSPHORE</t>
  </si>
  <si>
    <t>CLS0564</t>
  </si>
  <si>
    <t>MAROC TRADING</t>
  </si>
  <si>
    <t>CLT0583</t>
  </si>
  <si>
    <t>MAROC TRAVEL MESSAGERIE</t>
  </si>
  <si>
    <t>CLS1152</t>
  </si>
  <si>
    <t>MAROCAINE BEDEL</t>
  </si>
  <si>
    <t>CLS0507</t>
  </si>
  <si>
    <t>MAROLIM</t>
  </si>
  <si>
    <t>SMARA</t>
  </si>
  <si>
    <t>CLT0591</t>
  </si>
  <si>
    <t>MAROTRANE</t>
  </si>
  <si>
    <t>CLS0400</t>
  </si>
  <si>
    <t>MAROTRANS SARL</t>
  </si>
  <si>
    <t>CLT0360</t>
  </si>
  <si>
    <t>MARRAKCHI CEREALES TRANSPORT</t>
  </si>
  <si>
    <t>CLR0164</t>
  </si>
  <si>
    <t>PNEUMATIQUE AIN NEZZAGH</t>
  </si>
  <si>
    <t>CLS0569</t>
  </si>
  <si>
    <t>MARSA MAROC</t>
  </si>
  <si>
    <t>CLT0578</t>
  </si>
  <si>
    <t>MASTER FREIGHT</t>
  </si>
  <si>
    <t>CLR0165</t>
  </si>
  <si>
    <t>YASSINOG</t>
  </si>
  <si>
    <t>CLS0382</t>
  </si>
  <si>
    <t>MASTER REMORQUE</t>
  </si>
  <si>
    <t>CLS0125</t>
  </si>
  <si>
    <t>MATIMEX</t>
  </si>
  <si>
    <t>CLS1065</t>
  </si>
  <si>
    <t>MATRANCO</t>
  </si>
  <si>
    <t>CLS0206</t>
  </si>
  <si>
    <t>MAYMOUNA FOOD</t>
  </si>
  <si>
    <t>CLR0166</t>
  </si>
  <si>
    <t>PNEUMATIQUE BZOU</t>
  </si>
  <si>
    <t>CLT0167</t>
  </si>
  <si>
    <t>MAZAG TRANS</t>
  </si>
  <si>
    <t>CLT0569</t>
  </si>
  <si>
    <t>MAZR TOURS</t>
  </si>
  <si>
    <t>CLS1185</t>
  </si>
  <si>
    <t>M'DIQ TRAVAUX PUBLICS</t>
  </si>
  <si>
    <t>CLT0371</t>
  </si>
  <si>
    <t>MDS TRANS</t>
  </si>
  <si>
    <t>CLS1124</t>
  </si>
  <si>
    <t>MECANO-RENOV</t>
  </si>
  <si>
    <t>CLR0167</t>
  </si>
  <si>
    <t>PNEUMATIQUE ESSAFA</t>
  </si>
  <si>
    <t>CLS0515</t>
  </si>
  <si>
    <t>MECOMAR  S.A.</t>
  </si>
  <si>
    <t>CLS0729</t>
  </si>
  <si>
    <t>MED MILK</t>
  </si>
  <si>
    <t>CLS0632</t>
  </si>
  <si>
    <t>MED SOURCING</t>
  </si>
  <si>
    <t>CLT0246</t>
  </si>
  <si>
    <t>MEDI CAMION</t>
  </si>
  <si>
    <t>CLS0242</t>
  </si>
  <si>
    <t>MEDINFRA</t>
  </si>
  <si>
    <t>CLS0297</t>
  </si>
  <si>
    <t>MEDOUSA CAR</t>
  </si>
  <si>
    <t>CLS1122</t>
  </si>
  <si>
    <t>MEFI TRANS</t>
  </si>
  <si>
    <t>CLS0365</t>
  </si>
  <si>
    <t>MEGA DRIVE AUTO</t>
  </si>
  <si>
    <t>CLS0458</t>
  </si>
  <si>
    <t>MEGA TERRASSEMENT</t>
  </si>
  <si>
    <t>CLT0125</t>
  </si>
  <si>
    <t>MEGA TOURS</t>
  </si>
  <si>
    <t>CLS0128</t>
  </si>
  <si>
    <t>MEGA TRACTION</t>
  </si>
  <si>
    <t>CLS1403</t>
  </si>
  <si>
    <t>MEGAFLEX</t>
  </si>
  <si>
    <t>CLS0567</t>
  </si>
  <si>
    <t>MEGALOG  SARL</t>
  </si>
  <si>
    <t>CLS1081</t>
  </si>
  <si>
    <t>MEGEC</t>
  </si>
  <si>
    <t>CLT0071</t>
  </si>
  <si>
    <t>MEHARIS TRANSPORTS</t>
  </si>
  <si>
    <t>CLR0168</t>
  </si>
  <si>
    <t>AJALAT AL MAGHREB SARL</t>
  </si>
  <si>
    <t>CLS1164</t>
  </si>
  <si>
    <t>MEK AUTO MASTER</t>
  </si>
  <si>
    <t>CLS0750</t>
  </si>
  <si>
    <t>MEK PREFAT</t>
  </si>
  <si>
    <t>CLR0169</t>
  </si>
  <si>
    <t>SALA PNEUMATIQUE</t>
  </si>
  <si>
    <t>CLT0294</t>
  </si>
  <si>
    <t>MEKTAL INDUSTRIES</t>
  </si>
  <si>
    <t>CLT0177</t>
  </si>
  <si>
    <t>MELIA TRANS</t>
  </si>
  <si>
    <t>CLS0544</t>
  </si>
  <si>
    <t>MENARA BRIQUES</t>
  </si>
  <si>
    <t>CLR0170</t>
  </si>
  <si>
    <t>STAR PNEUMATIQUE</t>
  </si>
  <si>
    <t>CLT0250</t>
  </si>
  <si>
    <t>MENARA PREFA</t>
  </si>
  <si>
    <t>CLS0696</t>
  </si>
  <si>
    <t>MENASTEEL INDUSTRY</t>
  </si>
  <si>
    <t>CLS0550</t>
  </si>
  <si>
    <t>MENTBEH  ELBACHIR</t>
  </si>
  <si>
    <t>CLS0090</t>
  </si>
  <si>
    <t>MEPP-CARS</t>
  </si>
  <si>
    <t>CLS1387</t>
  </si>
  <si>
    <t>MES AUTO</t>
  </si>
  <si>
    <t>CLT0209</t>
  </si>
  <si>
    <t>META TRANS</t>
  </si>
  <si>
    <t>CLS0767</t>
  </si>
  <si>
    <t>MEUBLES MAROC SA</t>
  </si>
  <si>
    <t>CLS0340</t>
  </si>
  <si>
    <t>MEXICANA TOURS</t>
  </si>
  <si>
    <t>CLT0119</t>
  </si>
  <si>
    <t>MGM TRANSPORT</t>
  </si>
  <si>
    <t>CLR0171</t>
  </si>
  <si>
    <t>EURO PNEUS</t>
  </si>
  <si>
    <t>CLT0411</t>
  </si>
  <si>
    <t>MHIRIZ DU GRAND SUD</t>
  </si>
  <si>
    <t>CLS0186</t>
  </si>
  <si>
    <t>MICHOC</t>
  </si>
  <si>
    <t>CLT0283</t>
  </si>
  <si>
    <t>MID TRANSPORT</t>
  </si>
  <si>
    <t>CLS0629</t>
  </si>
  <si>
    <t>MIDABRIQ SARL</t>
  </si>
  <si>
    <t>CLS0860</t>
  </si>
  <si>
    <t>MIDI BRIQ</t>
  </si>
  <si>
    <t>CLS1137</t>
  </si>
  <si>
    <t>MIHANA TOUR</t>
  </si>
  <si>
    <t>CLT0066</t>
  </si>
  <si>
    <t>MIHANE LOGISTIQUE</t>
  </si>
  <si>
    <t>CLT0316</t>
  </si>
  <si>
    <t>MILOTRANS</t>
  </si>
  <si>
    <t>CLS0182</t>
  </si>
  <si>
    <t>MIMI CAR</t>
  </si>
  <si>
    <t>CLS0114</t>
  </si>
  <si>
    <t>MINOTERIES MIKOU</t>
  </si>
  <si>
    <t>CLR0172</t>
  </si>
  <si>
    <t>PNEUMATIQUE AIT ATTAB</t>
  </si>
  <si>
    <t>CLS0572</t>
  </si>
  <si>
    <t>MITSUBISHI CORPORATION</t>
  </si>
  <si>
    <t>CLS0718</t>
  </si>
  <si>
    <t>MNF GROUPE</t>
  </si>
  <si>
    <t>CLS0766</t>
  </si>
  <si>
    <t>MOBIFAR</t>
  </si>
  <si>
    <t>CLS0504</t>
  </si>
  <si>
    <t>MODERN CONTRACTING  SARL</t>
  </si>
  <si>
    <t>CLS0317</t>
  </si>
  <si>
    <t>MOGA FISH</t>
  </si>
  <si>
    <t>CLS0318</t>
  </si>
  <si>
    <t>MOGALINES</t>
  </si>
  <si>
    <t>CLS1156</t>
  </si>
  <si>
    <t>MOH TRANSPORT</t>
  </si>
  <si>
    <t>CLR0173</t>
  </si>
  <si>
    <t>TADLA SERVICE  SARL</t>
  </si>
  <si>
    <t>CLS0813</t>
  </si>
  <si>
    <t>MON AUTO AFRICA</t>
  </si>
  <si>
    <t>CLR0174</t>
  </si>
  <si>
    <t>DATA PNEUMATIQUE</t>
  </si>
  <si>
    <t>CLT0280</t>
  </si>
  <si>
    <t>MONADIRI TRANSPORT</t>
  </si>
  <si>
    <t>CLS1154</t>
  </si>
  <si>
    <t>MONDIAL GARDIENNAGE</t>
  </si>
  <si>
    <t>CLS1155</t>
  </si>
  <si>
    <t>MONDIAL INTERIM</t>
  </si>
  <si>
    <t>CLR0175</t>
  </si>
  <si>
    <t>PNEUMATIQUE SOULDI</t>
  </si>
  <si>
    <t>CLT0220</t>
  </si>
  <si>
    <t>MOONY</t>
  </si>
  <si>
    <t>CLT0124</t>
  </si>
  <si>
    <t>MORABIL TRANS</t>
  </si>
  <si>
    <t>CLS0664</t>
  </si>
  <si>
    <t>MORO TISSUE</t>
  </si>
  <si>
    <t>CLS0508</t>
  </si>
  <si>
    <t>MOROCCAN IRON STEEL</t>
  </si>
  <si>
    <t>CLS0848</t>
  </si>
  <si>
    <t>MOROCCO MOTORS</t>
  </si>
  <si>
    <t>CLS1189</t>
  </si>
  <si>
    <t>MOUJAHID TAMASINT</t>
  </si>
  <si>
    <t>CLS0818</t>
  </si>
  <si>
    <t>MOULAY CATERING</t>
  </si>
  <si>
    <t>CLR0176</t>
  </si>
  <si>
    <t>ABDELAZIZ AMSKROUD</t>
  </si>
  <si>
    <t>AMSKROUD</t>
  </si>
  <si>
    <t>CLS1040</t>
  </si>
  <si>
    <t>MOUTAWAKIL CAR</t>
  </si>
  <si>
    <t>CLS1380</t>
  </si>
  <si>
    <t>MPIS</t>
  </si>
  <si>
    <t>CLS0268</t>
  </si>
  <si>
    <t>MR RENOUVO</t>
  </si>
  <si>
    <t>CLS0118</t>
  </si>
  <si>
    <t>MRK PRODUCTS CASA</t>
  </si>
  <si>
    <t>CLS0361</t>
  </si>
  <si>
    <t>MSAHEL TOUR</t>
  </si>
  <si>
    <t>CLS1469</t>
  </si>
  <si>
    <t>MULTI CHOIX CAR</t>
  </si>
  <si>
    <t>CASABLNCA</t>
  </si>
  <si>
    <t>CLR0177</t>
  </si>
  <si>
    <t>EL MOURABIT MAHFOUD</t>
  </si>
  <si>
    <t>GHAFSAI</t>
  </si>
  <si>
    <t>CLR0178</t>
  </si>
  <si>
    <t>PNEU SERVICE BAB LAALOU</t>
  </si>
  <si>
    <t>CLT0152</t>
  </si>
  <si>
    <t>MULTI SCE  SARL</t>
  </si>
  <si>
    <t>CLS0616</t>
  </si>
  <si>
    <t>MULTICERAME</t>
  </si>
  <si>
    <t>CLS0869</t>
  </si>
  <si>
    <t>MURIELLE TRANSPORT .R</t>
  </si>
  <si>
    <t>CLS0253</t>
  </si>
  <si>
    <t>MY BETON</t>
  </si>
  <si>
    <t>CLS0145</t>
  </si>
  <si>
    <t>NABAT CHAOUIA</t>
  </si>
  <si>
    <t>CLS1187</t>
  </si>
  <si>
    <t>NABIH ET FILS</t>
  </si>
  <si>
    <t>CLT0277</t>
  </si>
  <si>
    <t>NAD TRANS</t>
  </si>
  <si>
    <t>CLT0447</t>
  </si>
  <si>
    <t>NADIRI TRANS</t>
  </si>
  <si>
    <t>CLS0281</t>
  </si>
  <si>
    <t>NADOR CEREALES</t>
  </si>
  <si>
    <t>BENI ANSAR</t>
  </si>
  <si>
    <t>CLS1454</t>
  </si>
  <si>
    <t>NADOR ENVIRONNEMENT</t>
  </si>
  <si>
    <t>CLT0332</t>
  </si>
  <si>
    <t>NAFRAK MED</t>
  </si>
  <si>
    <t>CLS0683</t>
  </si>
  <si>
    <t>NAFT SOUSS</t>
  </si>
  <si>
    <t>CLS0674</t>
  </si>
  <si>
    <t>NAHDA AUTO</t>
  </si>
  <si>
    <t>CLR0179</t>
  </si>
  <si>
    <t>CENTRE PNEUMATIQUE LAAZIRI</t>
  </si>
  <si>
    <t>CLS0555</t>
  </si>
  <si>
    <t>NAJACOT</t>
  </si>
  <si>
    <t>CLT0377</t>
  </si>
  <si>
    <t>NAJAH ALIMENTATIONS GENERALES</t>
  </si>
  <si>
    <t>SELOUANE</t>
  </si>
  <si>
    <t>CLT0176</t>
  </si>
  <si>
    <t>NAJIB TRANS</t>
  </si>
  <si>
    <t>CLT0276</t>
  </si>
  <si>
    <t>NAJM ACHAMAL</t>
  </si>
  <si>
    <t>CLS1054</t>
  </si>
  <si>
    <t>NARDINE NEGOCE</t>
  </si>
  <si>
    <t>CLS0306</t>
  </si>
  <si>
    <t>NATIONAL GAZ</t>
  </si>
  <si>
    <t>CLT0438</t>
  </si>
  <si>
    <t>NESKA BUSSINES</t>
  </si>
  <si>
    <t>CLS0293</t>
  </si>
  <si>
    <t>NESTRADIS</t>
  </si>
  <si>
    <t>CLR0180</t>
  </si>
  <si>
    <t>PNEUMATIQUE BENSOUDA</t>
  </si>
  <si>
    <t>CLS0553</t>
  </si>
  <si>
    <t>NEUMATICO</t>
  </si>
  <si>
    <t>CLT0561</t>
  </si>
  <si>
    <t>NEW EXPRESS MAROC TOURS</t>
  </si>
  <si>
    <t>CLT0196</t>
  </si>
  <si>
    <t>NEW PLAN TRANS</t>
  </si>
  <si>
    <t>CLS1214</t>
  </si>
  <si>
    <t>NEW PREFA BATIMENT</t>
  </si>
  <si>
    <t>CLR0181</t>
  </si>
  <si>
    <t>FIRST STOP</t>
  </si>
  <si>
    <t>CLT0419</t>
  </si>
  <si>
    <t>NICE TRANS</t>
  </si>
  <si>
    <t>CLS1204</t>
  </si>
  <si>
    <t>NICE WEEK TOURS</t>
  </si>
  <si>
    <t>CLS0523</t>
  </si>
  <si>
    <t>NITAM</t>
  </si>
  <si>
    <t>CLT0102</t>
  </si>
  <si>
    <t>NOON TRANSPORT</t>
  </si>
  <si>
    <t>CLS0934</t>
  </si>
  <si>
    <t>NORD AGGLOS</t>
  </si>
  <si>
    <t>CLS0780</t>
  </si>
  <si>
    <t>NORD SUD DE TRS MAT. DE COSTRUCTION</t>
  </si>
  <si>
    <t>CLT0461</t>
  </si>
  <si>
    <t>NORD SUD TRANSFERT</t>
  </si>
  <si>
    <t>BIOUGRA</t>
  </si>
  <si>
    <t>CLT0103</t>
  </si>
  <si>
    <t>NORDACO</t>
  </si>
  <si>
    <t>CLT0567</t>
  </si>
  <si>
    <t>NORTH EUROPA TOURS</t>
  </si>
  <si>
    <t>CLT0339</t>
  </si>
  <si>
    <t>NOUFISSA TRANS</t>
  </si>
  <si>
    <t>CLS0700</t>
  </si>
  <si>
    <t>NOUR CARS</t>
  </si>
  <si>
    <t>CLS0337</t>
  </si>
  <si>
    <t>NOUTRANS</t>
  </si>
  <si>
    <t>CLS0024</t>
  </si>
  <si>
    <t>NOVA BRIQ</t>
  </si>
  <si>
    <t>CLT0131</t>
  </si>
  <si>
    <t>NSA MOROCCO TRANS</t>
  </si>
  <si>
    <t>CLT0133</t>
  </si>
  <si>
    <t>NSEM</t>
  </si>
  <si>
    <t>CLR0182</t>
  </si>
  <si>
    <t>PNEUMATIQUE AMLEN</t>
  </si>
  <si>
    <t>CLA0016</t>
  </si>
  <si>
    <t>O C P</t>
  </si>
  <si>
    <t>CLA0014</t>
  </si>
  <si>
    <t>O D E P    TANGER</t>
  </si>
  <si>
    <t>CLA0015</t>
  </si>
  <si>
    <t>O N E</t>
  </si>
  <si>
    <t>CLS1452</t>
  </si>
  <si>
    <t>O.L.D.B MATERIAUX</t>
  </si>
  <si>
    <t>CLS1051</t>
  </si>
  <si>
    <t>OBAM TOURS</t>
  </si>
  <si>
    <t>CLR0183</t>
  </si>
  <si>
    <t>PNEUMATIQUE EL AOUAMA</t>
  </si>
  <si>
    <t>CLS0479</t>
  </si>
  <si>
    <t>OBTELEC</t>
  </si>
  <si>
    <t>CLS0044</t>
  </si>
  <si>
    <t>OCBM</t>
  </si>
  <si>
    <t>CLS1125</t>
  </si>
  <si>
    <t>ODA TRANS</t>
  </si>
  <si>
    <t>CLS1186</t>
  </si>
  <si>
    <t>O'DIS</t>
  </si>
  <si>
    <t>CLS0522</t>
  </si>
  <si>
    <t>OIL &amp; PARTS TRANSPORTS SARL</t>
  </si>
  <si>
    <t>CLS0762</t>
  </si>
  <si>
    <t>OMAD</t>
  </si>
  <si>
    <t>CLT0326</t>
  </si>
  <si>
    <t>OMT TRANS</t>
  </si>
  <si>
    <t>CLS0492</t>
  </si>
  <si>
    <t>ONA CAR</t>
  </si>
  <si>
    <t>CLS675</t>
  </si>
  <si>
    <t>ONAYNE-GAZ</t>
  </si>
  <si>
    <t>TIFLET</t>
  </si>
  <si>
    <t>CLR0184</t>
  </si>
  <si>
    <t>MAHROUJ AHMED</t>
  </si>
  <si>
    <t>AIT OURIR</t>
  </si>
  <si>
    <t>CLT0356</t>
  </si>
  <si>
    <t>OPEN TRANSPORT</t>
  </si>
  <si>
    <t>CLT0005</t>
  </si>
  <si>
    <t>OPTICO SARL</t>
  </si>
  <si>
    <t>CLS1455</t>
  </si>
  <si>
    <t>ORANGE GAZ</t>
  </si>
  <si>
    <t>CLT0105</t>
  </si>
  <si>
    <t>ORIENT COM</t>
  </si>
  <si>
    <t>CLR0185</t>
  </si>
  <si>
    <t>ALLO PNEU</t>
  </si>
  <si>
    <t>CLT0008</t>
  </si>
  <si>
    <t>ORSAN TRANS</t>
  </si>
  <si>
    <t>CLR0186</t>
  </si>
  <si>
    <t>PNEUMATIQUE EL MASSIRA F.B.S</t>
  </si>
  <si>
    <t>CLR0187</t>
  </si>
  <si>
    <t>CENTRE PNEUMATIQUE BENI MELLAL</t>
  </si>
  <si>
    <t>CLS0680</t>
  </si>
  <si>
    <t>OUIGAZ</t>
  </si>
  <si>
    <t>AIN ATIQ</t>
  </si>
  <si>
    <t>CLT0575</t>
  </si>
  <si>
    <t>OUL TRANS</t>
  </si>
  <si>
    <t>CLS1166</t>
  </si>
  <si>
    <t>OULAWN</t>
  </si>
  <si>
    <t>CLS0204</t>
  </si>
  <si>
    <t>OUM RABII VIVA</t>
  </si>
  <si>
    <t>CLS0166</t>
  </si>
  <si>
    <t>OUNASSER MOHAMED</t>
  </si>
  <si>
    <t>CLS0220</t>
  </si>
  <si>
    <t>OURELEC</t>
  </si>
  <si>
    <t>CLR0188</t>
  </si>
  <si>
    <t>OUBERKA SAID</t>
  </si>
  <si>
    <t>CLS0593</t>
  </si>
  <si>
    <t>OUTINAS</t>
  </si>
  <si>
    <t>CLS0742</t>
  </si>
  <si>
    <t>OUZOUD METAL</t>
  </si>
  <si>
    <t>CLS0884</t>
  </si>
  <si>
    <t>OXAIR</t>
  </si>
  <si>
    <t>CLS0691</t>
  </si>
  <si>
    <t>OZONE</t>
  </si>
  <si>
    <t>CLT0143</t>
  </si>
  <si>
    <t>P L A</t>
  </si>
  <si>
    <t>CLR0189</t>
  </si>
  <si>
    <t>TRIANGLE PNEU</t>
  </si>
  <si>
    <t>CLS0405</t>
  </si>
  <si>
    <t>P. M . E. C</t>
  </si>
  <si>
    <t>CLS0355</t>
  </si>
  <si>
    <t>P.R.O.D.E.C</t>
  </si>
  <si>
    <t>CLS0091</t>
  </si>
  <si>
    <t>PACOP NEGOCE</t>
  </si>
  <si>
    <t>CLS1044</t>
  </si>
  <si>
    <t>PALESTINE CAR</t>
  </si>
  <si>
    <t>CLR0190</t>
  </si>
  <si>
    <t>PNEUMATIQUE EL JADIDA</t>
  </si>
  <si>
    <t>CLS1067</t>
  </si>
  <si>
    <t>PANARAB TRANS</t>
  </si>
  <si>
    <t>CLR0191</t>
  </si>
  <si>
    <t>PNEUMATIQUE HOUARA FRERES</t>
  </si>
  <si>
    <t>CLS0715</t>
  </si>
  <si>
    <t>PEPARVIT AUTOS</t>
  </si>
  <si>
    <t>CLS1210</t>
  </si>
  <si>
    <t>PERSEE MAROC</t>
  </si>
  <si>
    <t>CLT0187</t>
  </si>
  <si>
    <t>PETIT FORESTIER MAROC</t>
  </si>
  <si>
    <t>CLS1163</t>
  </si>
  <si>
    <t>PETRO HAWK</t>
  </si>
  <si>
    <t>CLS0074</t>
  </si>
  <si>
    <t>PETRODIS</t>
  </si>
  <si>
    <t>CLS1443</t>
  </si>
  <si>
    <t>PETROLEUM AFRICA</t>
  </si>
  <si>
    <t>CLS1148</t>
  </si>
  <si>
    <t>PETROLIA</t>
  </si>
  <si>
    <t>CLS0746</t>
  </si>
  <si>
    <t>PETROM</t>
  </si>
  <si>
    <t>CLR0192</t>
  </si>
  <si>
    <t>PNEUMATIQUE HAY HOUDA</t>
  </si>
  <si>
    <t>CLS1349</t>
  </si>
  <si>
    <t>PHB CHANTIER EL HALASSA Ets.Stable</t>
  </si>
  <si>
    <t>CLT0153</t>
  </si>
  <si>
    <t>PHILIPPE LOGISTIK</t>
  </si>
  <si>
    <t>CLA0021</t>
  </si>
  <si>
    <t>PHOSBOUCRAA</t>
  </si>
  <si>
    <t>CLR0193</t>
  </si>
  <si>
    <t>ETS HMIDOU PIECES AUTOS</t>
  </si>
  <si>
    <t>MIDELT</t>
  </si>
  <si>
    <t>CLR0194</t>
  </si>
  <si>
    <t>PNEUMATIQUE ATTADAMOUN</t>
  </si>
  <si>
    <t>CLR0195</t>
  </si>
  <si>
    <t>LAAROUSSI DRISS</t>
  </si>
  <si>
    <t>CLR0196</t>
  </si>
  <si>
    <t>MARRAKECH PNEU</t>
  </si>
  <si>
    <t>CLR0197</t>
  </si>
  <si>
    <t>PNEUMATIQUE TAMOUD FRERES</t>
  </si>
  <si>
    <t>CLR0198</t>
  </si>
  <si>
    <t>STE VOLGAN ENNAHDA</t>
  </si>
  <si>
    <t>CLS1209</t>
  </si>
  <si>
    <t>PIECES AUTO MODERNES</t>
  </si>
  <si>
    <t>CLS1206</t>
  </si>
  <si>
    <t>CLR0199</t>
  </si>
  <si>
    <t>SI 3</t>
  </si>
  <si>
    <t>CLS0685</t>
  </si>
  <si>
    <t>PITSTOP</t>
  </si>
  <si>
    <t>CLS1449</t>
  </si>
  <si>
    <t>PLANCHE DOUKKALA</t>
  </si>
  <si>
    <t>CLT0440</t>
  </si>
  <si>
    <t>PLANETE LINE LOGISTIC</t>
  </si>
  <si>
    <t>CLR0200</t>
  </si>
  <si>
    <t>PNEUMATIQUE AIT TAHRIA</t>
  </si>
  <si>
    <t>CLS1203</t>
  </si>
  <si>
    <t>PLATINIUM SERVICES AUTO</t>
  </si>
  <si>
    <t>CLS0712</t>
  </si>
  <si>
    <t>PLATINO CAR SERVICES</t>
  </si>
  <si>
    <t>CLS1190</t>
  </si>
  <si>
    <t>PNEU A DOMICILE</t>
  </si>
  <si>
    <t>CLR0201</t>
  </si>
  <si>
    <t>PNEUMATIQUE ALI</t>
  </si>
  <si>
    <t>CLR0202</t>
  </si>
  <si>
    <t>P P C R</t>
  </si>
  <si>
    <t>CLR0203</t>
  </si>
  <si>
    <t>SANICLAIR</t>
  </si>
  <si>
    <t>CLR0204</t>
  </si>
  <si>
    <t>PNEUMATIQUE FATH ALLAH</t>
  </si>
  <si>
    <t>CLR0205</t>
  </si>
  <si>
    <t>PNEUMATIQUE MARCHE GROS</t>
  </si>
  <si>
    <t>CLR0206</t>
  </si>
  <si>
    <t>RELAIS OLYMPIC</t>
  </si>
  <si>
    <t>CLR0207</t>
  </si>
  <si>
    <t>PNEUMATIQUE EL BAKKOURI</t>
  </si>
  <si>
    <t>CLR0208</t>
  </si>
  <si>
    <t>ABDA PNEUS</t>
  </si>
  <si>
    <t>CLR0209</t>
  </si>
  <si>
    <t>ISLY PNEUS SARL</t>
  </si>
  <si>
    <t>CLR0210</t>
  </si>
  <si>
    <t>EL BACHIR ABDELLAH</t>
  </si>
  <si>
    <t>SOUK SEBT</t>
  </si>
  <si>
    <t>CLR0211</t>
  </si>
  <si>
    <t>REVES FRERES</t>
  </si>
  <si>
    <t>CLS1084</t>
  </si>
  <si>
    <t>PNEU TIJANI</t>
  </si>
  <si>
    <t>CLR0212</t>
  </si>
  <si>
    <t>PIECES AUTO ET PNEU ESSAADA</t>
  </si>
  <si>
    <t>CLR0213</t>
  </si>
  <si>
    <t>PNEUS YACOUB EL MANSOUR</t>
  </si>
  <si>
    <t>CLR0214</t>
  </si>
  <si>
    <t>CMP-PR</t>
  </si>
  <si>
    <t>CLR0215</t>
  </si>
  <si>
    <t>CENTRE PNEUMATIQUE AZRAG</t>
  </si>
  <si>
    <t>OULED AYAD</t>
  </si>
  <si>
    <t>CLR0216</t>
  </si>
  <si>
    <t>NETOYAGE EQUIPEMENT OUM RABIAA</t>
  </si>
  <si>
    <t>TADLA</t>
  </si>
  <si>
    <t>CLR0217</t>
  </si>
  <si>
    <t>ATLAS VEHICULES INDUSTRIELS</t>
  </si>
  <si>
    <t>CLR0218</t>
  </si>
  <si>
    <t>PNEUMATIQUE LA RENAISSANCE</t>
  </si>
  <si>
    <t>CLS1207</t>
  </si>
  <si>
    <t>PNEUMATIQUE ABDELLATIF</t>
  </si>
  <si>
    <t>CLR0219</t>
  </si>
  <si>
    <t>MENARA PNEUMATIQUES</t>
  </si>
  <si>
    <t>CLR0220</t>
  </si>
  <si>
    <t>MARKET PNEU SERVICE</t>
  </si>
  <si>
    <t>CLR0221</t>
  </si>
  <si>
    <t>MASTER PNEU</t>
  </si>
  <si>
    <t>CLR0222</t>
  </si>
  <si>
    <t>PNEUMATIQUE  AL MASSIRA AIT MELLOUL</t>
  </si>
  <si>
    <t>CLR0223</t>
  </si>
  <si>
    <t>PNEUMATIQUE ZITOUNA</t>
  </si>
  <si>
    <t>CLR0224</t>
  </si>
  <si>
    <t>BAKKALI ABDESSLAM</t>
  </si>
  <si>
    <t>CLV0296</t>
  </si>
  <si>
    <t>PNEUMATIQUE AGHARAS</t>
  </si>
  <si>
    <t>CLS0650</t>
  </si>
  <si>
    <t>CLR0225</t>
  </si>
  <si>
    <t>STE PNEU HIAL</t>
  </si>
  <si>
    <t>CLR0226</t>
  </si>
  <si>
    <t>STE MICHLIFEN PNEUMATIQUE</t>
  </si>
  <si>
    <t>CLR0227</t>
  </si>
  <si>
    <t>PNEUMATIQUE ANEZI</t>
  </si>
  <si>
    <t>CLR0228</t>
  </si>
  <si>
    <t>PNEUMATIQUE EL HAMRA</t>
  </si>
  <si>
    <t>CLR0229</t>
  </si>
  <si>
    <t>CARREFOUR DES PNEUS</t>
  </si>
  <si>
    <t>CLR0230</t>
  </si>
  <si>
    <t>HARDI PNEUS</t>
  </si>
  <si>
    <t>CLR0231</t>
  </si>
  <si>
    <t>STATION PETROMIN BADR</t>
  </si>
  <si>
    <t>CLR0232</t>
  </si>
  <si>
    <t>STE BARHADAR PIECE AUTO</t>
  </si>
  <si>
    <t>CLR0233</t>
  </si>
  <si>
    <t>STATION PNEUMATIQUE SAÏSS</t>
  </si>
  <si>
    <t>CLR0234</t>
  </si>
  <si>
    <t>STE LA WILAYA PNEUS</t>
  </si>
  <si>
    <t>CLR0235</t>
  </si>
  <si>
    <t>PNEUMATIQUE RHAZ I</t>
  </si>
  <si>
    <t>CLR0236</t>
  </si>
  <si>
    <t>PNEUMATIQUE HORIZON</t>
  </si>
  <si>
    <t>CLR0237</t>
  </si>
  <si>
    <t>STE PNEU ABDELAZIZ</t>
  </si>
  <si>
    <t>CLS0649</t>
  </si>
  <si>
    <t>PNEUMATIQUE AMAANAN SUD</t>
  </si>
  <si>
    <t>CLV0295</t>
  </si>
  <si>
    <t>CLR0238</t>
  </si>
  <si>
    <t>QUALITE PNEUMATIQUE &amp; SCE</t>
  </si>
  <si>
    <t>CLR0239</t>
  </si>
  <si>
    <t>PLANETTE PNEU</t>
  </si>
  <si>
    <t>CLR0240</t>
  </si>
  <si>
    <t>PNEUMATIQUE MIMOZA</t>
  </si>
  <si>
    <t>CLR0241</t>
  </si>
  <si>
    <t>MABODRE PNEU</t>
  </si>
  <si>
    <t>CLR0242</t>
  </si>
  <si>
    <t>S C P A</t>
  </si>
  <si>
    <t>CLR0243</t>
  </si>
  <si>
    <t>PNEUMATIQUE ARINA</t>
  </si>
  <si>
    <t>CLR0244</t>
  </si>
  <si>
    <t>PNEUMATIQUE MOHAMMEDIA</t>
  </si>
  <si>
    <t>CLR0245</t>
  </si>
  <si>
    <t>PNEUMATIQUE LA CIGOGNE</t>
  </si>
  <si>
    <t>CLR0246</t>
  </si>
  <si>
    <t>SOTAPNEU</t>
  </si>
  <si>
    <t>CLR0247</t>
  </si>
  <si>
    <t>STE PNEUMATIQUE AHMED SEBBAGH</t>
  </si>
  <si>
    <t>CLR0248</t>
  </si>
  <si>
    <t>EURO TYRE</t>
  </si>
  <si>
    <t>CLR0249</t>
  </si>
  <si>
    <t>SERVICES AUTOS EL BOUKHARI</t>
  </si>
  <si>
    <t>CLR0250</t>
  </si>
  <si>
    <t>AMINE TANGER</t>
  </si>
  <si>
    <t>CLR0251</t>
  </si>
  <si>
    <t>FORT PNEUS</t>
  </si>
  <si>
    <t>CLR0252</t>
  </si>
  <si>
    <t>AUTO PNEU</t>
  </si>
  <si>
    <t>CLR0253</t>
  </si>
  <si>
    <t>HAMID BOUCHIKHI</t>
  </si>
  <si>
    <t>CLR0254</t>
  </si>
  <si>
    <t>HAJJAJI SALIM</t>
  </si>
  <si>
    <t>DCHIRA</t>
  </si>
  <si>
    <t>CLR0255</t>
  </si>
  <si>
    <t>GARAGE EL BOUZIDI</t>
  </si>
  <si>
    <t>OUALAD SAID</t>
  </si>
  <si>
    <t>CLR0256</t>
  </si>
  <si>
    <t>CENTRE PNEUMATIQUE EL AMRANI</t>
  </si>
  <si>
    <t>CLR0257</t>
  </si>
  <si>
    <t>GARAGE TAMIMI</t>
  </si>
  <si>
    <t>CLR0258</t>
  </si>
  <si>
    <t>ATELIER ALLANE</t>
  </si>
  <si>
    <t>CLR0259</t>
  </si>
  <si>
    <t>NURIA IKRAM</t>
  </si>
  <si>
    <t>CLR0260</t>
  </si>
  <si>
    <t>PNEUMATIQUE AMAZIGHT</t>
  </si>
  <si>
    <t>CLR0261</t>
  </si>
  <si>
    <t>STE BAAROUR FRERES</t>
  </si>
  <si>
    <t>OULAD BERHIL</t>
  </si>
  <si>
    <t>CLR0262</t>
  </si>
  <si>
    <t>MEKNES INTER GOMME</t>
  </si>
  <si>
    <t>CLR0263</t>
  </si>
  <si>
    <t>JAMAL BEN MOHAMED</t>
  </si>
  <si>
    <t>CLR0264</t>
  </si>
  <si>
    <t>PNEUMATIQUE LA COLLINE</t>
  </si>
  <si>
    <t>CLR0265</t>
  </si>
  <si>
    <t>JAWDA PNEU</t>
  </si>
  <si>
    <t>CLR0266</t>
  </si>
  <si>
    <t>SELECT PNEUMATIQUE</t>
  </si>
  <si>
    <t>CLR0267</t>
  </si>
  <si>
    <t>PNEU BEN SAID</t>
  </si>
  <si>
    <t>CLR0268</t>
  </si>
  <si>
    <t>PNEUMATIQUE SOUNNA</t>
  </si>
  <si>
    <t>CLR0269</t>
  </si>
  <si>
    <t>PNEUMATIQUE AL-JAZIRA</t>
  </si>
  <si>
    <t>CLR0270</t>
  </si>
  <si>
    <t>EL WAHA PIECES SERVICES  SARL</t>
  </si>
  <si>
    <t>CLS1111</t>
  </si>
  <si>
    <t>PNEUMATIQUE EL AMRANI</t>
  </si>
  <si>
    <t>CLR0271</t>
  </si>
  <si>
    <t>STE OUADIE PNEUMATIQUE SARL</t>
  </si>
  <si>
    <t xml:space="preserve">FES </t>
  </si>
  <si>
    <t>CLR0272</t>
  </si>
  <si>
    <t>CENTRE PNEUMATIQUE AMAR</t>
  </si>
  <si>
    <t>souk sebt</t>
  </si>
  <si>
    <t>CLR0273</t>
  </si>
  <si>
    <t>MULTI PNEUS</t>
  </si>
  <si>
    <t>CLR0274</t>
  </si>
  <si>
    <t>PNEUMATIQUE CHAMSS</t>
  </si>
  <si>
    <t>CLR0275</t>
  </si>
  <si>
    <t>SERVICE PNEUMATIQUE TAMOUD 2</t>
  </si>
  <si>
    <t>CLR0277</t>
  </si>
  <si>
    <t>ACHENTIF M'BAREK</t>
  </si>
  <si>
    <t>CLR0278</t>
  </si>
  <si>
    <t>PNEUMATIQUE OUBERKA  SARL</t>
  </si>
  <si>
    <t>CLR0279</t>
  </si>
  <si>
    <t>BESSAM DRISS</t>
  </si>
  <si>
    <t>CLR0280</t>
  </si>
  <si>
    <t>BOUBIDMAN EQUIPEMENT</t>
  </si>
  <si>
    <t>HAJEB</t>
  </si>
  <si>
    <t>CLR0281</t>
  </si>
  <si>
    <t>STE PNEUMATIQUE ROUIDA</t>
  </si>
  <si>
    <t>CLR0282</t>
  </si>
  <si>
    <t>PNEUMATIQUE AIN ITTI</t>
  </si>
  <si>
    <t>CLR0283</t>
  </si>
  <si>
    <t>TECNIA  SARL</t>
  </si>
  <si>
    <t>CLR0284</t>
  </si>
  <si>
    <t>PNEUMATIQUE SIDI YOUSSEF BEN A</t>
  </si>
  <si>
    <t>CLR0285</t>
  </si>
  <si>
    <t>PNEUMATIQUE DES OUDAYAS</t>
  </si>
  <si>
    <t>CLR0286</t>
  </si>
  <si>
    <t>ZAHRAOUI BOUSELHAM</t>
  </si>
  <si>
    <t>SOUK LARBAA</t>
  </si>
  <si>
    <t>CLR0287</t>
  </si>
  <si>
    <t>DIAMAUTO   SARL</t>
  </si>
  <si>
    <t>CLR0288</t>
  </si>
  <si>
    <t>INTER PNEU</t>
  </si>
  <si>
    <t>CLR0289</t>
  </si>
  <si>
    <t>TICHKA DISTRIBUTION</t>
  </si>
  <si>
    <t>CLR0290</t>
  </si>
  <si>
    <t>PNEUMATIQUE SAFI</t>
  </si>
  <si>
    <t xml:space="preserve">SAFI </t>
  </si>
  <si>
    <t>CLR0291</t>
  </si>
  <si>
    <t>CHAKHTOUR BRAHIM</t>
  </si>
  <si>
    <t>CLR0292</t>
  </si>
  <si>
    <t>CENTRE PNEUMATIQUE AL BARAKA</t>
  </si>
  <si>
    <t>CLR0293</t>
  </si>
  <si>
    <t>PNEU HAMID SERVICE</t>
  </si>
  <si>
    <t>CLR0294</t>
  </si>
  <si>
    <t>PNEUMATIQUES BEN AICHA</t>
  </si>
  <si>
    <t>CLR0297</t>
  </si>
  <si>
    <t>CLR0298</t>
  </si>
  <si>
    <t>STE PNEUMATIQUE MAJIDI</t>
  </si>
  <si>
    <t>CLR0299</t>
  </si>
  <si>
    <t>AL HAMAMA PNEUS</t>
  </si>
  <si>
    <t>CLR0300</t>
  </si>
  <si>
    <t>MECATOP</t>
  </si>
  <si>
    <t>CLR0301</t>
  </si>
  <si>
    <t>GARAGE EL WATANI</t>
  </si>
  <si>
    <t>CLR0302</t>
  </si>
  <si>
    <t>PNEUS MAROC</t>
  </si>
  <si>
    <t>CLR0303</t>
  </si>
  <si>
    <t>BOUDAMOUME ABDERRAHMAN</t>
  </si>
  <si>
    <t>CLR0304</t>
  </si>
  <si>
    <t>PNEUMATIQUE BARHON</t>
  </si>
  <si>
    <t>CLR0305</t>
  </si>
  <si>
    <t>PNEURAMA</t>
  </si>
  <si>
    <t>CLR0306</t>
  </si>
  <si>
    <t>PNEUMATIQUE ARGANA</t>
  </si>
  <si>
    <t>CLR0307</t>
  </si>
  <si>
    <t>CENTRE PNEUMATIQUE NASSIM</t>
  </si>
  <si>
    <t>CLR0308</t>
  </si>
  <si>
    <t>STE PNEUMATIQUE DAKI</t>
  </si>
  <si>
    <t>CLR0309</t>
  </si>
  <si>
    <t>STATION SERVICE SAADA</t>
  </si>
  <si>
    <t>CLR0310</t>
  </si>
  <si>
    <t>PNEUMATIQUE HERITIERS AIT TAHRIA</t>
  </si>
  <si>
    <t>CLR0311</t>
  </si>
  <si>
    <t>PNEUMATIQUE SAHEL</t>
  </si>
  <si>
    <t>CLR0312</t>
  </si>
  <si>
    <t>PIECE AUTO ENNASR</t>
  </si>
  <si>
    <t>SIDI ALLAL BAHRAOUI</t>
  </si>
  <si>
    <t>CLR0313</t>
  </si>
  <si>
    <t>STE ELBAZ PNEU</t>
  </si>
  <si>
    <t>CLR0314</t>
  </si>
  <si>
    <t>RABAT PNEUMATIQUE</t>
  </si>
  <si>
    <t>CLR0316</t>
  </si>
  <si>
    <t>PANTER PNEU</t>
  </si>
  <si>
    <t>CLR0317</t>
  </si>
  <si>
    <t>PNEUMATIQUE AARAFA</t>
  </si>
  <si>
    <t>CLR0318</t>
  </si>
  <si>
    <t>PNEUMATIQUE LAMSALA</t>
  </si>
  <si>
    <t>CLR0319</t>
  </si>
  <si>
    <t>STE PNEUMATIQUE TACHILLA</t>
  </si>
  <si>
    <t>CLR0320</t>
  </si>
  <si>
    <t>PNEUMATIQUE ESSADIYINES</t>
  </si>
  <si>
    <t>CLR0321</t>
  </si>
  <si>
    <t>PNEUMATIQUE BOURNAZEL</t>
  </si>
  <si>
    <t>CLR0322</t>
  </si>
  <si>
    <t>PNEUMATIQUE AL FALAH</t>
  </si>
  <si>
    <t>CLR0323</t>
  </si>
  <si>
    <t>STE BEN FETTOUM TIRES</t>
  </si>
  <si>
    <t>CLR0324</t>
  </si>
  <si>
    <t>PNEU JAWHARA</t>
  </si>
  <si>
    <t>CLR0325</t>
  </si>
  <si>
    <t>PIECES AUTO YJABI FRERES</t>
  </si>
  <si>
    <t>CLS0867</t>
  </si>
  <si>
    <t>PNEUMATIQUE NOUVELLE SIDI BIBI</t>
  </si>
  <si>
    <t>CLR0326</t>
  </si>
  <si>
    <t>PNEUMATIQUE HAMID</t>
  </si>
  <si>
    <t>KHEMISSET</t>
  </si>
  <si>
    <t>CLR0327</t>
  </si>
  <si>
    <t>PNEUMATIQUE ABDELWAFI</t>
  </si>
  <si>
    <t>CLR0328</t>
  </si>
  <si>
    <t>PNEUMATIQUE FARID</t>
  </si>
  <si>
    <t>CLR0329</t>
  </si>
  <si>
    <t>PNEUMATIQUE AIN SADAK</t>
  </si>
  <si>
    <t>CLR0330</t>
  </si>
  <si>
    <t>STE ZANANI</t>
  </si>
  <si>
    <t>CLR0331</t>
  </si>
  <si>
    <t>ONE DREAM CAR</t>
  </si>
  <si>
    <t>CLR0332</t>
  </si>
  <si>
    <t>GUELIZ PNEU</t>
  </si>
  <si>
    <t>CLR0334</t>
  </si>
  <si>
    <t>PNEUMATIQUE OULED AZAM</t>
  </si>
  <si>
    <t>CLR0335</t>
  </si>
  <si>
    <t>PNEUMATIQUE ET AUTO SERVICE CHAOUIA</t>
  </si>
  <si>
    <t>CLR0336</t>
  </si>
  <si>
    <t>LES FRERES YOUSSEF NASSEL</t>
  </si>
  <si>
    <t>CLR0337</t>
  </si>
  <si>
    <t>PNEUS AL BASSATINE</t>
  </si>
  <si>
    <t>CLR0338</t>
  </si>
  <si>
    <t>COPER PNEU</t>
  </si>
  <si>
    <t>CLR0339</t>
  </si>
  <si>
    <t>M'HAMID PNEU</t>
  </si>
  <si>
    <t>CLR0340</t>
  </si>
  <si>
    <t>PNEU DU PORT</t>
  </si>
  <si>
    <t>HOUCEIMA</t>
  </si>
  <si>
    <t>CLR0341</t>
  </si>
  <si>
    <t>AGADIR PNEU</t>
  </si>
  <si>
    <t>CLR0342</t>
  </si>
  <si>
    <t>STOP PNEUS</t>
  </si>
  <si>
    <t>CLR0343</t>
  </si>
  <si>
    <t>MEHDI RABAT</t>
  </si>
  <si>
    <t>CLR0344</t>
  </si>
  <si>
    <t>STATION BELMAATI</t>
  </si>
  <si>
    <t>CLR0345</t>
  </si>
  <si>
    <t>PNEUMATIQUE ANAS 92</t>
  </si>
  <si>
    <t>CLR0346</t>
  </si>
  <si>
    <t>ESSAOUIHLA PNEU</t>
  </si>
  <si>
    <t>CLR0347</t>
  </si>
  <si>
    <t>CENTRE PNEUMATIQUE SABRI</t>
  </si>
  <si>
    <t>CLR0349</t>
  </si>
  <si>
    <t>ASTA PNEU</t>
  </si>
  <si>
    <t>CLR0350</t>
  </si>
  <si>
    <t>PNEUMATIQUE SALAMA</t>
  </si>
  <si>
    <t>CLR0351</t>
  </si>
  <si>
    <t>COMAPNEU</t>
  </si>
  <si>
    <t>CLR0352</t>
  </si>
  <si>
    <t>MAISON DES PNEUS</t>
  </si>
  <si>
    <t>CLR0353</t>
  </si>
  <si>
    <t>PIECE AUTO LABROUJ</t>
  </si>
  <si>
    <t>BROUJ</t>
  </si>
  <si>
    <t>CLR0354</t>
  </si>
  <si>
    <t>AUTO SERVICE EL BROUJ</t>
  </si>
  <si>
    <t>CLR0355</t>
  </si>
  <si>
    <t>AMSTERDAM PNEUMATIQUE</t>
  </si>
  <si>
    <t>CLR0356</t>
  </si>
  <si>
    <t>UNIVERS PNEUS INVEST</t>
  </si>
  <si>
    <t>CLR0357</t>
  </si>
  <si>
    <t>PNEU IMAZIGHEN</t>
  </si>
  <si>
    <t>CLR0358</t>
  </si>
  <si>
    <t>ABDELBASST FOUNTY</t>
  </si>
  <si>
    <t>CLR0359</t>
  </si>
  <si>
    <t>STE PNEUMATIQUE NASSIME</t>
  </si>
  <si>
    <t>CLR0360</t>
  </si>
  <si>
    <t>ECO PNEUS</t>
  </si>
  <si>
    <t>CLR0361</t>
  </si>
  <si>
    <t>STE PNEUMATIQUE ENAJAH</t>
  </si>
  <si>
    <t>CLR0362</t>
  </si>
  <si>
    <t>CASA PNEUS</t>
  </si>
  <si>
    <t>CLR0363</t>
  </si>
  <si>
    <t>SMIYIL ABDERRAZZAK</t>
  </si>
  <si>
    <t>CLR03648</t>
  </si>
  <si>
    <t>PNEUMATIQUE BAB DOUKKALA</t>
  </si>
  <si>
    <t>CLR0365</t>
  </si>
  <si>
    <t>SALAH HADOU</t>
  </si>
  <si>
    <t>CLR0366</t>
  </si>
  <si>
    <t>PNEUMATIQUE COEUR SAHARA</t>
  </si>
  <si>
    <t>CLS0542</t>
  </si>
  <si>
    <t>POINTS MATERIAUX S.A.</t>
  </si>
  <si>
    <t>CLS0198</t>
  </si>
  <si>
    <t>POLIMAFER</t>
  </si>
  <si>
    <t>CLS0307</t>
  </si>
  <si>
    <t>POLIMPEX</t>
  </si>
  <si>
    <t>CLS1167</t>
  </si>
  <si>
    <t>POLLUCLEAN</t>
  </si>
  <si>
    <t>CLT0169</t>
  </si>
  <si>
    <t>POLY TRAVAUX &amp; SERVICES</t>
  </si>
  <si>
    <t>CLS1100</t>
  </si>
  <si>
    <t>PORT EQUIPMENT MAGHREB</t>
  </si>
  <si>
    <t>CLS0328</t>
  </si>
  <si>
    <t>PRATIQUE MAROC</t>
  </si>
  <si>
    <t>CLS0739</t>
  </si>
  <si>
    <t>PREFA MAROC</t>
  </si>
  <si>
    <t>CLA0019</t>
  </si>
  <si>
    <t>PREFECTURE  POLICE ROCHE NOIRE</t>
  </si>
  <si>
    <t>CLA0018</t>
  </si>
  <si>
    <t>PREFECTURE DE POLICE DE CASA</t>
  </si>
  <si>
    <t>CLA0012</t>
  </si>
  <si>
    <t>PREFECTURE SIDI OTHMANE</t>
  </si>
  <si>
    <t>CLR0367</t>
  </si>
  <si>
    <t>PNEUMATIQUE ESSAADA GUELMIM</t>
  </si>
  <si>
    <t>CLR0368</t>
  </si>
  <si>
    <t>STE COMMERCIAL BELKHANFAR</t>
  </si>
  <si>
    <t>TAN TAN</t>
  </si>
  <si>
    <t>CLR0369</t>
  </si>
  <si>
    <t>PNEUMATIQUE YASSIR</t>
  </si>
  <si>
    <t>CLS0946</t>
  </si>
  <si>
    <t>PRIMARIOS</t>
  </si>
  <si>
    <t>CLS1089</t>
  </si>
  <si>
    <t>PRO TIRES</t>
  </si>
  <si>
    <t>CLS0469</t>
  </si>
  <si>
    <t>PROFELEC</t>
  </si>
  <si>
    <t>CLS0335</t>
  </si>
  <si>
    <t>PROFESSIONNEL CAR</t>
  </si>
  <si>
    <t>CLS0258</t>
  </si>
  <si>
    <t>PROFIL CAR</t>
  </si>
  <si>
    <t>CLS0068</t>
  </si>
  <si>
    <t>PROMINOX</t>
  </si>
  <si>
    <t>CLS0243</t>
  </si>
  <si>
    <t>PROMOFIG</t>
  </si>
  <si>
    <t>CLS0350</t>
  </si>
  <si>
    <t>PROMOTION SERVICE DIFFUSION</t>
  </si>
  <si>
    <t>CLS0554</t>
  </si>
  <si>
    <t>PROMOTION TOURISTIQUE MOHSSINE</t>
  </si>
  <si>
    <t>CLS0659</t>
  </si>
  <si>
    <t>PROMOTOURS</t>
  </si>
  <si>
    <t>CLS1030</t>
  </si>
  <si>
    <t>PTS PRESTIGE</t>
  </si>
  <si>
    <t>CLT0014</t>
  </si>
  <si>
    <t>PULLMAN DU SUD</t>
  </si>
  <si>
    <t>CLS0693</t>
  </si>
  <si>
    <t>QOSAP</t>
  </si>
  <si>
    <t>CLR0370</t>
  </si>
  <si>
    <t>STE IMITCHI</t>
  </si>
  <si>
    <t>CLS1426</t>
  </si>
  <si>
    <t>QUALITY BEAN MOROCCO</t>
  </si>
  <si>
    <t>CLT0135</t>
  </si>
  <si>
    <t>QUALITY TRANS</t>
  </si>
  <si>
    <t>CLR0371</t>
  </si>
  <si>
    <t>ISTIRAHA STATION</t>
  </si>
  <si>
    <t>CLT0402</t>
  </si>
  <si>
    <t>R A T S</t>
  </si>
  <si>
    <t>CLS0461</t>
  </si>
  <si>
    <t>R G C</t>
  </si>
  <si>
    <t>CLS0175</t>
  </si>
  <si>
    <t>R M D</t>
  </si>
  <si>
    <t>CLT0097</t>
  </si>
  <si>
    <t>R M D LOGISTIQUE</t>
  </si>
  <si>
    <t>CLR0372</t>
  </si>
  <si>
    <t>PREMIUM ET SPEED AUTO</t>
  </si>
  <si>
    <t>CLT0369</t>
  </si>
  <si>
    <t>RACH KAM NEGOCE</t>
  </si>
  <si>
    <t>CLS1150</t>
  </si>
  <si>
    <t>RACHDI YOUNES</t>
  </si>
  <si>
    <t>CLA0011</t>
  </si>
  <si>
    <t>RADEEJ</t>
  </si>
  <si>
    <t>CLT0379</t>
  </si>
  <si>
    <t>RADIYANE</t>
  </si>
  <si>
    <t>CLA0024</t>
  </si>
  <si>
    <t>RAM HANDLING</t>
  </si>
  <si>
    <t>CLS1002</t>
  </si>
  <si>
    <t>RAMADI BRAHIM</t>
  </si>
  <si>
    <t>CLS0679</t>
  </si>
  <si>
    <t>RAMADI FRERES</t>
  </si>
  <si>
    <t>CLT0355</t>
  </si>
  <si>
    <t>RAMAL TRANS</t>
  </si>
  <si>
    <t>CLT0034</t>
  </si>
  <si>
    <t>RAPIDE LOG</t>
  </si>
  <si>
    <t>CLS0853</t>
  </si>
  <si>
    <t>RAPIDO NORTE</t>
  </si>
  <si>
    <t>CLS0791</t>
  </si>
  <si>
    <t>RAY AUTO</t>
  </si>
  <si>
    <t>CLS0881</t>
  </si>
  <si>
    <t>RAYANE TIRE</t>
  </si>
  <si>
    <t>CLT0148</t>
  </si>
  <si>
    <t>RAYLABITRANS</t>
  </si>
  <si>
    <t>CLT0237</t>
  </si>
  <si>
    <t>RAZKANI RACHID</t>
  </si>
  <si>
    <t>CLS0757</t>
  </si>
  <si>
    <t>REAL FOOD INDUSTRIES</t>
  </si>
  <si>
    <t>CLS0505</t>
  </si>
  <si>
    <t>RECOMARITIME  SARL</t>
  </si>
  <si>
    <t>CLS0111</t>
  </si>
  <si>
    <t>RECY PUB</t>
  </si>
  <si>
    <t>CLS0838</t>
  </si>
  <si>
    <t>RED SQUARE</t>
  </si>
  <si>
    <t>CLS1399</t>
  </si>
  <si>
    <t>REDA CHTOUKA</t>
  </si>
  <si>
    <t>AZEMOUR</t>
  </si>
  <si>
    <t>CLT0113</t>
  </si>
  <si>
    <t>REDA MOUR TRANSPORT</t>
  </si>
  <si>
    <t>CLT0076</t>
  </si>
  <si>
    <t>REDOUANE $ MOUFADDAL</t>
  </si>
  <si>
    <t>CLS0267</t>
  </si>
  <si>
    <t>REFERENCE SERVICE</t>
  </si>
  <si>
    <t>CLS1076</t>
  </si>
  <si>
    <t>REGENCY CAR</t>
  </si>
  <si>
    <t>CLT0157</t>
  </si>
  <si>
    <t>REGENCY LIMOUSINE</t>
  </si>
  <si>
    <t>CLR0373</t>
  </si>
  <si>
    <t>PNEUMATIQUE TIFAOUINE</t>
  </si>
  <si>
    <t>CLR0374</t>
  </si>
  <si>
    <t>STE PNEUMATIQUE DAR AL IMANE</t>
  </si>
  <si>
    <t>CLS0561</t>
  </si>
  <si>
    <t>REMORQUES EQUIPEMENTS</t>
  </si>
  <si>
    <t>CLS0078</t>
  </si>
  <si>
    <t>RENAULT COMMERCE MAROC</t>
  </si>
  <si>
    <t>CLS0250</t>
  </si>
  <si>
    <t>REPAR PRO</t>
  </si>
  <si>
    <t>CLR0376</t>
  </si>
  <si>
    <t>SOKEVTRAD</t>
  </si>
  <si>
    <t>CLS0449</t>
  </si>
  <si>
    <t>RESTAURANT DU PARC</t>
  </si>
  <si>
    <t>CLT0265</t>
  </si>
  <si>
    <t>REVEL MAROC</t>
  </si>
  <si>
    <t>CLT0084</t>
  </si>
  <si>
    <t>REVERA LOGISTIC</t>
  </si>
  <si>
    <t>CLR0377</t>
  </si>
  <si>
    <t>ADIL AIT MELLOUL</t>
  </si>
  <si>
    <t>CLR0378</t>
  </si>
  <si>
    <t>PNEUMATIQUE BOUCHRA</t>
  </si>
  <si>
    <t>CLS1481</t>
  </si>
  <si>
    <t>RHAMNA DISTRIBUTION</t>
  </si>
  <si>
    <t>CLT0522</t>
  </si>
  <si>
    <t>RHIMOU TRANSPORT</t>
  </si>
  <si>
    <t>CLT0340</t>
  </si>
  <si>
    <t>RIAKA</t>
  </si>
  <si>
    <t>CLS0407</t>
  </si>
  <si>
    <t>RICHBOND</t>
  </si>
  <si>
    <t>CLS1389</t>
  </si>
  <si>
    <t>RIEGONOR</t>
  </si>
  <si>
    <t>CLT0308</t>
  </si>
  <si>
    <t>RIL LINE SARL</t>
  </si>
  <si>
    <t>CLS0543</t>
  </si>
  <si>
    <t>RIM COMMERCE</t>
  </si>
  <si>
    <t>CLS1424</t>
  </si>
  <si>
    <t>RIM GAZ</t>
  </si>
  <si>
    <t>CLS0506</t>
  </si>
  <si>
    <t>RIMAL ASSAHRA</t>
  </si>
  <si>
    <t>CLS0730</t>
  </si>
  <si>
    <t>RITA FER</t>
  </si>
  <si>
    <t>CLS1448</t>
  </si>
  <si>
    <t>RIVA INDUSTRIE</t>
  </si>
  <si>
    <t>CLS0753</t>
  </si>
  <si>
    <t>RIVERA METAL</t>
  </si>
  <si>
    <t>CLT0178</t>
  </si>
  <si>
    <t>RNO TRANS</t>
  </si>
  <si>
    <t>CLT0351</t>
  </si>
  <si>
    <t>RO2M</t>
  </si>
  <si>
    <t>CLR0379</t>
  </si>
  <si>
    <t>IMPERIAL POINT S</t>
  </si>
  <si>
    <t>CLR0380</t>
  </si>
  <si>
    <t>SOCIETE LES CHEMINS DE L'AFRIQUE</t>
  </si>
  <si>
    <t>CLT0478</t>
  </si>
  <si>
    <t>ROKHAM TRANS</t>
  </si>
  <si>
    <t>CLT0595</t>
  </si>
  <si>
    <t>RONI TRANS</t>
  </si>
  <si>
    <t>CLS0149</t>
  </si>
  <si>
    <t>ROUBACHE</t>
  </si>
  <si>
    <t>CLS0316</t>
  </si>
  <si>
    <t>ROULEAU PLAST</t>
  </si>
  <si>
    <t>CLT0184</t>
  </si>
  <si>
    <t>ROULERS TRANSPORT</t>
  </si>
  <si>
    <t>CLT0375</t>
  </si>
  <si>
    <t>ROUTIERS DE KHOURIBGA</t>
  </si>
  <si>
    <t>CLA0022</t>
  </si>
  <si>
    <t>ROYAL AIR MAROC</t>
  </si>
  <si>
    <t>CLS1144</t>
  </si>
  <si>
    <t>RSG CAR</t>
  </si>
  <si>
    <t>CLS0471</t>
  </si>
  <si>
    <t>RUBEROID</t>
  </si>
  <si>
    <t>CLR0381</t>
  </si>
  <si>
    <t>GOOD PNEUS GUICHE</t>
  </si>
  <si>
    <t>CLS0338</t>
  </si>
  <si>
    <t>RUN RUN</t>
  </si>
  <si>
    <t>CLS0265</t>
  </si>
  <si>
    <t>RYOKO SERVICES</t>
  </si>
  <si>
    <t>CLS1201</t>
  </si>
  <si>
    <t>RZ PNEU</t>
  </si>
  <si>
    <t>CLT0029</t>
  </si>
  <si>
    <t>S A T C</t>
  </si>
  <si>
    <t>CLS1032</t>
  </si>
  <si>
    <t>S A T D H</t>
  </si>
  <si>
    <t>CLS0519</t>
  </si>
  <si>
    <t>S B G S</t>
  </si>
  <si>
    <t>CLS0228</t>
  </si>
  <si>
    <t>S C B G</t>
  </si>
  <si>
    <t>CLS0241</t>
  </si>
  <si>
    <t>S C H M</t>
  </si>
  <si>
    <t>CLR0382</t>
  </si>
  <si>
    <t>OBOPNEU</t>
  </si>
  <si>
    <t>CLS0062</t>
  </si>
  <si>
    <t>S D A TRANS</t>
  </si>
  <si>
    <t>CLT0317</t>
  </si>
  <si>
    <t>S D T L</t>
  </si>
  <si>
    <t>CLS0474</t>
  </si>
  <si>
    <t>S D T M</t>
  </si>
  <si>
    <t>CLT0073</t>
  </si>
  <si>
    <t>S D TRANS</t>
  </si>
  <si>
    <t>CLS0130</t>
  </si>
  <si>
    <t>S E G MAROC</t>
  </si>
  <si>
    <t>CLS0416</t>
  </si>
  <si>
    <t>S E M H</t>
  </si>
  <si>
    <t>CLS0570</t>
  </si>
  <si>
    <t>S F D E</t>
  </si>
  <si>
    <t>CLS0444</t>
  </si>
  <si>
    <t>S G T M</t>
  </si>
  <si>
    <t>CLS0172</t>
  </si>
  <si>
    <t>S I 2  A</t>
  </si>
  <si>
    <t>CLT0573</t>
  </si>
  <si>
    <t>S I M T</t>
  </si>
  <si>
    <t>CLT0077</t>
  </si>
  <si>
    <t>S K T M</t>
  </si>
  <si>
    <t>CLS0552</t>
  </si>
  <si>
    <t>S M D T T</t>
  </si>
  <si>
    <t>CLS0437</t>
  </si>
  <si>
    <t>S M T T</t>
  </si>
  <si>
    <t>CLS0686</t>
  </si>
  <si>
    <t>S N C E</t>
  </si>
  <si>
    <t>CLA0023</t>
  </si>
  <si>
    <t>S N T L</t>
  </si>
  <si>
    <t>CLA0029</t>
  </si>
  <si>
    <t>S N T L ( VIGNETTE )</t>
  </si>
  <si>
    <t>CLS0601</t>
  </si>
  <si>
    <t>S N T R O</t>
  </si>
  <si>
    <t>CLS0421</t>
  </si>
  <si>
    <t>S O T R E G</t>
  </si>
  <si>
    <t>CLS0439</t>
  </si>
  <si>
    <t>S T A M</t>
  </si>
  <si>
    <t>CLS0442</t>
  </si>
  <si>
    <t>S T C R</t>
  </si>
  <si>
    <t>CLS0036</t>
  </si>
  <si>
    <t>S.B.B.M</t>
  </si>
  <si>
    <t>CLS1453</t>
  </si>
  <si>
    <t>S.B.C.S</t>
  </si>
  <si>
    <t>CLS0529</t>
  </si>
  <si>
    <t>S.E.T.R.A.T.</t>
  </si>
  <si>
    <t>CLS1181</t>
  </si>
  <si>
    <t>S.M.A</t>
  </si>
  <si>
    <t>CLS1439</t>
  </si>
  <si>
    <t>S.N.T.R.O</t>
  </si>
  <si>
    <t>CLS1143</t>
  </si>
  <si>
    <t>S.O.S SERVICES AUTO</t>
  </si>
  <si>
    <t>CLS1188</t>
  </si>
  <si>
    <t>S.T.A.T.A</t>
  </si>
  <si>
    <t>CLS0915</t>
  </si>
  <si>
    <t>S2D</t>
  </si>
  <si>
    <t>CLR0383</t>
  </si>
  <si>
    <t>PIECE AUTO AL KAHIRA</t>
  </si>
  <si>
    <t>CLR0384</t>
  </si>
  <si>
    <t>STE SOPNO</t>
  </si>
  <si>
    <t>CLT0074</t>
  </si>
  <si>
    <t>SAAD BOUBKER</t>
  </si>
  <si>
    <t>CLR0385</t>
  </si>
  <si>
    <t>S2K AUTO</t>
  </si>
  <si>
    <t>CLT0093</t>
  </si>
  <si>
    <t>SABA FOOD</t>
  </si>
  <si>
    <t>CLS0277</t>
  </si>
  <si>
    <t>SADIMUS</t>
  </si>
  <si>
    <t>CLS0452</t>
  </si>
  <si>
    <t>SAFA ASSISTANCE</t>
  </si>
  <si>
    <t>CLS0244</t>
  </si>
  <si>
    <t>SAFA CAR</t>
  </si>
  <si>
    <t>CLS0673</t>
  </si>
  <si>
    <t>SAFACAR NORD</t>
  </si>
  <si>
    <t>CLS0699</t>
  </si>
  <si>
    <t>SAFASUD CAR</t>
  </si>
  <si>
    <t>CLS0703</t>
  </si>
  <si>
    <t>SAFI PREFA</t>
  </si>
  <si>
    <t>CLS0260</t>
  </si>
  <si>
    <t>SAGA LOCATION</t>
  </si>
  <si>
    <t>CLT0040</t>
  </si>
  <si>
    <t>SAHARA LOGISTIC NORD</t>
  </si>
  <si>
    <t>CLS0480</t>
  </si>
  <si>
    <t>SAHARA MARBRE</t>
  </si>
  <si>
    <t>CLS1464</t>
  </si>
  <si>
    <t>SAHARA PREFA</t>
  </si>
  <si>
    <t>CLR0386</t>
  </si>
  <si>
    <t>CONFORT  PNEU</t>
  </si>
  <si>
    <t>CLS1123</t>
  </si>
  <si>
    <t>SAJIMEX</t>
  </si>
  <si>
    <t>CLT0565</t>
  </si>
  <si>
    <t>SAKAPER</t>
  </si>
  <si>
    <t>CLS0748</t>
  </si>
  <si>
    <t>SALA BRIQ</t>
  </si>
  <si>
    <t>CLR0387</t>
  </si>
  <si>
    <t>MAJIPNEU</t>
  </si>
  <si>
    <t>CLR0388</t>
  </si>
  <si>
    <t>SOUSS TIRES</t>
  </si>
  <si>
    <t>CLT0329</t>
  </si>
  <si>
    <t>SALGADO TRANS</t>
  </si>
  <si>
    <t>CLS0454</t>
  </si>
  <si>
    <t>SAM CAR</t>
  </si>
  <si>
    <t>CLS0991</t>
  </si>
  <si>
    <t>SAMAOUI CAR</t>
  </si>
  <si>
    <t>CLS0827</t>
  </si>
  <si>
    <t>SAMI CAR LUXE</t>
  </si>
  <si>
    <t>CLT0210</t>
  </si>
  <si>
    <t>SAMI TRANS</t>
  </si>
  <si>
    <t>CLR0389</t>
  </si>
  <si>
    <t>PNEU BNE TOUZINE</t>
  </si>
  <si>
    <t>CLS0028</t>
  </si>
  <si>
    <t>SANILEC</t>
  </si>
  <si>
    <t>CLS1116</t>
  </si>
  <si>
    <t>SANNOUD</t>
  </si>
  <si>
    <t>CLS1112</t>
  </si>
  <si>
    <t>SAN-STYLE</t>
  </si>
  <si>
    <t>CLT0098</t>
  </si>
  <si>
    <t>SARAZIZ</t>
  </si>
  <si>
    <t>CLR0390</t>
  </si>
  <si>
    <t>INTERNATIONAL PIECES INDUSTRIEL</t>
  </si>
  <si>
    <t>CLS01075</t>
  </si>
  <si>
    <t>SATCOMA SATAS VOYAGEURS</t>
  </si>
  <si>
    <t>CLS0202</t>
  </si>
  <si>
    <t>SATIMED</t>
  </si>
  <si>
    <t>CLS0230</t>
  </si>
  <si>
    <t>SATRECONS</t>
  </si>
  <si>
    <t>CLS1393</t>
  </si>
  <si>
    <t>SAYARATI.MA</t>
  </si>
  <si>
    <t>CLT0037</t>
  </si>
  <si>
    <t>SAZRIT</t>
  </si>
  <si>
    <t>CLR0391</t>
  </si>
  <si>
    <t>YAN OTO</t>
  </si>
  <si>
    <t>CLS0493</t>
  </si>
  <si>
    <t>SCHOLZ METTAL MAROKKO</t>
  </si>
  <si>
    <t>CLS0089</t>
  </si>
  <si>
    <t>SDAMA</t>
  </si>
  <si>
    <t>CLT0114</t>
  </si>
  <si>
    <t>SDFM LOGISTICS</t>
  </si>
  <si>
    <t>CLS0539</t>
  </si>
  <si>
    <t>SEBE NEGO TRANS</t>
  </si>
  <si>
    <t>CLA0038</t>
  </si>
  <si>
    <t>SECRETARIAT D'ETAT D'ARTISANAT</t>
  </si>
  <si>
    <t>CLS0495</t>
  </si>
  <si>
    <t>SEGEDEMA</t>
  </si>
  <si>
    <t>CLS0151</t>
  </si>
  <si>
    <t>SEGRA  SARL</t>
  </si>
  <si>
    <t>CLR0392</t>
  </si>
  <si>
    <t>ESPACE KILMI</t>
  </si>
  <si>
    <t>CLS1104</t>
  </si>
  <si>
    <t>SELECT RENT CAR</t>
  </si>
  <si>
    <t>CLS0107</t>
  </si>
  <si>
    <t>SELLAM AZZOUZ</t>
  </si>
  <si>
    <t>CLS0540</t>
  </si>
  <si>
    <t>SENHAGIA TRAVAUX</t>
  </si>
  <si>
    <t>CLS1369</t>
  </si>
  <si>
    <t>SEPARATOR</t>
  </si>
  <si>
    <t>CLS0420</t>
  </si>
  <si>
    <t>SEPROB</t>
  </si>
  <si>
    <t>CLS0313</t>
  </si>
  <si>
    <t>SERASUD</t>
  </si>
  <si>
    <t>CLT0474</t>
  </si>
  <si>
    <t>SERDIMAR</t>
  </si>
  <si>
    <t>CLS1028</t>
  </si>
  <si>
    <t>SERVICAM</t>
  </si>
  <si>
    <t>CLR0393</t>
  </si>
  <si>
    <t>AMAL AUTO SERVICE</t>
  </si>
  <si>
    <t>CLS0995</t>
  </si>
  <si>
    <t>SERVICE AUTO SOUALEM</t>
  </si>
  <si>
    <t>CLR0394</t>
  </si>
  <si>
    <t>BALI HANI</t>
  </si>
  <si>
    <t>CLR0395</t>
  </si>
  <si>
    <t>IRM AUTO</t>
  </si>
  <si>
    <t>CLR0396</t>
  </si>
  <si>
    <t>SCADIP</t>
  </si>
  <si>
    <t>CLS0298</t>
  </si>
  <si>
    <t>SETRAGED</t>
  </si>
  <si>
    <t>CLS0482</t>
  </si>
  <si>
    <t>SETTAR TECH</t>
  </si>
  <si>
    <t>CLS1217</t>
  </si>
  <si>
    <t>SEVEN DRIVE</t>
  </si>
  <si>
    <t>CLS0456</t>
  </si>
  <si>
    <t>SFPCA S.a.r.l.</t>
  </si>
  <si>
    <t>CLR0397</t>
  </si>
  <si>
    <t>PNEUMATIQUE RAMI</t>
  </si>
  <si>
    <t>CLS0197</t>
  </si>
  <si>
    <t>SIEDEX BETON</t>
  </si>
  <si>
    <t>CLS0435</t>
  </si>
  <si>
    <t>SIGMA CONSTRUCTION</t>
  </si>
  <si>
    <t>CLT0183</t>
  </si>
  <si>
    <t>SIGMA TRANSPORT</t>
  </si>
  <si>
    <t>CLS1103</t>
  </si>
  <si>
    <t>SIJELMASSA RENT</t>
  </si>
  <si>
    <t>CLS0352</t>
  </si>
  <si>
    <t>SILDA</t>
  </si>
  <si>
    <t>CLS0425</t>
  </si>
  <si>
    <t>SIMEC</t>
  </si>
  <si>
    <t>CLS0409</t>
  </si>
  <si>
    <t>SIMMONS</t>
  </si>
  <si>
    <t>CLS0406</t>
  </si>
  <si>
    <t>SIMON INTERNATIONAL</t>
  </si>
  <si>
    <t>CLS0356</t>
  </si>
  <si>
    <t>SINEV ALF SKHIRAT</t>
  </si>
  <si>
    <t>CLS0496</t>
  </si>
  <si>
    <t>SINOHYDRO</t>
  </si>
  <si>
    <t>CLT0038</t>
  </si>
  <si>
    <t>SINTAX LOGISTIQUE</t>
  </si>
  <si>
    <t>CLS1442</t>
  </si>
  <si>
    <t>SIRECOM</t>
  </si>
  <si>
    <t>CLS0817</t>
  </si>
  <si>
    <t>SITA BOUGHAZ</t>
  </si>
  <si>
    <t>CLS0722</t>
  </si>
  <si>
    <t>SITA EL BEIDA</t>
  </si>
  <si>
    <t>CLS1183</t>
  </si>
  <si>
    <t>SITAMAR</t>
  </si>
  <si>
    <t>CLT0175</t>
  </si>
  <si>
    <t>SJL MAGHREB</t>
  </si>
  <si>
    <t>CLS0300</t>
  </si>
  <si>
    <t>SLATC</t>
  </si>
  <si>
    <t>CLT0318</t>
  </si>
  <si>
    <t>SLIMOU TRANS</t>
  </si>
  <si>
    <t>CLS0999</t>
  </si>
  <si>
    <t>SMAET S.A</t>
  </si>
  <si>
    <t>CLR0398</t>
  </si>
  <si>
    <t>PNEU.MA</t>
  </si>
  <si>
    <t>CLS0165</t>
  </si>
  <si>
    <t>SMEAI</t>
  </si>
  <si>
    <t>CLS0684</t>
  </si>
  <si>
    <t>SMEL</t>
  </si>
  <si>
    <t>CLR0399</t>
  </si>
  <si>
    <t>ZAR-HUILE</t>
  </si>
  <si>
    <t>CLS0727</t>
  </si>
  <si>
    <t>SMG SARL</t>
  </si>
  <si>
    <t>CLS0658</t>
  </si>
  <si>
    <t>SMI</t>
  </si>
  <si>
    <t>CLT0430</t>
  </si>
  <si>
    <t>SMIMI TRANS</t>
  </si>
  <si>
    <t>CLR0400</t>
  </si>
  <si>
    <t>VITAL AUTO</t>
  </si>
  <si>
    <t>CLS1117</t>
  </si>
  <si>
    <t>SN2R</t>
  </si>
  <si>
    <t>CLS1026</t>
  </si>
  <si>
    <t>SNAIB CAR</t>
  </si>
  <si>
    <t>CLT0115</t>
  </si>
  <si>
    <t>SNDTL</t>
  </si>
  <si>
    <t>CLS0008</t>
  </si>
  <si>
    <t>SNETRA</t>
  </si>
  <si>
    <t>CLS0081</t>
  </si>
  <si>
    <t>SOBOMO</t>
  </si>
  <si>
    <t>CLS0488</t>
  </si>
  <si>
    <t>SOCAMAR S.A.</t>
  </si>
  <si>
    <t>CLS0215</t>
  </si>
  <si>
    <t>SOCAMTRA MED</t>
  </si>
  <si>
    <t>CLS0214</t>
  </si>
  <si>
    <t>SOCASSELEC</t>
  </si>
  <si>
    <t>CLS0067</t>
  </si>
  <si>
    <t>SOCATRA</t>
  </si>
  <si>
    <t>CLT0315</t>
  </si>
  <si>
    <t>SOCIEDAD DE TRS DE GAZ Y MERCANCIA</t>
  </si>
  <si>
    <t>CLS0171</t>
  </si>
  <si>
    <t>SOCIETE  BRASSERIES DU MAROC</t>
  </si>
  <si>
    <t>CLT0502</t>
  </si>
  <si>
    <t>SOCIETE ABDELWARET TRANS</t>
  </si>
  <si>
    <t>CLS1256</t>
  </si>
  <si>
    <t>SOCIETE AGNI BTP</t>
  </si>
  <si>
    <t>CLS1255</t>
  </si>
  <si>
    <t>SOCIETE AGNI CAR</t>
  </si>
  <si>
    <t>CLT0496</t>
  </si>
  <si>
    <t>SOCIETE AM TRANS</t>
  </si>
  <si>
    <t>CLS1429</t>
  </si>
  <si>
    <t>SOCIETE ANETRA</t>
  </si>
  <si>
    <t>KHENIFRA</t>
  </si>
  <si>
    <t>CLS1252</t>
  </si>
  <si>
    <t>SOCIETE ATLAS COUVOIRS</t>
  </si>
  <si>
    <t>CLS1291</t>
  </si>
  <si>
    <t>SOCIETE AUTO 75</t>
  </si>
  <si>
    <t>CLS1239</t>
  </si>
  <si>
    <t>SOCIETE AUTORENTAL 24</t>
  </si>
  <si>
    <t>CLS1251</t>
  </si>
  <si>
    <t>SOCIETE AZBROC</t>
  </si>
  <si>
    <t>CLS1235</t>
  </si>
  <si>
    <t>SOCIETE BATI GREEN PLANETE SPORT</t>
  </si>
  <si>
    <t>CLT0585</t>
  </si>
  <si>
    <t>SOCIETE BERKANE DE TRANSPORT</t>
  </si>
  <si>
    <t>CLS1248</t>
  </si>
  <si>
    <t>SOCIETE BETON PRECONTRAINT DU MAROC</t>
  </si>
  <si>
    <t>CLS1237</t>
  </si>
  <si>
    <t>SOCIETE CEMA BOIS DE L'ATLAS</t>
  </si>
  <si>
    <t>CLS1287</t>
  </si>
  <si>
    <t>SOCIETE DIRENT</t>
  </si>
  <si>
    <t>CLT0503</t>
  </si>
  <si>
    <t>SOCIETE DOLDOL TRANS</t>
  </si>
  <si>
    <t>CLS1238</t>
  </si>
  <si>
    <t>SOCIETE DRIVELUX</t>
  </si>
  <si>
    <t>CLS1470</t>
  </si>
  <si>
    <t>SOCIETE EL GHAOUTI AHMED</t>
  </si>
  <si>
    <t>CLS1290</t>
  </si>
  <si>
    <t>SOCIETE EM ENERGIE</t>
  </si>
  <si>
    <t>CLS1288</t>
  </si>
  <si>
    <t>SOCIETE H B T R</t>
  </si>
  <si>
    <t>CLS1241</t>
  </si>
  <si>
    <t>SOCIETE HIVE CAR</t>
  </si>
  <si>
    <t>CLS1230</t>
  </si>
  <si>
    <t>SOCIETE IDOSCAR AUTO</t>
  </si>
  <si>
    <t>CLS1416</t>
  </si>
  <si>
    <t>SOCIETE JABER COUVOIRS</t>
  </si>
  <si>
    <t>CLS1240</t>
  </si>
  <si>
    <t>SOCIETE KALMAR MAGHREB</t>
  </si>
  <si>
    <t>CLT0499</t>
  </si>
  <si>
    <t>SOCIETE KAM LOGISTICS</t>
  </si>
  <si>
    <t>CLS1245</t>
  </si>
  <si>
    <t>SOCIETE LAVAGE TROCADERO</t>
  </si>
  <si>
    <t>CLS1257</t>
  </si>
  <si>
    <t>SOCIETE LAYT CAR</t>
  </si>
  <si>
    <t>CLR0402</t>
  </si>
  <si>
    <t>PNEUMATIQUE FATIMA ZOHRA</t>
  </si>
  <si>
    <t>CLT0504</t>
  </si>
  <si>
    <t>SOCIETE LIZAZE TRANS</t>
  </si>
  <si>
    <t>CLR0403</t>
  </si>
  <si>
    <t>STE GOLDEN PNEU</t>
  </si>
  <si>
    <t>CLS0422</t>
  </si>
  <si>
    <t>Société Marocaine de Carburants ZIZ</t>
  </si>
  <si>
    <t>CLS1243</t>
  </si>
  <si>
    <t>SOCIETE NIAMA MARBRE</t>
  </si>
  <si>
    <t>CLT0475</t>
  </si>
  <si>
    <t>SOCIETE NIBET TRANSPORT</t>
  </si>
  <si>
    <t>CLS1258</t>
  </si>
  <si>
    <t>SOCIETE PETROGES</t>
  </si>
  <si>
    <t>CLR0404</t>
  </si>
  <si>
    <t>STE PNEUMATIQUE AUTO FES</t>
  </si>
  <si>
    <t>CLS1247</t>
  </si>
  <si>
    <t>SOCIETE PROCANEQ MAROC</t>
  </si>
  <si>
    <t>CLR0405</t>
  </si>
  <si>
    <t>SOCIETE PNEUMATIQUE AL AKHAWAYNE</t>
  </si>
  <si>
    <t>CLT0497</t>
  </si>
  <si>
    <t>SOCIETE SAMALI</t>
  </si>
  <si>
    <t>CLA0030</t>
  </si>
  <si>
    <t>SOCIETE SAMINE</t>
  </si>
  <si>
    <t>CLR0406</t>
  </si>
  <si>
    <t>STE PNEU ABDELAZIZ ANASER</t>
  </si>
  <si>
    <t>CLS0671</t>
  </si>
  <si>
    <t>SOCIETE SCAL AVIS</t>
  </si>
  <si>
    <t>CLS1289</t>
  </si>
  <si>
    <t>SOCIETE SFM LLD</t>
  </si>
  <si>
    <t>CLS1412</t>
  </si>
  <si>
    <t>SOCIETE SICMACO SARL</t>
  </si>
  <si>
    <t>CLT0500</t>
  </si>
  <si>
    <t>SOCIETE SNOVACO</t>
  </si>
  <si>
    <t>CLS1421</t>
  </si>
  <si>
    <t>SOCIETE SOBAMAT</t>
  </si>
  <si>
    <t>CLS1236</t>
  </si>
  <si>
    <t>SOCIETE SOFALIM</t>
  </si>
  <si>
    <t>CLS1244</t>
  </si>
  <si>
    <t>SOCIETE SOMLAKO</t>
  </si>
  <si>
    <t>CLT0519</t>
  </si>
  <si>
    <t>SOCIETE SOTRALMA</t>
  </si>
  <si>
    <t>CLS0187</t>
  </si>
  <si>
    <t>SOCIETE TISSABRINE</t>
  </si>
  <si>
    <t>CLT0498</t>
  </si>
  <si>
    <t>SOCIETE TRANS TOUT TIME</t>
  </si>
  <si>
    <t>CLS1234</t>
  </si>
  <si>
    <t>SOCIETE TRAVAUX ET CARRIERES DU SUD</t>
  </si>
  <si>
    <t>CLS1242</t>
  </si>
  <si>
    <t>SOCIETE ULEASE</t>
  </si>
  <si>
    <t>CLS1246</t>
  </si>
  <si>
    <t>SOCIETE ZENATA CAR</t>
  </si>
  <si>
    <t>CLS0343</t>
  </si>
  <si>
    <t>SOCONS NORD</t>
  </si>
  <si>
    <t>CLS0113</t>
  </si>
  <si>
    <t>SOCOPOL</t>
  </si>
  <si>
    <t>CLS0143</t>
  </si>
  <si>
    <t>SOCORAIS</t>
  </si>
  <si>
    <t>CLS0002</t>
  </si>
  <si>
    <t>SODIMIA</t>
  </si>
  <si>
    <t>CLS0412</t>
  </si>
  <si>
    <t>SOFA</t>
  </si>
  <si>
    <t>CLS0450</t>
  </si>
  <si>
    <t>SOFICAB</t>
  </si>
  <si>
    <t>CLS0459</t>
  </si>
  <si>
    <t>SOFRIOR  SARL</t>
  </si>
  <si>
    <t>CLS1151</t>
  </si>
  <si>
    <t>SOGEA MAROC</t>
  </si>
  <si>
    <t>CLS0468</t>
  </si>
  <si>
    <t>SOGETRAMA GLS</t>
  </si>
  <si>
    <t>CLT0435</t>
  </si>
  <si>
    <t>SOGITRANS</t>
  </si>
  <si>
    <t>CLS0106</t>
  </si>
  <si>
    <t>SOGOTRAD  SARL</t>
  </si>
  <si>
    <t>CLT0437</t>
  </si>
  <si>
    <t>SOHAPETRA</t>
  </si>
  <si>
    <t>CLS0642</t>
  </si>
  <si>
    <t>SOJANO</t>
  </si>
  <si>
    <t>CLT0304</t>
  </si>
  <si>
    <t>SOKATRANS</t>
  </si>
  <si>
    <t>CLR0407</t>
  </si>
  <si>
    <t>STE M.F PNEUMATIQUE</t>
  </si>
  <si>
    <t>CLS0917</t>
  </si>
  <si>
    <t>SOLABRIQ</t>
  </si>
  <si>
    <t>CLS0777</t>
  </si>
  <si>
    <t>SOLAMTA RABAT</t>
  </si>
  <si>
    <t>CLT0469</t>
  </si>
  <si>
    <t>SOLATRANS &amp; CIE</t>
  </si>
  <si>
    <t>CLS0624</t>
  </si>
  <si>
    <t>SOLINORD</t>
  </si>
  <si>
    <t>CLS0144</t>
  </si>
  <si>
    <t>SOMACA</t>
  </si>
  <si>
    <t>CLS0514</t>
  </si>
  <si>
    <t>SOMACHAME</t>
  </si>
  <si>
    <t>CLS0628</t>
  </si>
  <si>
    <t>SOMACOTE</t>
  </si>
  <si>
    <t>CLS01040</t>
  </si>
  <si>
    <t>SOMADIR</t>
  </si>
  <si>
    <t>CLS1205</t>
  </si>
  <si>
    <t>SOMAFACO</t>
  </si>
  <si>
    <t>CLS1482</t>
  </si>
  <si>
    <t>SOMALEV CRANES &amp; LOGISTICS</t>
  </si>
  <si>
    <t>CLS0690</t>
  </si>
  <si>
    <t>SOMAP</t>
  </si>
  <si>
    <t>CLS0428</t>
  </si>
  <si>
    <t>SOMARROZ</t>
  </si>
  <si>
    <t>CLS0429</t>
  </si>
  <si>
    <t>SOMATHES</t>
  </si>
  <si>
    <t>CLS0415</t>
  </si>
  <si>
    <t>SOMATRAMA</t>
  </si>
  <si>
    <t>CLS0211</t>
  </si>
  <si>
    <t>SOMMA</t>
  </si>
  <si>
    <t>CLS0434</t>
  </si>
  <si>
    <t>SONA GAZ</t>
  </si>
  <si>
    <t>CLS0007</t>
  </si>
  <si>
    <t>SONABETAIL</t>
  </si>
  <si>
    <t>CLS1420</t>
  </si>
  <si>
    <t>SONADELEC ASKAWN</t>
  </si>
  <si>
    <t>CLS0168</t>
  </si>
  <si>
    <t>SONASID</t>
  </si>
  <si>
    <t>CLS0414</t>
  </si>
  <si>
    <t>SONIAMA</t>
  </si>
  <si>
    <t>CLS0845</t>
  </si>
  <si>
    <t>SONOREC</t>
  </si>
  <si>
    <t>CLS0408</t>
  </si>
  <si>
    <t>SONOREF</t>
  </si>
  <si>
    <t>CLS0219</t>
  </si>
  <si>
    <t>SONY GAZ</t>
  </si>
  <si>
    <t>CLS1223</t>
  </si>
  <si>
    <t>SOOTHING CAR</t>
  </si>
  <si>
    <t>CLS0413</t>
  </si>
  <si>
    <t>SOPIDAM</t>
  </si>
  <si>
    <t>CLS1184</t>
  </si>
  <si>
    <t>SOPRIAM</t>
  </si>
  <si>
    <t>CLS1066</t>
  </si>
  <si>
    <t>SOPROVEC</t>
  </si>
  <si>
    <t>CLS0618</t>
  </si>
  <si>
    <t>SOREAD 2M</t>
  </si>
  <si>
    <t>CLS0960</t>
  </si>
  <si>
    <t>SORENOV</t>
  </si>
  <si>
    <t>CLS0025</t>
  </si>
  <si>
    <t>SOREVET</t>
  </si>
  <si>
    <t>CLS0117</t>
  </si>
  <si>
    <t>SOREXFOR</t>
  </si>
  <si>
    <t>CLS0035</t>
  </si>
  <si>
    <t>SOREXI</t>
  </si>
  <si>
    <t>CLS0012</t>
  </si>
  <si>
    <t>SORIMAC</t>
  </si>
  <si>
    <t>CLS0110</t>
  </si>
  <si>
    <t>SORMATIC</t>
  </si>
  <si>
    <t>CLS0041</t>
  </si>
  <si>
    <t>SOS NDD</t>
  </si>
  <si>
    <t>CLS0537</t>
  </si>
  <si>
    <t>SOSAMAC SARL</t>
  </si>
  <si>
    <t>CLT0568</t>
  </si>
  <si>
    <t>SOSIMOTA</t>
  </si>
  <si>
    <t>CLR0408</t>
  </si>
  <si>
    <t>STE JAMAL TOP TIRE</t>
  </si>
  <si>
    <t>CLR0409</t>
  </si>
  <si>
    <t>SOCIETE MALL PNEU</t>
  </si>
  <si>
    <t>CLR0410</t>
  </si>
  <si>
    <t>SOCIETE RB PNEU.MA</t>
  </si>
  <si>
    <t>CLS0433</t>
  </si>
  <si>
    <t>SOTETRADE</t>
  </si>
  <si>
    <t>CLT0305</t>
  </si>
  <si>
    <t>SOTLOG</t>
  </si>
  <si>
    <t>CLS0109</t>
  </si>
  <si>
    <t>SOTOTRACOM</t>
  </si>
  <si>
    <t>CLS0596</t>
  </si>
  <si>
    <t>SOTRADAK  SARL</t>
  </si>
  <si>
    <t>CLT0036</t>
  </si>
  <si>
    <t>SOTRAFOREST</t>
  </si>
  <si>
    <t>CLS0133</t>
  </si>
  <si>
    <t>SOTRAGAZ</t>
  </si>
  <si>
    <t>CLS0520</t>
  </si>
  <si>
    <t>SOTRAIN</t>
  </si>
  <si>
    <t>CLS0501</t>
  </si>
  <si>
    <t>SOTRAJAN</t>
  </si>
  <si>
    <t>ZAIO</t>
  </si>
  <si>
    <t>CLT0058</t>
  </si>
  <si>
    <t>SOTRALOUCH  SARL</t>
  </si>
  <si>
    <t>CLS0822</t>
  </si>
  <si>
    <t>SOTRAMEG</t>
  </si>
  <si>
    <t>CLT0407</t>
  </si>
  <si>
    <t>SOTRASOUSS</t>
  </si>
  <si>
    <t>CLT0452</t>
  </si>
  <si>
    <t>SOTRATISS</t>
  </si>
  <si>
    <t>CLT0140</t>
  </si>
  <si>
    <t>SOTRATOP</t>
  </si>
  <si>
    <t>CLS0513</t>
  </si>
  <si>
    <t>SOTRAVO</t>
  </si>
  <si>
    <t>CLT0252</t>
  </si>
  <si>
    <t>SOTRAZA</t>
  </si>
  <si>
    <t>CLS0457</t>
  </si>
  <si>
    <t>SOTRIBAT  SARL</t>
  </si>
  <si>
    <t>CLT0158</t>
  </si>
  <si>
    <t>SOUHA-TRANS</t>
  </si>
  <si>
    <t>CLS0918</t>
  </si>
  <si>
    <t>SOUKAINA BRIQ</t>
  </si>
  <si>
    <t>CLT0117</t>
  </si>
  <si>
    <t>SOUNAHMED LOGISTIQUE</t>
  </si>
  <si>
    <t>CLS0212</t>
  </si>
  <si>
    <t>SOURCE CHIMIQUE</t>
  </si>
  <si>
    <t>CLS0251</t>
  </si>
  <si>
    <t>SOUSS LUBRIFIANTS</t>
  </si>
  <si>
    <t>CLR0411</t>
  </si>
  <si>
    <t>STE LE PROFESSIONNEL DU PNEU</t>
  </si>
  <si>
    <t>CLS1434</t>
  </si>
  <si>
    <t>SOUSSIA BETON</t>
  </si>
  <si>
    <t>CLT0398</t>
  </si>
  <si>
    <t>SOUTRAFRIQUE</t>
  </si>
  <si>
    <t>CLT0118</t>
  </si>
  <si>
    <t>SOUVENIR TRANS</t>
  </si>
  <si>
    <t>CLS0140</t>
  </si>
  <si>
    <t>SOYOCOTRAP</t>
  </si>
  <si>
    <t>CLS1142</t>
  </si>
  <si>
    <t>SPAB</t>
  </si>
  <si>
    <t>CLT0012</t>
  </si>
  <si>
    <t>SPECIAL TRANSPORT</t>
  </si>
  <si>
    <t>CLR0412</t>
  </si>
  <si>
    <t>STE IFNI PNEUMATIQUE</t>
  </si>
  <si>
    <t>CLS1058</t>
  </si>
  <si>
    <t>SPIN CAR</t>
  </si>
  <si>
    <t>CLS0354</t>
  </si>
  <si>
    <t>SPLASH CARS</t>
  </si>
  <si>
    <t>CLR0413</t>
  </si>
  <si>
    <t>STE PNEUMATIQUE LA CERISE</t>
  </si>
  <si>
    <t>SEFROU</t>
  </si>
  <si>
    <t>CLR0414</t>
  </si>
  <si>
    <t>STE ALAMINE PNEUMATIQUE</t>
  </si>
  <si>
    <t>CLT0314</t>
  </si>
  <si>
    <t>SPRINT TRANS</t>
  </si>
  <si>
    <t>CLS0665</t>
  </si>
  <si>
    <t>SQUARE STONE</t>
  </si>
  <si>
    <t>CLS1008</t>
  </si>
  <si>
    <t>SQUIPAUTO</t>
  </si>
  <si>
    <t>CLS1422</t>
  </si>
  <si>
    <t>SROU CARRIERES</t>
  </si>
  <si>
    <t>CLS0728</t>
  </si>
  <si>
    <t>SSMT</t>
  </si>
  <si>
    <t>CLT0056</t>
  </si>
  <si>
    <t>STAIPREFA</t>
  </si>
  <si>
    <t>CLS0448</t>
  </si>
  <si>
    <t>STAMIP</t>
  </si>
  <si>
    <t>CLS0534</t>
  </si>
  <si>
    <t>STAPORT  SARL</t>
  </si>
  <si>
    <t>CLS0308</t>
  </si>
  <si>
    <t>STAR AIT MELLOUL</t>
  </si>
  <si>
    <t>CLS1216</t>
  </si>
  <si>
    <t>STAR LOCATION</t>
  </si>
  <si>
    <t>CLR0415</t>
  </si>
  <si>
    <t>STE PNEUMATIQUE MIFTAH ALKHAIR</t>
  </si>
  <si>
    <t>CLR0416</t>
  </si>
  <si>
    <t>STE DESERT SAHARA PNEUMATIQUE</t>
  </si>
  <si>
    <t>CLS1129</t>
  </si>
  <si>
    <t>STARC</t>
  </si>
  <si>
    <t>CLS0032</t>
  </si>
  <si>
    <t>STAREO</t>
  </si>
  <si>
    <t>CLS0525</t>
  </si>
  <si>
    <t>STAT.SERVICE AL AMANA</t>
  </si>
  <si>
    <t>CLR0417</t>
  </si>
  <si>
    <t>STE LA GENERALE DES PNEUS</t>
  </si>
  <si>
    <t>CLR0418</t>
  </si>
  <si>
    <t>STE PNEUS OPEN</t>
  </si>
  <si>
    <t>CLS0330</t>
  </si>
  <si>
    <t>STAT.SERVICE EL KODIA EL BEIDA</t>
  </si>
  <si>
    <t>CLS1381</t>
  </si>
  <si>
    <t>STATION AL MATAR</t>
  </si>
  <si>
    <t>CLR0419</t>
  </si>
  <si>
    <t>STE AUTO SERVICES OUHMAN</t>
  </si>
  <si>
    <t>CLS0121</t>
  </si>
  <si>
    <t>STATION CMH BAALOUACH</t>
  </si>
  <si>
    <t>CLS0235</t>
  </si>
  <si>
    <t>STATION OILIBYA KANDAR</t>
  </si>
  <si>
    <t>CLR0420</t>
  </si>
  <si>
    <t>STE PNEUMATIQUE BOUDHEB</t>
  </si>
  <si>
    <t>CLR0421</t>
  </si>
  <si>
    <t>STE PNEUMATIQUE ROUTE DE MEKNES</t>
  </si>
  <si>
    <t>CLR0422</t>
  </si>
  <si>
    <t>STE UNITED TIRE</t>
  </si>
  <si>
    <t>CLS0807</t>
  </si>
  <si>
    <t>STE  F.GE.TI</t>
  </si>
  <si>
    <t>CLT0521</t>
  </si>
  <si>
    <t>STE AB TRANSPORT MAROC</t>
  </si>
  <si>
    <t>CLS1285</t>
  </si>
  <si>
    <t>STE ABDERRAZAK MOTORS</t>
  </si>
  <si>
    <t>CLT0586</t>
  </si>
  <si>
    <t>STE ABENER TRANS</t>
  </si>
  <si>
    <t>CLS0854</t>
  </si>
  <si>
    <t>STE ABHAJ FRERES</t>
  </si>
  <si>
    <t>CLS12117</t>
  </si>
  <si>
    <t>STE ACE CAR</t>
  </si>
  <si>
    <t>CLS1346</t>
  </si>
  <si>
    <t>STE ADAY DISTRIBUTION</t>
  </si>
  <si>
    <t>CLS0667</t>
  </si>
  <si>
    <t>STE ADDAX CARS</t>
  </si>
  <si>
    <t>CLT0217</t>
  </si>
  <si>
    <t>STE ADISMATRANS SARL</t>
  </si>
  <si>
    <t>CLS0447</t>
  </si>
  <si>
    <t>STE AFCOMAG</t>
  </si>
  <si>
    <t>CLS0270</t>
  </si>
  <si>
    <t>STE AFDAL GAZ</t>
  </si>
  <si>
    <t>CLS0280</t>
  </si>
  <si>
    <t>STE AFILAL COOPERATION</t>
  </si>
  <si>
    <t>CLS0565</t>
  </si>
  <si>
    <t>STE AFILAL TRADE COMPANY</t>
  </si>
  <si>
    <t>CLS0045</t>
  </si>
  <si>
    <t>STE AGAOUZ</t>
  </si>
  <si>
    <t>CLS12108</t>
  </si>
  <si>
    <t>STE AGHIGHA TRAVAUX</t>
  </si>
  <si>
    <t>CLT0576</t>
  </si>
  <si>
    <t>STE AIT BADDOU ZAOUIA</t>
  </si>
  <si>
    <t>ZAGORA</t>
  </si>
  <si>
    <t>CLS1294</t>
  </si>
  <si>
    <t>STE AIT MAAMAR ELJADID</t>
  </si>
  <si>
    <t>CLR0423</t>
  </si>
  <si>
    <t>GENERAL EQUIPEMENT INDUSTRIEL AUTO</t>
  </si>
  <si>
    <t>CLS0360</t>
  </si>
  <si>
    <t>STE AJP</t>
  </si>
  <si>
    <t>CLS1351</t>
  </si>
  <si>
    <t>STE AK MED</t>
  </si>
  <si>
    <t>CLR0424</t>
  </si>
  <si>
    <t>STE ANEZI PNEU SERVICE</t>
  </si>
  <si>
    <t>CLS0509</t>
  </si>
  <si>
    <t>STE AL INTISSAR AL MOUTTAHIDA</t>
  </si>
  <si>
    <t>CLS1320</t>
  </si>
  <si>
    <t>STE ALAM EQUIPEMENT</t>
  </si>
  <si>
    <t>CLR0425</t>
  </si>
  <si>
    <t>STE MEDMA GESTION</t>
  </si>
  <si>
    <t>CLT0094</t>
  </si>
  <si>
    <t>STE ALFA</t>
  </si>
  <si>
    <t>CLT0514</t>
  </si>
  <si>
    <t>STE ALHAMD LOGISTIQUE</t>
  </si>
  <si>
    <t>CLS0324</t>
  </si>
  <si>
    <t>STE ALI CARS</t>
  </si>
  <si>
    <t>CLS1303</t>
  </si>
  <si>
    <t>STE ALLIANCE INFRASTRUCTURE</t>
  </si>
  <si>
    <t>CLT0121</t>
  </si>
  <si>
    <t>STE AMAL ZAGORA</t>
  </si>
  <si>
    <t>CLT0015</t>
  </si>
  <si>
    <t>STE AMINE HAYATI DE TRAVAUX</t>
  </si>
  <si>
    <t>RASLMA</t>
  </si>
  <si>
    <t>CLS0020</t>
  </si>
  <si>
    <t>STE AMLOUK LOTHING   COMPANY</t>
  </si>
  <si>
    <t>CLR0426</t>
  </si>
  <si>
    <t>STE PNEUMATIQUE AMSKROUD</t>
  </si>
  <si>
    <t>CLS0410</t>
  </si>
  <si>
    <t>STE ANITRA TRANS</t>
  </si>
  <si>
    <t>CLS1362</t>
  </si>
  <si>
    <t>STE ANOIR EL MANAR</t>
  </si>
  <si>
    <t>CLS0327</t>
  </si>
  <si>
    <t>STE APOSTROPHE PRIVEE</t>
  </si>
  <si>
    <t>CLS1330</t>
  </si>
  <si>
    <t>STE ARABICUM</t>
  </si>
  <si>
    <t>CLT0395</t>
  </si>
  <si>
    <t>STE ARABTRANS</t>
  </si>
  <si>
    <t>CLT0553</t>
  </si>
  <si>
    <t>STE ARFAOUI AMINE TRANSPORT</t>
  </si>
  <si>
    <t>CLS1361</t>
  </si>
  <si>
    <t>STE ARMA CASABLANCA</t>
  </si>
  <si>
    <t>CLS1327</t>
  </si>
  <si>
    <t>STE ARMA KENITRA</t>
  </si>
  <si>
    <t>CLS1378</t>
  </si>
  <si>
    <t>STE ARMA SIDI ALLAL ELBAHRAOUI</t>
  </si>
  <si>
    <t>CLS1404</t>
  </si>
  <si>
    <t>STE ARMA SIDI BENNOUR SA</t>
  </si>
  <si>
    <t>CLT0538</t>
  </si>
  <si>
    <t>STE ARRAID LOGISTIQUE</t>
  </si>
  <si>
    <t>CLS1265</t>
  </si>
  <si>
    <t>STE AS DISTRIBUTION</t>
  </si>
  <si>
    <t>CLS1354</t>
  </si>
  <si>
    <t>STE ASPEL</t>
  </si>
  <si>
    <t>CLS12110</t>
  </si>
  <si>
    <t>STE ASS. CLUB DADAS BIKE</t>
  </si>
  <si>
    <t>CLS0021</t>
  </si>
  <si>
    <t>STE ASSAINIA</t>
  </si>
  <si>
    <t>CLT0506</t>
  </si>
  <si>
    <t>STE AUTHENTIC TRANSPORT ET SERVICE</t>
  </si>
  <si>
    <t>CLS1317</t>
  </si>
  <si>
    <t>STE AUTO HALL</t>
  </si>
  <si>
    <t>CLR0427</t>
  </si>
  <si>
    <t>STE PNEUS EL YOUSSR</t>
  </si>
  <si>
    <t>CLR0428</t>
  </si>
  <si>
    <t>STE COMPTOIR AMESRI</t>
  </si>
  <si>
    <t>CLR0429</t>
  </si>
  <si>
    <t>STE MH HOLDING</t>
  </si>
  <si>
    <t>CLR0430</t>
  </si>
  <si>
    <t>STE PNEUMATIQUES BENSAR AL AMIN</t>
  </si>
  <si>
    <t>CLR0431</t>
  </si>
  <si>
    <t>STE EVOBIKE</t>
  </si>
  <si>
    <t>CLT0524</t>
  </si>
  <si>
    <t>STE AVI ERRHAMNA</t>
  </si>
  <si>
    <t>CLT0262</t>
  </si>
  <si>
    <t>STE AWSSERD TRANSPORT</t>
  </si>
  <si>
    <t>CLS0549</t>
  </si>
  <si>
    <t>STE AZRI TRANSPORT ( SAZRIT )</t>
  </si>
  <si>
    <t>CLS0285</t>
  </si>
  <si>
    <t>STE AZROU SANI</t>
  </si>
  <si>
    <t>CLR0432</t>
  </si>
  <si>
    <t>STE PNEU ET SERVICE AL MADINA</t>
  </si>
  <si>
    <t>CLS0636</t>
  </si>
  <si>
    <t>STE BADEX CARS</t>
  </si>
  <si>
    <t>CLS12103</t>
  </si>
  <si>
    <t>STE BADR GAZ</t>
  </si>
  <si>
    <t>CLS1260</t>
  </si>
  <si>
    <t>STE BAHIA BRIQUES</t>
  </si>
  <si>
    <t>CLS1278</t>
  </si>
  <si>
    <t>STE BAKIR CAR</t>
  </si>
  <si>
    <t>CLR0433</t>
  </si>
  <si>
    <t xml:space="preserve"> BRAHIM BENSLIMANE</t>
  </si>
  <si>
    <t>CLS0516</t>
  </si>
  <si>
    <t>STE BAZOU TRANSPORT</t>
  </si>
  <si>
    <t>CLR0434</t>
  </si>
  <si>
    <t>Al Tinen Tyres Trading</t>
  </si>
  <si>
    <t>SHARJAH</t>
  </si>
  <si>
    <t>CLT0324</t>
  </si>
  <si>
    <t>STE BEL TRANS</t>
  </si>
  <si>
    <t>CLS0465</t>
  </si>
  <si>
    <t>STE BELMAHFOUD</t>
  </si>
  <si>
    <t>CLR0435</t>
  </si>
  <si>
    <t>STE MOTARZ</t>
  </si>
  <si>
    <t>CLS1436</t>
  </si>
  <si>
    <t>STE BEN MUSTAPHA DE GENIE CIVIL</t>
  </si>
  <si>
    <t>CLS0351</t>
  </si>
  <si>
    <t>STE BENCHEKROUN et FILS</t>
  </si>
  <si>
    <t>CLS0309</t>
  </si>
  <si>
    <t>STE BEST CAR AUTO</t>
  </si>
  <si>
    <t>CLS0208</t>
  </si>
  <si>
    <t>STE BETAFRIC</t>
  </si>
  <si>
    <t>CLS0005</t>
  </si>
  <si>
    <t>STE BETOVER</t>
  </si>
  <si>
    <t>CLS1352</t>
  </si>
  <si>
    <t>STE BIMEX NEGOCE</t>
  </si>
  <si>
    <t>CLS0359</t>
  </si>
  <si>
    <t>STE BMVICA SERVICE</t>
  </si>
  <si>
    <t>CLS0147</t>
  </si>
  <si>
    <t>STE BODOR</t>
  </si>
  <si>
    <t>CLS1292</t>
  </si>
  <si>
    <t>STE BOISSONS DU MAROC</t>
  </si>
  <si>
    <t>CLT0240</t>
  </si>
  <si>
    <t>STE BOUDKA TRS</t>
  </si>
  <si>
    <t>CLS0057</t>
  </si>
  <si>
    <t>STE BOUFELJA PNEUS</t>
  </si>
  <si>
    <t>CLT0537</t>
  </si>
  <si>
    <t>STE BOULOUIRD TRANS</t>
  </si>
  <si>
    <t>CLS1039</t>
  </si>
  <si>
    <t>STE BOUMRY</t>
  </si>
  <si>
    <t>CLR0436</t>
  </si>
  <si>
    <t>STE AUTO LINK</t>
  </si>
  <si>
    <t>CLS1301</t>
  </si>
  <si>
    <t>STE BRFA CARS</t>
  </si>
  <si>
    <t>CLS1319</t>
  </si>
  <si>
    <t>STE BRIQUETRIE SLAOUI</t>
  </si>
  <si>
    <t>CLT0552</t>
  </si>
  <si>
    <t>STE CADENOR SERVICES</t>
  </si>
  <si>
    <t>CLS1271</t>
  </si>
  <si>
    <t>STE CAPING</t>
  </si>
  <si>
    <t>CLT349</t>
  </si>
  <si>
    <t>STE CAPRICE TRANS ET LOGISTIQUE</t>
  </si>
  <si>
    <t>CLS1312</t>
  </si>
  <si>
    <t>STE CARRIERE ADAROUCHE</t>
  </si>
  <si>
    <t>CLS0702</t>
  </si>
  <si>
    <t>STE CARRIERES 2LA</t>
  </si>
  <si>
    <t>CLS1283</t>
  </si>
  <si>
    <t>STE CASA LUX CAR</t>
  </si>
  <si>
    <t>CLS1284</t>
  </si>
  <si>
    <t>STE CASA PRESTIGE</t>
  </si>
  <si>
    <t>CLT0533</t>
  </si>
  <si>
    <t>STE CEDRES ET PALMIERS TOURS</t>
  </si>
  <si>
    <t>CLS0156</t>
  </si>
  <si>
    <t>STE CEGETRA</t>
  </si>
  <si>
    <t>CLS1004</t>
  </si>
  <si>
    <t>STE CENTRALE DE TRAITEMENT DE MINES</t>
  </si>
  <si>
    <t>CLS12113</t>
  </si>
  <si>
    <t>STE CENTRE AUTO E.Z</t>
  </si>
  <si>
    <t>CLR0437</t>
  </si>
  <si>
    <t>STE SOMAQUIP</t>
  </si>
  <si>
    <t>CLS1341</t>
  </si>
  <si>
    <t>STE CHALLENGE DISTRIBUTION</t>
  </si>
  <si>
    <t>CLR0438</t>
  </si>
  <si>
    <t>STE JAMAA LADIB</t>
  </si>
  <si>
    <t>CLS0528</t>
  </si>
  <si>
    <t>STE CHARCUTERIE MIAMI</t>
  </si>
  <si>
    <t>CLR0439</t>
  </si>
  <si>
    <t>PNEUMATIQUE VICTORIA</t>
  </si>
  <si>
    <t>CLS1306</t>
  </si>
  <si>
    <t>STE CHRONO TIRE</t>
  </si>
  <si>
    <t>CLS0419</t>
  </si>
  <si>
    <t>STE CIMABEL</t>
  </si>
  <si>
    <t>CLS1326</t>
  </si>
  <si>
    <t>STE CMEC</t>
  </si>
  <si>
    <t>CLS1262</t>
  </si>
  <si>
    <t>STE CMGD MIXTE</t>
  </si>
  <si>
    <t>CLS1444</t>
  </si>
  <si>
    <t>STE CODI GAZ</t>
  </si>
  <si>
    <t>CLS0704</t>
  </si>
  <si>
    <t>STE COGEDRA</t>
  </si>
  <si>
    <t>CLS0375</t>
  </si>
  <si>
    <t>STE COGEMIL</t>
  </si>
  <si>
    <t>CLS1281</t>
  </si>
  <si>
    <t>STE COLORADO</t>
  </si>
  <si>
    <t>CLS02068</t>
  </si>
  <si>
    <t>STE COMABAR</t>
  </si>
  <si>
    <t>CLS1232</t>
  </si>
  <si>
    <t>STE COMARGAZ</t>
  </si>
  <si>
    <t>CLR0440</t>
  </si>
  <si>
    <t>STE FAST PNEU</t>
  </si>
  <si>
    <t>CLR0441</t>
  </si>
  <si>
    <t>STE GERMANY PNEUS</t>
  </si>
  <si>
    <t>CLS1225</t>
  </si>
  <si>
    <t>STE COMMERCIALE DU PNEU</t>
  </si>
  <si>
    <t>CLR0442</t>
  </si>
  <si>
    <t>STE SMART PNEUS</t>
  </si>
  <si>
    <t>CLS1268</t>
  </si>
  <si>
    <t>STE COMPTOIR AUTO EL OUROUBA</t>
  </si>
  <si>
    <t>CLS0535</t>
  </si>
  <si>
    <t>STE CONARIF SARL</t>
  </si>
  <si>
    <t>CLS1299</t>
  </si>
  <si>
    <t>STE CONCASSAGE BOUAANFIR</t>
  </si>
  <si>
    <t>CLS0687</t>
  </si>
  <si>
    <t>STE CONTINENTAL PIECES DETACHES</t>
  </si>
  <si>
    <t>CLS1353</t>
  </si>
  <si>
    <t>STE COOPER CHAOUIA OUARDIGHA</t>
  </si>
  <si>
    <t>CLS12115</t>
  </si>
  <si>
    <t>STE CTT</t>
  </si>
  <si>
    <t>CLS12100</t>
  </si>
  <si>
    <t>STE DARAA CAR</t>
  </si>
  <si>
    <t>CLT0147</t>
  </si>
  <si>
    <t>STE DE DISTRIBUTION HIBAT</t>
  </si>
  <si>
    <t>CLT0156</t>
  </si>
  <si>
    <t>STE DE TRANSPORT AGADIR TANGER</t>
  </si>
  <si>
    <t>CLS1108</t>
  </si>
  <si>
    <t>STE DE TRANSPORT AL YAMAMA</t>
  </si>
  <si>
    <t>CLT0260</t>
  </si>
  <si>
    <t>STE DE TRANSPORT DE GAZ</t>
  </si>
  <si>
    <t>CLS0189</t>
  </si>
  <si>
    <t>STE DE TRANSPORT ENNASSR</t>
  </si>
  <si>
    <t>CLT0164</t>
  </si>
  <si>
    <t>STE DE TRANSPORT EUROTIR MED</t>
  </si>
  <si>
    <t>CLT0414</t>
  </si>
  <si>
    <t>STE DE TRANSPORTS BAB SALAMA</t>
  </si>
  <si>
    <t>CLS1231</t>
  </si>
  <si>
    <t>STE DE TRAVAUX AGNAR</t>
  </si>
  <si>
    <t>CLT0331</t>
  </si>
  <si>
    <t>STE DE TRS ET GROUPEMENT EL GHAZALI</t>
  </si>
  <si>
    <t>CLS12114</t>
  </si>
  <si>
    <t>STE DECORAME</t>
  </si>
  <si>
    <t>CLS1329</t>
  </si>
  <si>
    <t>STE DERICHEBOURG CASABLANCA</t>
  </si>
  <si>
    <t>CLS1331</t>
  </si>
  <si>
    <t>STE DERICHEBOURG IMINTANOUT</t>
  </si>
  <si>
    <t>CLR0443</t>
  </si>
  <si>
    <t>STE PNEUMATIQUE ALJAOUDA</t>
  </si>
  <si>
    <t>CLS0806</t>
  </si>
  <si>
    <t>STE DES ENTREPRISES ZAOUIA</t>
  </si>
  <si>
    <t>CLT0468</t>
  </si>
  <si>
    <t>STE DES TRANSPORTS JENNANI</t>
  </si>
  <si>
    <t>CLR0444</t>
  </si>
  <si>
    <t>STE POINT RELAIS TAMESNA</t>
  </si>
  <si>
    <t>CLS1259</t>
  </si>
  <si>
    <t>STE DEVANEG</t>
  </si>
  <si>
    <t>CLR0445</t>
  </si>
  <si>
    <t>STE MAROC INTER GOMME</t>
  </si>
  <si>
    <t>CLS0100</t>
  </si>
  <si>
    <t>STE DIJLA FER</t>
  </si>
  <si>
    <t>CLS0646</t>
  </si>
  <si>
    <t>STE D'INDUSTRIE DU LAIT</t>
  </si>
  <si>
    <t>CLS1459</t>
  </si>
  <si>
    <t>STE DISTRIBUTION BOUSSAID</t>
  </si>
  <si>
    <t>CLT0464</t>
  </si>
  <si>
    <t>STE DISTRIBUTION SPH</t>
  </si>
  <si>
    <t>CLS1364</t>
  </si>
  <si>
    <t>STE DONYACO</t>
  </si>
  <si>
    <t>CLR0446</t>
  </si>
  <si>
    <t>MANU PRO</t>
  </si>
  <si>
    <t>CLT0330</t>
  </si>
  <si>
    <t>STE DSH TRANS</t>
  </si>
  <si>
    <t>CLT0539</t>
  </si>
  <si>
    <t>STE DTE</t>
  </si>
  <si>
    <t>CLT0416</t>
  </si>
  <si>
    <t>STE DU SAHEL ET SAHARA</t>
  </si>
  <si>
    <t>CLS1266</t>
  </si>
  <si>
    <t>STE DYNAMIC TIME SERVICE</t>
  </si>
  <si>
    <t>CLT0309</t>
  </si>
  <si>
    <t>STE ECHOUGHAGH TRANSPORT</t>
  </si>
  <si>
    <t>CLT0248</t>
  </si>
  <si>
    <t>STE EL AIBOUD TRS</t>
  </si>
  <si>
    <t>CLS1359</t>
  </si>
  <si>
    <t>STE EL ALF</t>
  </si>
  <si>
    <t>CLS0440</t>
  </si>
  <si>
    <t>STE EL ANBI</t>
  </si>
  <si>
    <t>CLS0029</t>
  </si>
  <si>
    <t>STE EL FADEL TRAVAUX</t>
  </si>
  <si>
    <t>CLS0006</t>
  </si>
  <si>
    <t>STE EL FAJR</t>
  </si>
  <si>
    <t>CLS0050</t>
  </si>
  <si>
    <t>STE EL OUADHA</t>
  </si>
  <si>
    <t>BOUJDOR</t>
  </si>
  <si>
    <t>CLR0447</t>
  </si>
  <si>
    <t>RFA MOTOR</t>
  </si>
  <si>
    <t>CLS12123</t>
  </si>
  <si>
    <t>STE ELEC NAKHIL</t>
  </si>
  <si>
    <t>CLS1358</t>
  </si>
  <si>
    <t>STE ELECTROCEAN HAKIMI</t>
  </si>
  <si>
    <t>CLS1269</t>
  </si>
  <si>
    <t>STE ELHADIYASS ENTREPRISE</t>
  </si>
  <si>
    <t>CLS1355</t>
  </si>
  <si>
    <t>STE ELITE SPORTS WEAR</t>
  </si>
  <si>
    <t>CLS12116</t>
  </si>
  <si>
    <t>STE EMILE CAR PRESTIGE</t>
  </si>
  <si>
    <t>CLS1250</t>
  </si>
  <si>
    <t>STE EMTEYCO MAROC</t>
  </si>
  <si>
    <t>CLS0430</t>
  </si>
  <si>
    <t>STE ENFABAT</t>
  </si>
  <si>
    <t>CLS0291</t>
  </si>
  <si>
    <t>STE ENT AIT MENZAR</t>
  </si>
  <si>
    <t>CLS1274</t>
  </si>
  <si>
    <t>STE ENTREPRISE HACHANI</t>
  </si>
  <si>
    <t>CLS0223</t>
  </si>
  <si>
    <t>STE ENTREPRISE OUARRACH</t>
  </si>
  <si>
    <t>CLS0533</t>
  </si>
  <si>
    <t>STE ESTAR BATIMENTS</t>
  </si>
  <si>
    <t>CLR0448</t>
  </si>
  <si>
    <t>TIONALE PTE. LTD.</t>
  </si>
  <si>
    <t>SINGAPORE</t>
  </si>
  <si>
    <t>CLT0536</t>
  </si>
  <si>
    <t>STE EXOCET TRANSPORT</t>
  </si>
  <si>
    <t>CLT0549</t>
  </si>
  <si>
    <t>STE EXPRESS ATLANTIC WAY</t>
  </si>
  <si>
    <t>CLT0518</t>
  </si>
  <si>
    <t>STE EZAHR TRANS</t>
  </si>
  <si>
    <t>CLR0556</t>
  </si>
  <si>
    <t>STE DERRICK DRAA</t>
  </si>
  <si>
    <t>CLR0557</t>
  </si>
  <si>
    <t>DRIVE AUTO SERVICE</t>
  </si>
  <si>
    <t>CLS0348</t>
  </si>
  <si>
    <t>STE FASTOURS</t>
  </si>
  <si>
    <t>CLS0675</t>
  </si>
  <si>
    <t>STE FATH ALLAH CAR</t>
  </si>
  <si>
    <t>CLS0470</t>
  </si>
  <si>
    <t>STE FEDALA ASSAINISSEMENT</t>
  </si>
  <si>
    <t>CLS1365</t>
  </si>
  <si>
    <t>STE FIBROTRAV</t>
  </si>
  <si>
    <t>CLS0042</t>
  </si>
  <si>
    <t>STE FILS SERVICE</t>
  </si>
  <si>
    <t>CLR0558</t>
  </si>
  <si>
    <t>INTER GOMME ATLAS</t>
  </si>
  <si>
    <t>CLS0494</t>
  </si>
  <si>
    <t>STE FIT BENNE</t>
  </si>
  <si>
    <t>CLS0039</t>
  </si>
  <si>
    <t>STE FIYADE ALLAH</t>
  </si>
  <si>
    <t>CLS1316</t>
  </si>
  <si>
    <t>STE FLEET SERVICES MOROCCO</t>
  </si>
  <si>
    <t>CLS1304</t>
  </si>
  <si>
    <t>STE FLUNCHY'S</t>
  </si>
  <si>
    <t>CLS0180</t>
  </si>
  <si>
    <t>STE FOGESUD</t>
  </si>
  <si>
    <t>CLS1261</t>
  </si>
  <si>
    <t>STE FOODS GOODS DISTRIBUTION</t>
  </si>
  <si>
    <t>CLT0556</t>
  </si>
  <si>
    <t>STE FOTRAL</t>
  </si>
  <si>
    <t>CLS1313</t>
  </si>
  <si>
    <t>STE FOX FER</t>
  </si>
  <si>
    <t>CLS1310</t>
  </si>
  <si>
    <t>STE FREIN SAIS</t>
  </si>
  <si>
    <t>CLT0170</t>
  </si>
  <si>
    <t>STE FRERES TRANSPORT</t>
  </si>
  <si>
    <t>CLS1475</t>
  </si>
  <si>
    <t>STE FRIGO PROCESS</t>
  </si>
  <si>
    <t>CLS0423</t>
  </si>
  <si>
    <t>STE G B E A</t>
  </si>
  <si>
    <t>CLS12101</t>
  </si>
  <si>
    <t>STE G M B TRAVAUX</t>
  </si>
  <si>
    <t>CLS1332</t>
  </si>
  <si>
    <t>STE G.E.S.I</t>
  </si>
  <si>
    <t>CLS1128</t>
  </si>
  <si>
    <t>STE G.L.M</t>
  </si>
  <si>
    <t>CLS0579</t>
  </si>
  <si>
    <t>STE GAC  AMAHANE</t>
  </si>
  <si>
    <t>CLT0509</t>
  </si>
  <si>
    <t>STE GAD TRANS</t>
  </si>
  <si>
    <t>CLR0559</t>
  </si>
  <si>
    <t>CENTRE PNEUMATIQUE DCHEIRA</t>
  </si>
  <si>
    <t>CLS1357</t>
  </si>
  <si>
    <t>STE GENIAL MULTI SERVICE</t>
  </si>
  <si>
    <t>CLS1410</t>
  </si>
  <si>
    <t>STE GENO ICE</t>
  </si>
  <si>
    <t>CLR0560</t>
  </si>
  <si>
    <t>UNION AUTO SERVICE</t>
  </si>
  <si>
    <t>CLR0561</t>
  </si>
  <si>
    <t>COMPANY LEADER TIRE MAROC</t>
  </si>
  <si>
    <t>CLS1272</t>
  </si>
  <si>
    <t>STE GHANDOUMY DISTRIBUTION</t>
  </si>
  <si>
    <t>CLS1298</t>
  </si>
  <si>
    <t>STE GHANDOUR DE TRAVAUX PUBLIC</t>
  </si>
  <si>
    <t>CLS0383</t>
  </si>
  <si>
    <t>STE GHATBEL</t>
  </si>
  <si>
    <t>CLT0528</t>
  </si>
  <si>
    <t>STE GLOBAL ETTALBI</t>
  </si>
  <si>
    <t>CLR0562</t>
  </si>
  <si>
    <t>BOUSHEL PNEUMATIQUE</t>
  </si>
  <si>
    <t>CLR0563</t>
  </si>
  <si>
    <t>PNEU BLACK TIRE</t>
  </si>
  <si>
    <t>CLS1286</t>
  </si>
  <si>
    <t>STE GOLDEN TIME BS</t>
  </si>
  <si>
    <t>CLT0513</t>
  </si>
  <si>
    <t>STE GRAND SERVICE TRANS</t>
  </si>
  <si>
    <t>CLS1295</t>
  </si>
  <si>
    <t>STE GRANDS MOULINS BERDAI</t>
  </si>
  <si>
    <t>CLS1411</t>
  </si>
  <si>
    <t>STE GROUPE ICE</t>
  </si>
  <si>
    <t>CLS1437</t>
  </si>
  <si>
    <t>STE GROUPE SMIDCOM</t>
  </si>
  <si>
    <t>CLS0536</t>
  </si>
  <si>
    <t>STE GUARIMETAL  SARL</t>
  </si>
  <si>
    <t>CLS12121</t>
  </si>
  <si>
    <t>STE HAFSA TOURS</t>
  </si>
  <si>
    <t>CLS0263</t>
  </si>
  <si>
    <t>STE HAJ OMAR TRAVAUX PUBLICS</t>
  </si>
  <si>
    <t>CLS0209</t>
  </si>
  <si>
    <t>STE HAJJARI FRERES</t>
  </si>
  <si>
    <t>CLS1018</t>
  </si>
  <si>
    <t>STE HAMRIA GAZ</t>
  </si>
  <si>
    <t>ECHEMMAIA</t>
  </si>
  <si>
    <t>CLS0093</t>
  </si>
  <si>
    <t>STE HANIN OUCHEN SARL</t>
  </si>
  <si>
    <t>CLS1375</t>
  </si>
  <si>
    <t>STE HATY CAR</t>
  </si>
  <si>
    <t>CLT0563</t>
  </si>
  <si>
    <t>STE HBZ TRANSPORT</t>
  </si>
  <si>
    <t>CLT0219</t>
  </si>
  <si>
    <t>STE HDIRICH TRAVAUX DIVERS</t>
  </si>
  <si>
    <t>CLS1339</t>
  </si>
  <si>
    <t>STE HIMATECH</t>
  </si>
  <si>
    <t>CLS0358</t>
  </si>
  <si>
    <t>STE HOLDING TOW CARS</t>
  </si>
  <si>
    <t>CLS1328</t>
  </si>
  <si>
    <t>STE HOLIDAY DRIVE INTERNATIONAL</t>
  </si>
  <si>
    <t>CLT0026</t>
  </si>
  <si>
    <t>STE HORADA</t>
  </si>
  <si>
    <t>CLS0323</t>
  </si>
  <si>
    <t>STE HORENS CARS</t>
  </si>
  <si>
    <t>CLT0255</t>
  </si>
  <si>
    <t>STE HOUSSINE DE DISTIBUTION</t>
  </si>
  <si>
    <t>CLS1270</t>
  </si>
  <si>
    <t>STE HS INFRA</t>
  </si>
  <si>
    <t>CLS1305</t>
  </si>
  <si>
    <t>STE H-TECH</t>
  </si>
  <si>
    <t>CLS1300</t>
  </si>
  <si>
    <t>STE H-TRUST TOUR</t>
  </si>
  <si>
    <t>CLT0367</t>
  </si>
  <si>
    <t>STE IAACHAKEN</t>
  </si>
  <si>
    <t>CLS0236</t>
  </si>
  <si>
    <t>STE IDITRANS</t>
  </si>
  <si>
    <t>CLR0564</t>
  </si>
  <si>
    <t>ZAKARIA SERVICE AUTO</t>
  </si>
  <si>
    <t>CLT0527</t>
  </si>
  <si>
    <t>STE IJ TRANSPORT</t>
  </si>
  <si>
    <t>CLS0288</t>
  </si>
  <si>
    <t>STE ILMA METAL</t>
  </si>
  <si>
    <t>CLS12104</t>
  </si>
  <si>
    <t>STE ILMER A NE PAS LIVRER</t>
  </si>
  <si>
    <t>CLT0193</t>
  </si>
  <si>
    <t>STE IM3Y TRANS</t>
  </si>
  <si>
    <t>CLS1222</t>
  </si>
  <si>
    <t>STE IMGHRANE</t>
  </si>
  <si>
    <t>CLR0565</t>
  </si>
  <si>
    <t>STE AUTO SRVICES AL FAROUK</t>
  </si>
  <si>
    <t>CLS0027</t>
  </si>
  <si>
    <t>STE INDUCAS</t>
  </si>
  <si>
    <t>CLS1323</t>
  </si>
  <si>
    <t>STE INGTELMA</t>
  </si>
  <si>
    <t>CLS0462</t>
  </si>
  <si>
    <t>STE INTERAGREGATS SARL</t>
  </si>
  <si>
    <t>CLT0535</t>
  </si>
  <si>
    <t>STE IRBAB TRANS</t>
  </si>
  <si>
    <t>CLS0381</t>
  </si>
  <si>
    <t>STE IRSA</t>
  </si>
  <si>
    <t>CLS12112</t>
  </si>
  <si>
    <t>STE ISMAILIA METAL</t>
  </si>
  <si>
    <t>CLS1356</t>
  </si>
  <si>
    <t>STE JABA CAR</t>
  </si>
  <si>
    <t>CLT0027</t>
  </si>
  <si>
    <t>STE JADIMAR</t>
  </si>
  <si>
    <t>CLS0320</t>
  </si>
  <si>
    <t>STE JADRIM</t>
  </si>
  <si>
    <t>CLS0499</t>
  </si>
  <si>
    <t>STE JALOUAJA</t>
  </si>
  <si>
    <t>CLR0566</t>
  </si>
  <si>
    <t>BB PNEU SERVICE</t>
  </si>
  <si>
    <t>CLR0567</t>
  </si>
  <si>
    <t>AMRANI PLATINUM MOTORS</t>
  </si>
  <si>
    <t>CLS0778</t>
  </si>
  <si>
    <t>Sté Jdirat de Travaux</t>
  </si>
  <si>
    <t>CLS1308</t>
  </si>
  <si>
    <t>STE JOOKER CAR</t>
  </si>
  <si>
    <t>CLR0568</t>
  </si>
  <si>
    <t>J&amp;L KHADAMATE</t>
  </si>
  <si>
    <t>CLS1297</t>
  </si>
  <si>
    <t>STE JUL CAR</t>
  </si>
  <si>
    <t>CLS0460</t>
  </si>
  <si>
    <t>STE KADIR DISTRIBUTION SA</t>
  </si>
  <si>
    <t>CLS1325</t>
  </si>
  <si>
    <t>STE KAFB TRAVAUX</t>
  </si>
  <si>
    <t>CLT0554</t>
  </si>
  <si>
    <t>STE KAM TRANSPORT</t>
  </si>
  <si>
    <t>CLT0545</t>
  </si>
  <si>
    <t>STE KAMANE TRANS</t>
  </si>
  <si>
    <t>CLT0547</t>
  </si>
  <si>
    <t>STE KARAM TIR</t>
  </si>
  <si>
    <t>CLS0048</t>
  </si>
  <si>
    <t>STE KARKACHI ET FATH</t>
  </si>
  <si>
    <t>CLS0017</t>
  </si>
  <si>
    <t>STE KAWTAR LOTFI CONSTRUCTION</t>
  </si>
  <si>
    <t>CLS0305</t>
  </si>
  <si>
    <t>STE KERBID ET CIE</t>
  </si>
  <si>
    <t>CLS1279</t>
  </si>
  <si>
    <t>STE KIMO TOURS</t>
  </si>
  <si>
    <t>CLR0569</t>
  </si>
  <si>
    <t>PNEUMATIQUE RIAD ESSALAM I</t>
  </si>
  <si>
    <t>CLT0011</t>
  </si>
  <si>
    <t>STE LA HISPANICA</t>
  </si>
  <si>
    <t>CLS0761</t>
  </si>
  <si>
    <t>STE LA ROUTE</t>
  </si>
  <si>
    <t>CLR0570</t>
  </si>
  <si>
    <t>PNEUMATIQUE SERVICE SBAAI</t>
  </si>
  <si>
    <t>CLT0433</t>
  </si>
  <si>
    <t>STE LAHLALI TRANS</t>
  </si>
  <si>
    <t>CLT0391</t>
  </si>
  <si>
    <t>STE LAHRIT</t>
  </si>
  <si>
    <t>CLS0633</t>
  </si>
  <si>
    <t>STE LAITIERE CHERGUI</t>
  </si>
  <si>
    <t>CLT0181</t>
  </si>
  <si>
    <t>STE LAKHOUILI</t>
  </si>
  <si>
    <t>CLS0438</t>
  </si>
  <si>
    <t>STE LAMACOM SARL</t>
  </si>
  <si>
    <t>CLS0398</t>
  </si>
  <si>
    <t>STE L'ART GAZ</t>
  </si>
  <si>
    <t>CLR0571</t>
  </si>
  <si>
    <t>STE GENERAL LUBRIFIANT MAROC</t>
  </si>
  <si>
    <t>CLS1253</t>
  </si>
  <si>
    <t>STE LES COUVOIRS DU NORD</t>
  </si>
  <si>
    <t>CLS1318</t>
  </si>
  <si>
    <t>STE LES GEANTS DU REVETEMENT</t>
  </si>
  <si>
    <t>CLA0017</t>
  </si>
  <si>
    <t>STE LMG</t>
  </si>
  <si>
    <t>CLS1275</t>
  </si>
  <si>
    <t>STE LOC ALTERNANCE</t>
  </si>
  <si>
    <t>CLS1282</t>
  </si>
  <si>
    <t>STE LOCATION OULFA</t>
  </si>
  <si>
    <t>CLS0581</t>
  </si>
  <si>
    <t>STE LODIVE</t>
  </si>
  <si>
    <t>CLT0511</t>
  </si>
  <si>
    <t>STE LONG LIGNE</t>
  </si>
  <si>
    <t>CLS12107</t>
  </si>
  <si>
    <t>STE LORAD</t>
  </si>
  <si>
    <t>CLS1309</t>
  </si>
  <si>
    <t>STE LUBRIFIANTS BARAKA</t>
  </si>
  <si>
    <t>CLT0515</t>
  </si>
  <si>
    <t>STE LUX SAHARA</t>
  </si>
  <si>
    <t>CLS1267</t>
  </si>
  <si>
    <t>STE M C S</t>
  </si>
  <si>
    <t>CLS1441</t>
  </si>
  <si>
    <t>STE M T M S</t>
  </si>
  <si>
    <t>CLR0572</t>
  </si>
  <si>
    <t>BOUSKOURA ACCESSOIRE</t>
  </si>
  <si>
    <t>CLS1377</t>
  </si>
  <si>
    <t>STE MAHATTA</t>
  </si>
  <si>
    <t>CLR0573</t>
  </si>
  <si>
    <t>PNEUMATIQUE ET LAVAGE EL MOUKRI</t>
  </si>
  <si>
    <t>CLT0526</t>
  </si>
  <si>
    <t>STE MAJDOULINE TRANS</t>
  </si>
  <si>
    <t>CLS1383</t>
  </si>
  <si>
    <t>STE MANAR</t>
  </si>
  <si>
    <t>CLS0903</t>
  </si>
  <si>
    <t>STE MARINE MAROC</t>
  </si>
  <si>
    <t>CLR0574</t>
  </si>
  <si>
    <t>SPRINT PNEUS</t>
  </si>
  <si>
    <t>CLT0155</t>
  </si>
  <si>
    <t>STE MAROC TRANS LIGNE</t>
  </si>
  <si>
    <t>CLS0038</t>
  </si>
  <si>
    <t>STE MAROCAINE DE GRAVETTES</t>
  </si>
  <si>
    <t>CLS1314</t>
  </si>
  <si>
    <t>STE MAROCEAN</t>
  </si>
  <si>
    <t>CLR0575</t>
  </si>
  <si>
    <t>SAAD PNEUS OUARZAZATE</t>
  </si>
  <si>
    <t>CLT0550</t>
  </si>
  <si>
    <t>STE MATYSLOG</t>
  </si>
  <si>
    <t>CLT0530</t>
  </si>
  <si>
    <t>STE M'DINA BUS</t>
  </si>
  <si>
    <t>CLS0645</t>
  </si>
  <si>
    <t>STE MEDITAV</t>
  </si>
  <si>
    <t>CLR0576</t>
  </si>
  <si>
    <t>STE SOTAPROM SARL</t>
  </si>
  <si>
    <t>CLS1277</t>
  </si>
  <si>
    <t>STE MEDMA INVESTISSEMENT LTD</t>
  </si>
  <si>
    <t>NOUACER</t>
  </si>
  <si>
    <t>CLS1280</t>
  </si>
  <si>
    <t>STE MEGAFER</t>
  </si>
  <si>
    <t>CLT0510</t>
  </si>
  <si>
    <t>STE MESPA TRANS</t>
  </si>
  <si>
    <t>CLT0010</t>
  </si>
  <si>
    <t>STE MESSAGERS ROUTIERS</t>
  </si>
  <si>
    <t>CLR0577</t>
  </si>
  <si>
    <t>PNEUMATIQUE IDOUCH LADIB</t>
  </si>
  <si>
    <t>CLT0296</t>
  </si>
  <si>
    <t>STE MH TRANSPORT</t>
  </si>
  <si>
    <t>CLR0578</t>
  </si>
  <si>
    <t>RUN FLAT PNEU</t>
  </si>
  <si>
    <t>CLS1011</t>
  </si>
  <si>
    <t>STE MISAR SARL</t>
  </si>
  <si>
    <t>CLS0524</t>
  </si>
  <si>
    <t>STE MOJAZINE MERIDIONALE</t>
  </si>
  <si>
    <t>CLR0579</t>
  </si>
  <si>
    <t>PNEUMATIQUE EL KAHIRA</t>
  </si>
  <si>
    <t>CLS1366</t>
  </si>
  <si>
    <t>STE MOTOVALEE CAR</t>
  </si>
  <si>
    <t>CLT0432</t>
  </si>
  <si>
    <t>STE MOUDOU</t>
  </si>
  <si>
    <t>CLS0217</t>
  </si>
  <si>
    <t>STE MOUDOUN BAT</t>
  </si>
  <si>
    <t>CLT0592</t>
  </si>
  <si>
    <t>STE MSTRAL TRANSPORT</t>
  </si>
  <si>
    <t>CLS1385</t>
  </si>
  <si>
    <t>STE NAFRIM</t>
  </si>
  <si>
    <t>CLS0321</t>
  </si>
  <si>
    <t>STE NAHDA PLATRE</t>
  </si>
  <si>
    <t>CLT0224</t>
  </si>
  <si>
    <t>STE NAHILAS</t>
  </si>
  <si>
    <t>CLS12111</t>
  </si>
  <si>
    <t>STE NAJM CAR</t>
  </si>
  <si>
    <t>CLS0065</t>
  </si>
  <si>
    <t>STE NASUYAMO</t>
  </si>
  <si>
    <t>CLT0185</t>
  </si>
  <si>
    <t>STE NEGUITRA</t>
  </si>
  <si>
    <t>CLT0584</t>
  </si>
  <si>
    <t>STE NEJMACIM</t>
  </si>
  <si>
    <t>CLS0238</t>
  </si>
  <si>
    <t>STE NERIA</t>
  </si>
  <si>
    <t>CLS1293</t>
  </si>
  <si>
    <t>STE NEW SOL</t>
  </si>
  <si>
    <t>CLS0178</t>
  </si>
  <si>
    <t>STE NIAMA RIF  SARL</t>
  </si>
  <si>
    <t>CLS0441</t>
  </si>
  <si>
    <t>STE NICE TRAVAUX</t>
  </si>
  <si>
    <t>CLS1458</t>
  </si>
  <si>
    <t>STE NOBEL MATERIAUX</t>
  </si>
  <si>
    <t>CLR0580</t>
  </si>
  <si>
    <t>PNEUMATIQUE MARJANI</t>
  </si>
  <si>
    <t>CLT0235</t>
  </si>
  <si>
    <t>STE NOUHA TRANS</t>
  </si>
  <si>
    <t>CLS1479</t>
  </si>
  <si>
    <t>STE NOURSSINE LOGISTIC</t>
  </si>
  <si>
    <t>CLS0303</t>
  </si>
  <si>
    <t>STE NOUVELLE EDDIK</t>
  </si>
  <si>
    <t>CLS0155</t>
  </si>
  <si>
    <t>STE NOUVELLE SAMETAL</t>
  </si>
  <si>
    <t>CLS1360</t>
  </si>
  <si>
    <t>STE NOVEC</t>
  </si>
  <si>
    <t>CLT0141</t>
  </si>
  <si>
    <t>STE O.F.H DE TRANS ET NEGOCE</t>
  </si>
  <si>
    <t>CLT0512</t>
  </si>
  <si>
    <t>STE OCEON SERVICE NEGOCE</t>
  </si>
  <si>
    <t>CLR0581</t>
  </si>
  <si>
    <t>S2LAS</t>
  </si>
  <si>
    <t>CLR0582</t>
  </si>
  <si>
    <t>PNEUMATIQUE ADMINE</t>
  </si>
  <si>
    <t>CLS0819</t>
  </si>
  <si>
    <t>STE OUFRI GAZ</t>
  </si>
  <si>
    <t>CLT0516</t>
  </si>
  <si>
    <t>STE OUHRA CAR</t>
  </si>
  <si>
    <t>CLT0546</t>
  </si>
  <si>
    <t>STE OUKADDOUR TRANS</t>
  </si>
  <si>
    <t>CLS0129</t>
  </si>
  <si>
    <t>STE OULD BOUAZZA</t>
  </si>
  <si>
    <t>CLS1347</t>
  </si>
  <si>
    <t>STE OZONE AIN ATIQ</t>
  </si>
  <si>
    <t>CLS1344</t>
  </si>
  <si>
    <t>STE OZONE BOUJDOUR</t>
  </si>
  <si>
    <t>CLS1342</t>
  </si>
  <si>
    <t>STE OZONE HARHOURA</t>
  </si>
  <si>
    <t>CLS1340</t>
  </si>
  <si>
    <t>STE OZONE KHOURIBGA</t>
  </si>
  <si>
    <t>CLS1336</t>
  </si>
  <si>
    <t>STE OZONE LAAYOUNE</t>
  </si>
  <si>
    <t>CLS1335</t>
  </si>
  <si>
    <t>STE OZONE MEHDYA</t>
  </si>
  <si>
    <t>CLS1334</t>
  </si>
  <si>
    <t>STE OZONE MERS ELKHAIR</t>
  </si>
  <si>
    <t>MERS KHAIR</t>
  </si>
  <si>
    <t>CLS1337</t>
  </si>
  <si>
    <t>STE OZONE MOGADOR</t>
  </si>
  <si>
    <t>CLS1333</t>
  </si>
  <si>
    <t>STE OZONE SALE</t>
  </si>
  <si>
    <t>CLS1343</t>
  </si>
  <si>
    <t>STE OZONE SIDI KACEM</t>
  </si>
  <si>
    <t>CLS1345</t>
  </si>
  <si>
    <t>STE OZONE SIDI YAHYA TAMESNA</t>
  </si>
  <si>
    <t>CLS1338</t>
  </si>
  <si>
    <t>STE OZONE YOUSSOUFIA</t>
  </si>
  <si>
    <t>YOUSSOUFIA</t>
  </si>
  <si>
    <t>CLT0542</t>
  </si>
  <si>
    <t>STE PAPIER LIVE</t>
  </si>
  <si>
    <t>CLS0577</t>
  </si>
  <si>
    <t>STE PCB BROKERS</t>
  </si>
  <si>
    <t>CLT0560</t>
  </si>
  <si>
    <t>STE PL LOGISTIC</t>
  </si>
  <si>
    <t>CLS12102</t>
  </si>
  <si>
    <t>STE PLEGUEZUELOS MAROC</t>
  </si>
  <si>
    <t>CLS12106</t>
  </si>
  <si>
    <t>STE PLUMBING EL GHIZLANE</t>
  </si>
  <si>
    <t>CLR0583</t>
  </si>
  <si>
    <t>PNEUMATIQUE TIP TOP</t>
  </si>
  <si>
    <t>CLR0584</t>
  </si>
  <si>
    <t>SUD-EST FREINAGE</t>
  </si>
  <si>
    <t>CLR0585</t>
  </si>
  <si>
    <t>HOUMADI PNEUMATIQUE FILS</t>
  </si>
  <si>
    <t>CLR0586</t>
  </si>
  <si>
    <t>PNEUMATIQUE MARCHICA</t>
  </si>
  <si>
    <t>CLR0587</t>
  </si>
  <si>
    <t>PNEUMATIQUE MECANIQUE CHEFCHAOUNI</t>
  </si>
  <si>
    <t>CLR0588</t>
  </si>
  <si>
    <t>PNEUS SALAMA</t>
  </si>
  <si>
    <t>CLR0589</t>
  </si>
  <si>
    <t>ESPACE PNEU</t>
  </si>
  <si>
    <t>CLR0590</t>
  </si>
  <si>
    <t>HMIZA PNEUS</t>
  </si>
  <si>
    <t>CLR0591</t>
  </si>
  <si>
    <t>AUTO-MOTO MULTI SERVICES</t>
  </si>
  <si>
    <t>CLR0592</t>
  </si>
  <si>
    <t>REPARA D'OR</t>
  </si>
  <si>
    <t>CLR0593</t>
  </si>
  <si>
    <t>STE SIMO GLOBAL</t>
  </si>
  <si>
    <t>CLR0594</t>
  </si>
  <si>
    <t>CENTRE GOM</t>
  </si>
  <si>
    <t>CLR0595</t>
  </si>
  <si>
    <t>LE DISTRIBUTEUR DES PNEUS</t>
  </si>
  <si>
    <t>CLR0596</t>
  </si>
  <si>
    <t>MANUGOM</t>
  </si>
  <si>
    <t>CLR0597</t>
  </si>
  <si>
    <t>PNEUMATIQUE ALWIFAQ</t>
  </si>
  <si>
    <t>CLR0598</t>
  </si>
  <si>
    <t>ABERKANE</t>
  </si>
  <si>
    <t>CLR0599</t>
  </si>
  <si>
    <t>KET'S AUTO SERVICES</t>
  </si>
  <si>
    <t>CLR0600</t>
  </si>
  <si>
    <t>PNEUMATIQUE IBN BATOUTA</t>
  </si>
  <si>
    <t>CLR0601</t>
  </si>
  <si>
    <t>TAMESNA PNEUMATIQUE</t>
  </si>
  <si>
    <t>TAMESNA</t>
  </si>
  <si>
    <t>CLR0602</t>
  </si>
  <si>
    <t>STE DIFAUTOMOTIVE</t>
  </si>
  <si>
    <t>CLR0603</t>
  </si>
  <si>
    <t>CLEVER AUTO SERVICES</t>
  </si>
  <si>
    <t>CLR0604</t>
  </si>
  <si>
    <t>FATOMAR DE COMMERCE ET DISTRIBUTION</t>
  </si>
  <si>
    <t>CLR0605</t>
  </si>
  <si>
    <t>STE NOBEL PNEUS</t>
  </si>
  <si>
    <t>CLS0315</t>
  </si>
  <si>
    <t>STE PNEUS BACHIR</t>
  </si>
  <si>
    <t>CLR0606</t>
  </si>
  <si>
    <t xml:space="preserve">GREEN AUTO SERVICE </t>
  </si>
  <si>
    <t>CLR0607</t>
  </si>
  <si>
    <t>CENTRE PNEUMATIQUE TIZI</t>
  </si>
  <si>
    <t>CLR0608</t>
  </si>
  <si>
    <t>PNEUMATIQUE HANANA</t>
  </si>
  <si>
    <t>CLS0530</t>
  </si>
  <si>
    <t>STE PREFAMEK</t>
  </si>
  <si>
    <t>CLS1433</t>
  </si>
  <si>
    <t>STE PRODISMACO</t>
  </si>
  <si>
    <t>CLS0436</t>
  </si>
  <si>
    <t>STE PRODUITS PETROLIERS RAMADI</t>
  </si>
  <si>
    <t>CLT0111</t>
  </si>
  <si>
    <t>STE RAFAE LIL ACHGHAL</t>
  </si>
  <si>
    <t>CLS12109</t>
  </si>
  <si>
    <t>STE RAGUIG TRAVAUX</t>
  </si>
  <si>
    <t>CLS0376</t>
  </si>
  <si>
    <t>STE RAHALI DIAGNOSTIC</t>
  </si>
  <si>
    <t>CLR0609</t>
  </si>
  <si>
    <t>AUTO POSSIBLE</t>
  </si>
  <si>
    <t>CLS0580</t>
  </si>
  <si>
    <t>STE REBEH PNEU</t>
  </si>
  <si>
    <t>CLS0058</t>
  </si>
  <si>
    <t>STE RIF NEGOCE &amp; TRAVX DIVERS</t>
  </si>
  <si>
    <t>CLR0610</t>
  </si>
  <si>
    <t>NEW WAY</t>
  </si>
  <si>
    <t>CLS0023</t>
  </si>
  <si>
    <t>STE RIFONOR</t>
  </si>
  <si>
    <t>CLS0800</t>
  </si>
  <si>
    <t>STE ROUANDI</t>
  </si>
  <si>
    <t>CLS1315</t>
  </si>
  <si>
    <t>STE S.N.E.C.A</t>
  </si>
  <si>
    <t>CLT0064</t>
  </si>
  <si>
    <t>STE SAAD TRANSPORT</t>
  </si>
  <si>
    <t>CLT0540</t>
  </si>
  <si>
    <t>STE SAAD VOYAGES</t>
  </si>
  <si>
    <t>CLS0286</t>
  </si>
  <si>
    <t>STE SAADA PLATRE</t>
  </si>
  <si>
    <t>CLS1391</t>
  </si>
  <si>
    <t>STE SAB2C</t>
  </si>
  <si>
    <t>CLS0046</t>
  </si>
  <si>
    <t>STE SABLE AGREGATS DU MAROC</t>
  </si>
  <si>
    <t>CLS0115</t>
  </si>
  <si>
    <t>STE SABLIERES DE TADLA</t>
  </si>
  <si>
    <t>CLS0491</t>
  </si>
  <si>
    <t>STE SABTA</t>
  </si>
  <si>
    <t>CLS0026</t>
  </si>
  <si>
    <t>STE SAHIMI</t>
  </si>
  <si>
    <t>CLS0158</t>
  </si>
  <si>
    <t>STE SAKITRA</t>
  </si>
  <si>
    <t>CLT0225</t>
  </si>
  <si>
    <t>STE SAKMAC</t>
  </si>
  <si>
    <t>CLS0562</t>
  </si>
  <si>
    <t>STE SALBI</t>
  </si>
  <si>
    <t>CLS1322</t>
  </si>
  <si>
    <t>STE SAMABCOM</t>
  </si>
  <si>
    <t>CLS0207</t>
  </si>
  <si>
    <t>STE SANI PLA-COM</t>
  </si>
  <si>
    <t>CLS1307</t>
  </si>
  <si>
    <t>STE SANIKEL CAR</t>
  </si>
  <si>
    <t>CLS1302</t>
  </si>
  <si>
    <t>STE SANIKEL TOURS</t>
  </si>
  <si>
    <t>CLR0611</t>
  </si>
  <si>
    <t>EL HARRAK ABOUBAKR</t>
  </si>
  <si>
    <t>CLS0417</t>
  </si>
  <si>
    <t>STE SATEMAC</t>
  </si>
  <si>
    <t>CLS1386</t>
  </si>
  <si>
    <t>STE SAV SIGNATURE</t>
  </si>
  <si>
    <t>CLS1388</t>
  </si>
  <si>
    <t>STE SAVOY CARS</t>
  </si>
  <si>
    <t>CLT0555</t>
  </si>
  <si>
    <t>STE SBIYOU ELEVATION</t>
  </si>
  <si>
    <t>CLT0541</t>
  </si>
  <si>
    <t>STE SBL TRANS</t>
  </si>
  <si>
    <t>CLS0085</t>
  </si>
  <si>
    <t>STE SEGMA BETON</t>
  </si>
  <si>
    <t>CLS0559</t>
  </si>
  <si>
    <t>STE SERVILOG  SARL</t>
  </si>
  <si>
    <t>CLS0076</t>
  </si>
  <si>
    <t>STE SGTRA</t>
  </si>
  <si>
    <t>CLS12122</t>
  </si>
  <si>
    <t>STE SHAMS COLOR</t>
  </si>
  <si>
    <t>CLR0612</t>
  </si>
  <si>
    <t>PNEUMATIC DIR</t>
  </si>
  <si>
    <t>CLR0613</t>
  </si>
  <si>
    <t>PNEUMATIQUE SIMO</t>
  </si>
  <si>
    <t>CLS0364</t>
  </si>
  <si>
    <t>STE SMC</t>
  </si>
  <si>
    <t>CLS0992</t>
  </si>
  <si>
    <t>STE SMVN</t>
  </si>
  <si>
    <t>CLS0532</t>
  </si>
  <si>
    <t>STE SOBAFER</t>
  </si>
  <si>
    <t>CLS12105</t>
  </si>
  <si>
    <t>STE SOCODAM DAVUM</t>
  </si>
  <si>
    <t>CLS0072</t>
  </si>
  <si>
    <t>STE SOCORI</t>
  </si>
  <si>
    <t>CLS1457</t>
  </si>
  <si>
    <t>STE SODMAT</t>
  </si>
  <si>
    <t>CLS0594</t>
  </si>
  <si>
    <t>STE SOGETUB</t>
  </si>
  <si>
    <t>CLS12120</t>
  </si>
  <si>
    <t>STE SOLSTICE TOURS</t>
  </si>
  <si>
    <t>CLR0614</t>
  </si>
  <si>
    <t>EL BAHRI PNEUS</t>
  </si>
  <si>
    <t>CLS0560</t>
  </si>
  <si>
    <t>STE SOMASTEEL</t>
  </si>
  <si>
    <t>CLT0517</t>
  </si>
  <si>
    <t>STE SOMATECON</t>
  </si>
  <si>
    <t>CLS0538</t>
  </si>
  <si>
    <t>STE SOMATRIN Sarl</t>
  </si>
  <si>
    <t>CLS1321</t>
  </si>
  <si>
    <t>STE SOMIFER</t>
  </si>
  <si>
    <t>CLT1361</t>
  </si>
  <si>
    <t>CLS0517</t>
  </si>
  <si>
    <t>STE SONABRIQ SARL</t>
  </si>
  <si>
    <t>CLR0615</t>
  </si>
  <si>
    <t>CENTRE PNEUMATIQUE SAHNOUN</t>
  </si>
  <si>
    <t>CLS0282</t>
  </si>
  <si>
    <t>STE SOQOP DISTRIBUTION</t>
  </si>
  <si>
    <t>CLS0498</t>
  </si>
  <si>
    <t>STE SORAMYL</t>
  </si>
  <si>
    <t>CLS1000</t>
  </si>
  <si>
    <t>STE SORENOVA</t>
  </si>
  <si>
    <t>CLR0616</t>
  </si>
  <si>
    <t>STE CENTRE REPARATION GLOBAL</t>
  </si>
  <si>
    <t>CLS1350</t>
  </si>
  <si>
    <t>STE SOTHERMA</t>
  </si>
  <si>
    <t>CLS0071</t>
  </si>
  <si>
    <t>STE SOTRA PNEU</t>
  </si>
  <si>
    <t>CLS0193</t>
  </si>
  <si>
    <t>STE SOTRADA</t>
  </si>
  <si>
    <t>CLT0053</t>
  </si>
  <si>
    <t>STE SOTRAMIF</t>
  </si>
  <si>
    <t>CLS0617</t>
  </si>
  <si>
    <t>STE SOUTRA</t>
  </si>
  <si>
    <t>CLS0558</t>
  </si>
  <si>
    <t>STE STARNAL</t>
  </si>
  <si>
    <t>CLT0580</t>
  </si>
  <si>
    <t>STE S-T-DICHRA</t>
  </si>
  <si>
    <t>CLS0467</t>
  </si>
  <si>
    <t>STE STEP</t>
  </si>
  <si>
    <t>CLT0388</t>
  </si>
  <si>
    <t>STE STRALOG</t>
  </si>
  <si>
    <t>CLS1254</t>
  </si>
  <si>
    <t>STE SUPER AGREGATS</t>
  </si>
  <si>
    <t>CLT0508</t>
  </si>
  <si>
    <t>STE T G V S</t>
  </si>
  <si>
    <t>CLS0426</t>
  </si>
  <si>
    <t>STE TAHA ELEC</t>
  </si>
  <si>
    <t>CLS12118</t>
  </si>
  <si>
    <t>STE TALPA</t>
  </si>
  <si>
    <t>CLS0183</t>
  </si>
  <si>
    <t>STE TAPRO</t>
  </si>
  <si>
    <t>CLR0617</t>
  </si>
  <si>
    <t>KAPNEU</t>
  </si>
  <si>
    <t>CLS0828</t>
  </si>
  <si>
    <t>STE TCN</t>
  </si>
  <si>
    <t>CLS1376</t>
  </si>
  <si>
    <t>STE TECHNO INVEST</t>
  </si>
  <si>
    <t>CLS1324</t>
  </si>
  <si>
    <t>STE TECHSUB</t>
  </si>
  <si>
    <t>CLS1390</t>
  </si>
  <si>
    <t>STE TENSIFT TRAD</t>
  </si>
  <si>
    <t>CLT0507</t>
  </si>
  <si>
    <t>STE TIMALLIANCE</t>
  </si>
  <si>
    <t>CLS0003</t>
  </si>
  <si>
    <t>STE TISDEREN SARL</t>
  </si>
  <si>
    <t>CLS1348</t>
  </si>
  <si>
    <t>STE TK BETON</t>
  </si>
  <si>
    <t>CLS0568</t>
  </si>
  <si>
    <t>STE TOUNDOUTE</t>
  </si>
  <si>
    <t>CLT0199</t>
  </si>
  <si>
    <t>STE TOUTLINE</t>
  </si>
  <si>
    <t>CLT0003</t>
  </si>
  <si>
    <t>STE TRAHA</t>
  </si>
  <si>
    <t>CLS0218</t>
  </si>
  <si>
    <t>STE TRAINVEST</t>
  </si>
  <si>
    <t>CLS0541</t>
  </si>
  <si>
    <t>STE TRAKOUFA FRERES</t>
  </si>
  <si>
    <t>CLS12119</t>
  </si>
  <si>
    <t>STE TRANCIEL</t>
  </si>
  <si>
    <t>GOULMIMA</t>
  </si>
  <si>
    <t>CLT0218</t>
  </si>
  <si>
    <t>STE TRANS ALLALI</t>
  </si>
  <si>
    <t>CLS678</t>
  </si>
  <si>
    <t>STE TRANS HAFIANE</t>
  </si>
  <si>
    <t>CLT0543</t>
  </si>
  <si>
    <t>STE TRANS SERV</t>
  </si>
  <si>
    <t>CLT0529</t>
  </si>
  <si>
    <t>STE TRANS SOLARI</t>
  </si>
  <si>
    <t>CLT0413</t>
  </si>
  <si>
    <t>STE TRANSBAT</t>
  </si>
  <si>
    <t>CLT0021</t>
  </si>
  <si>
    <t>STE TRANSDINE</t>
  </si>
  <si>
    <t>CLT0589</t>
  </si>
  <si>
    <t>STE TRANSFIRIDAK</t>
  </si>
  <si>
    <t>CLT0089</t>
  </si>
  <si>
    <t>STE TRANSPECIAL MAROC</t>
  </si>
  <si>
    <t>CLT0581</t>
  </si>
  <si>
    <t>STE TRANSPORT EL JIHADIA</t>
  </si>
  <si>
    <t>CLT0548</t>
  </si>
  <si>
    <t>STE TRANSPORT ELKARROUDI</t>
  </si>
  <si>
    <t>CLT0208</t>
  </si>
  <si>
    <t>STE TRANSPORT EXPRESS TASSAOUT</t>
  </si>
  <si>
    <t>CLT0532</t>
  </si>
  <si>
    <t>STE TRANSPORT M/SES TOUT VA BIEN</t>
  </si>
  <si>
    <t>CLT348</t>
  </si>
  <si>
    <t>STE TRANSPORT SIJILMASSA</t>
  </si>
  <si>
    <t>CLS0363</t>
  </si>
  <si>
    <t>STE TRAQUASS</t>
  </si>
  <si>
    <t>CLS0055</t>
  </si>
  <si>
    <t>STE TRAVAUX BTP DU NORD</t>
  </si>
  <si>
    <t>CLS1263</t>
  </si>
  <si>
    <t>STE TRAVAUX LOTFALLAH</t>
  </si>
  <si>
    <t>CLS1264</t>
  </si>
  <si>
    <t>STE TRIUMVIRAT</t>
  </si>
  <si>
    <t>CLT0232</t>
  </si>
  <si>
    <t>STE TRS MAROUANE FRERES</t>
  </si>
  <si>
    <t>CLT0281</t>
  </si>
  <si>
    <t>STE TRSP NOUJOUM BAB ALLAH</t>
  </si>
  <si>
    <t>CLS1296</t>
  </si>
  <si>
    <t>STE TURK BATIMENT</t>
  </si>
  <si>
    <t>CLT0525</t>
  </si>
  <si>
    <t>STE TWIST TOURS</t>
  </si>
  <si>
    <t>CLS1276</t>
  </si>
  <si>
    <t>STE TY FINANCIAL</t>
  </si>
  <si>
    <t>CLS1273</t>
  </si>
  <si>
    <t>STE TYM LIGHT</t>
  </si>
  <si>
    <t>CLT0520</t>
  </si>
  <si>
    <t>STE ULTRA LOGISTICS</t>
  </si>
  <si>
    <t>CLR0618</t>
  </si>
  <si>
    <t>FILS HASSAN JAPON</t>
  </si>
  <si>
    <t>CLS1249</t>
  </si>
  <si>
    <t>STE UVGM</t>
  </si>
  <si>
    <t>CLS0483</t>
  </si>
  <si>
    <t>STE VEMATRAP</t>
  </si>
  <si>
    <t>CLS0290</t>
  </si>
  <si>
    <t>STE VITALIS TRANSPORT</t>
  </si>
  <si>
    <t>CLR0619</t>
  </si>
  <si>
    <t>CHEIKH SERVICES</t>
  </si>
  <si>
    <t>CLT0531</t>
  </si>
  <si>
    <t>STE VVLOG</t>
  </si>
  <si>
    <t>CLS1001</t>
  </si>
  <si>
    <t>STE WASSIM GAZ</t>
  </si>
  <si>
    <t>CLS02087</t>
  </si>
  <si>
    <t>STE WE CORPORATION</t>
  </si>
  <si>
    <t>CLS1460</t>
  </si>
  <si>
    <t>STE WORD CAR</t>
  </si>
  <si>
    <t>CLS0876</t>
  </si>
  <si>
    <t>Ste YAMANI</t>
  </si>
  <si>
    <t>CLS0418</t>
  </si>
  <si>
    <t>STE YASMINA GLACE</t>
  </si>
  <si>
    <t>CLS1041</t>
  </si>
  <si>
    <t>STE YASSIR AUTO</t>
  </si>
  <si>
    <t>CLS1374</t>
  </si>
  <si>
    <t>STE YOUDIS</t>
  </si>
  <si>
    <t>CLT0057</t>
  </si>
  <si>
    <t>STE ZAFAMI SARL</t>
  </si>
  <si>
    <t>CLS0054</t>
  </si>
  <si>
    <t>STE ZAG AUTO</t>
  </si>
  <si>
    <t>CLS0759</t>
  </si>
  <si>
    <t>STE ZAKI SERVICE</t>
  </si>
  <si>
    <t>CLR0620</t>
  </si>
  <si>
    <t>STE JR TRADE AUTOS</t>
  </si>
  <si>
    <t>CLR0621</t>
  </si>
  <si>
    <t>STE FAST PNEU TIZNIT</t>
  </si>
  <si>
    <t>CLT0019</t>
  </si>
  <si>
    <t>STE ZAOURI TRANSPORT</t>
  </si>
  <si>
    <t>CLT0544</t>
  </si>
  <si>
    <t>STE ZOUBIR MATERIAUX</t>
  </si>
  <si>
    <t>CLS1400</t>
  </si>
  <si>
    <t>STE. NAMOKA-TRAV</t>
  </si>
  <si>
    <t>CLS0424</t>
  </si>
  <si>
    <t>STECAC SARL</t>
  </si>
  <si>
    <t>CLT0364</t>
  </si>
  <si>
    <t>STIAL</t>
  </si>
  <si>
    <t>CLS0475</t>
  </si>
  <si>
    <t>STIP MAROC</t>
  </si>
  <si>
    <t>CLT0136</t>
  </si>
  <si>
    <t>STLE</t>
  </si>
  <si>
    <t>CLS0747</t>
  </si>
  <si>
    <t>STOCK PRALIM</t>
  </si>
  <si>
    <t>CLR0622</t>
  </si>
  <si>
    <t>GARAGE RAJALI SERVICES</t>
  </si>
  <si>
    <t>CLT0380</t>
  </si>
  <si>
    <t>S'TOURS TRANSPORT</t>
  </si>
  <si>
    <t>CLT0282</t>
  </si>
  <si>
    <t>STR ALLAMI</t>
  </si>
  <si>
    <t>CLS0841</t>
  </si>
  <si>
    <t>STRATEGY DISTRIBUTION AND MANAGEMEN</t>
  </si>
  <si>
    <t>CLS1430</t>
  </si>
  <si>
    <t>SUD DEVELOPPEMENT</t>
  </si>
  <si>
    <t>CLS0411</t>
  </si>
  <si>
    <t>SUD HYDRAULIQUE</t>
  </si>
  <si>
    <t>CLS1078</t>
  </si>
  <si>
    <t>SUDEST CAR MAROC</t>
  </si>
  <si>
    <t>CLR0623</t>
  </si>
  <si>
    <t>UNERGY</t>
  </si>
  <si>
    <t>CLS1015</t>
  </si>
  <si>
    <t>DUBAI, UAE</t>
  </si>
  <si>
    <t>CLT0186</t>
  </si>
  <si>
    <t>SUN EXPRESSE SERVICE</t>
  </si>
  <si>
    <t>CLS0184</t>
  </si>
  <si>
    <t>SUPER NHAILA DE BATIMENT</t>
  </si>
  <si>
    <t>CLT0223</t>
  </si>
  <si>
    <t>SUPRATOURS</t>
  </si>
  <si>
    <t>CLT0482</t>
  </si>
  <si>
    <t>SURE LINE</t>
  </si>
  <si>
    <t>CLR0624</t>
  </si>
  <si>
    <t>STE PNEUMATIQUE BEN AHMED</t>
  </si>
  <si>
    <t>CLS0526</t>
  </si>
  <si>
    <t>SYJA MAROC</t>
  </si>
  <si>
    <t>CLT0325</t>
  </si>
  <si>
    <t>T I PH PESCHAUD</t>
  </si>
  <si>
    <t>CLT0085</t>
  </si>
  <si>
    <t>T L E</t>
  </si>
  <si>
    <t>CLT0028</t>
  </si>
  <si>
    <t>T R O</t>
  </si>
  <si>
    <t>CLT0039</t>
  </si>
  <si>
    <t>T S P P</t>
  </si>
  <si>
    <t>CLT0023</t>
  </si>
  <si>
    <t>T S T</t>
  </si>
  <si>
    <t>CLT0439</t>
  </si>
  <si>
    <t>T T V</t>
  </si>
  <si>
    <t>CLS0756</t>
  </si>
  <si>
    <t>TABAREK</t>
  </si>
  <si>
    <t>CLR0625</t>
  </si>
  <si>
    <t>SMF PNEUAMINE</t>
  </si>
  <si>
    <t>CLR0626</t>
  </si>
  <si>
    <t>MALAGA PNEU</t>
  </si>
  <si>
    <t>CLR0627</t>
  </si>
  <si>
    <t>GENERAL AUTO HASSANI</t>
  </si>
  <si>
    <t>CLT0376</t>
  </si>
  <si>
    <t>TADOU TRAV</t>
  </si>
  <si>
    <t>CLT0400</t>
  </si>
  <si>
    <t>TAG TRANS</t>
  </si>
  <si>
    <t>CLR0628</t>
  </si>
  <si>
    <t>ETTOUBI HAMID</t>
  </si>
  <si>
    <t>CLT0128</t>
  </si>
  <si>
    <t>TAHADI TRANS</t>
  </si>
  <si>
    <t>CLS0758</t>
  </si>
  <si>
    <t>TAHRI FER</t>
  </si>
  <si>
    <t>CLT0378</t>
  </si>
  <si>
    <t>TAHRI MUSTAPHA</t>
  </si>
  <si>
    <t>CLS1461</t>
  </si>
  <si>
    <t>TAKAT GAZ</t>
  </si>
  <si>
    <t>CLS1003</t>
  </si>
  <si>
    <t>TAMANSOURT ENERGIE</t>
  </si>
  <si>
    <t>CLS0743</t>
  </si>
  <si>
    <t>TAMANSOURT GAZ</t>
  </si>
  <si>
    <t>CLR0629</t>
  </si>
  <si>
    <t>STE AUTO MULTI-SERVICES KHITOUS</t>
  </si>
  <si>
    <t>CLR0630</t>
  </si>
  <si>
    <t>MOHCINE CHAHIR</t>
  </si>
  <si>
    <t>CLS0563</t>
  </si>
  <si>
    <t>TAMRI TRANSPORT</t>
  </si>
  <si>
    <t>CLS1228</t>
  </si>
  <si>
    <t>TANA CAR</t>
  </si>
  <si>
    <t>CLS0720</t>
  </si>
  <si>
    <t>TARBIATCOM PRIVE</t>
  </si>
  <si>
    <t>CLS0049</t>
  </si>
  <si>
    <t>TARGA FER</t>
  </si>
  <si>
    <t>CLS0723</t>
  </si>
  <si>
    <t>TARGET INDUSTRY</t>
  </si>
  <si>
    <t>CLT0054</t>
  </si>
  <si>
    <t>TATROUTE TRANSPORT</t>
  </si>
  <si>
    <t>CLS1418</t>
  </si>
  <si>
    <t>TAWZII LESIEUR CRISTAL</t>
  </si>
  <si>
    <t>CLT0423</t>
  </si>
  <si>
    <t>TAWZINE S.A.R.L</t>
  </si>
  <si>
    <t>CLS1417</t>
  </si>
  <si>
    <t>TAYBA TRADING COMPANY</t>
  </si>
  <si>
    <t>CLS1160</t>
  </si>
  <si>
    <t>TCHEK TOUR</t>
  </si>
  <si>
    <t>safi</t>
  </si>
  <si>
    <t>CLT0091</t>
  </si>
  <si>
    <t>TECA PRIME</t>
  </si>
  <si>
    <t>CLR0631</t>
  </si>
  <si>
    <t>STE DRIF PNEU</t>
  </si>
  <si>
    <t>CLS0131</t>
  </si>
  <si>
    <t>TECHNIQUE RESEAUX INDUSTRIE</t>
  </si>
  <si>
    <t>CLS0079</t>
  </si>
  <si>
    <t>TECHNIQUE RESEAUX SYSTEME</t>
  </si>
  <si>
    <t>CLS0427</t>
  </si>
  <si>
    <t>TECHNO  SODURES</t>
  </si>
  <si>
    <t>CLS1083</t>
  </si>
  <si>
    <t>TECHNO PNEU</t>
  </si>
  <si>
    <t>CLS0432</t>
  </si>
  <si>
    <t>TECMED MAROC SARL</t>
  </si>
  <si>
    <t>CLR0632</t>
  </si>
  <si>
    <t>PNEUMATIQUES NAJM EDDINEE</t>
  </si>
  <si>
    <t>CLS0274</t>
  </si>
  <si>
    <t>TEODEM</t>
  </si>
  <si>
    <t>CLS0864</t>
  </si>
  <si>
    <t>TEOMARA</t>
  </si>
  <si>
    <t>CLS0798</t>
  </si>
  <si>
    <t>TEORIF</t>
  </si>
  <si>
    <t>CLS0237</t>
  </si>
  <si>
    <t>TERMINAL RENT CAR</t>
  </si>
  <si>
    <t>CLS1165</t>
  </si>
  <si>
    <t>TGCC</t>
  </si>
  <si>
    <t>CLS0812</t>
  </si>
  <si>
    <t>THALVIN</t>
  </si>
  <si>
    <t>CLS0478</t>
  </si>
  <si>
    <t>THE ARAB CONTRACTORS</t>
  </si>
  <si>
    <t>CLA0035</t>
  </si>
  <si>
    <t>ThyssenKrupp Industrial Solutions M</t>
  </si>
  <si>
    <t>CLR0633</t>
  </si>
  <si>
    <t>STE RIFFI TIRES</t>
  </si>
  <si>
    <t>CLR0634</t>
  </si>
  <si>
    <t>STE ZALAGH PNEUMATIQUE</t>
  </si>
  <si>
    <t>CLR0635</t>
  </si>
  <si>
    <t>SMART MOBILITY</t>
  </si>
  <si>
    <t>CLT0035</t>
  </si>
  <si>
    <t>TIMAR</t>
  </si>
  <si>
    <t>CLT0345</t>
  </si>
  <si>
    <t>TIMITRAS</t>
  </si>
  <si>
    <t>CLS0073</t>
  </si>
  <si>
    <t>TIMLOG</t>
  </si>
  <si>
    <t>CLS0374</t>
  </si>
  <si>
    <t>TIMO GAZ</t>
  </si>
  <si>
    <t>CLS1178</t>
  </si>
  <si>
    <t>TIMOLAY TRANS</t>
  </si>
  <si>
    <t>CLR0636</t>
  </si>
  <si>
    <t>PNEUMATIQUE MARS</t>
  </si>
  <si>
    <t>CLT0050</t>
  </si>
  <si>
    <t>TIRSO MAROC</t>
  </si>
  <si>
    <t>CLT0408</t>
  </si>
  <si>
    <t>TISAL TRANSPORT</t>
  </si>
  <si>
    <t>CLS0075</t>
  </si>
  <si>
    <t>TISSIR PRIMAGAZ</t>
  </si>
  <si>
    <t>CLR0637</t>
  </si>
  <si>
    <t>QUICK REPAIR SERVICE</t>
  </si>
  <si>
    <t>CLR0638</t>
  </si>
  <si>
    <t>PIECE DETACHEE BAB DRAA</t>
  </si>
  <si>
    <t>ZAGOURA</t>
  </si>
  <si>
    <t>CLT0195</t>
  </si>
  <si>
    <t>TIZNIT CAR</t>
  </si>
  <si>
    <t>CLS0734</t>
  </si>
  <si>
    <t>TMANDIS</t>
  </si>
  <si>
    <t>CLS0084</t>
  </si>
  <si>
    <t>TMBYS</t>
  </si>
  <si>
    <t>CLT0472</t>
  </si>
  <si>
    <t>TODGHA DISTRIBUTIONS</t>
  </si>
  <si>
    <t>CLS0289</t>
  </si>
  <si>
    <t>TOL BOIS</t>
  </si>
  <si>
    <t>CLS0749</t>
  </si>
  <si>
    <t>TOP AUTO</t>
  </si>
  <si>
    <t>CLS1157</t>
  </si>
  <si>
    <t>TOP GARAGE</t>
  </si>
  <si>
    <t>CLT0347</t>
  </si>
  <si>
    <t>TOPTRUCK</t>
  </si>
  <si>
    <t>CLS0051</t>
  </si>
  <si>
    <t>TOTAL BENNE</t>
  </si>
  <si>
    <t>CLS1435</t>
  </si>
  <si>
    <t>TOTAL MAROC</t>
  </si>
  <si>
    <t>CLS0752</t>
  </si>
  <si>
    <t>TOTO ISOL</t>
  </si>
  <si>
    <t>CLS0947</t>
  </si>
  <si>
    <t>TOUFER</t>
  </si>
  <si>
    <t>CLR0639</t>
  </si>
  <si>
    <t>PIECE AUTO BEN AAMER</t>
  </si>
  <si>
    <t>CLT0459</t>
  </si>
  <si>
    <t>TOULID TRANS</t>
  </si>
  <si>
    <t>CLS1010</t>
  </si>
  <si>
    <t>TOULINE PRESTIGE</t>
  </si>
  <si>
    <t>CLS0061</t>
  </si>
  <si>
    <t>TOUT PROPRETE</t>
  </si>
  <si>
    <t>CLT0130</t>
  </si>
  <si>
    <t>TOUT TRANSPORT ET LOGISTIQUE</t>
  </si>
  <si>
    <t>CLT0594</t>
  </si>
  <si>
    <t>TOWN TRANS</t>
  </si>
  <si>
    <t>CLS0205</t>
  </si>
  <si>
    <t>TOYOTA DU MAROC</t>
  </si>
  <si>
    <t>CLT0261</t>
  </si>
  <si>
    <t>TRA TRANSPORT</t>
  </si>
  <si>
    <t>CLS0034</t>
  </si>
  <si>
    <t>TRACIMEX</t>
  </si>
  <si>
    <t>CLS0825</t>
  </si>
  <si>
    <t>TRACOM</t>
  </si>
  <si>
    <t>CLS1221</t>
  </si>
  <si>
    <t>TRACTAFRIC EQUIPMENT MAROC</t>
  </si>
  <si>
    <t>CLS0033</t>
  </si>
  <si>
    <t>TRAIDIS</t>
  </si>
  <si>
    <t>CLS1472</t>
  </si>
  <si>
    <t>TRAMCO</t>
  </si>
  <si>
    <t>CLT0081</t>
  </si>
  <si>
    <t>TRANS AL HIJRA</t>
  </si>
  <si>
    <t>CLT0425</t>
  </si>
  <si>
    <t>TRANS ALBASRAH</t>
  </si>
  <si>
    <t>CLT0422</t>
  </si>
  <si>
    <t>TRANS ATTANIM</t>
  </si>
  <si>
    <t>CLT0188</t>
  </si>
  <si>
    <t>TRANS BENNES MAROC</t>
  </si>
  <si>
    <t>CLT0151</t>
  </si>
  <si>
    <t>TRANS BENZZINE SARL</t>
  </si>
  <si>
    <t>CLT0163</t>
  </si>
  <si>
    <t>TRANS BRETAGNE SUD MAROC</t>
  </si>
  <si>
    <t>CLT0045</t>
  </si>
  <si>
    <t>TRANS CAR LOGISTICS</t>
  </si>
  <si>
    <t>CLT0205</t>
  </si>
  <si>
    <t>TRANS CEREALES</t>
  </si>
  <si>
    <t>CLT0107</t>
  </si>
  <si>
    <t>TRANS CHIMAL</t>
  </si>
  <si>
    <t>CLT0259</t>
  </si>
  <si>
    <t>TRANS EXPRESS BENNANI</t>
  </si>
  <si>
    <t>CLT0013</t>
  </si>
  <si>
    <t>TRANS GHANAM</t>
  </si>
  <si>
    <t>CLS1233</t>
  </si>
  <si>
    <t>TRANS HADADA</t>
  </si>
  <si>
    <t>CLT0016</t>
  </si>
  <si>
    <t>TRANS LAGHZAOUNA</t>
  </si>
  <si>
    <t>CLT0048</t>
  </si>
  <si>
    <t>TRANS LOAD</t>
  </si>
  <si>
    <t>CLS1101</t>
  </si>
  <si>
    <t>TRANS MARHABA</t>
  </si>
  <si>
    <t>CLT0154</t>
  </si>
  <si>
    <t>TRANS METAUX</t>
  </si>
  <si>
    <t>CLT0328</t>
  </si>
  <si>
    <t>TRANS MOUJAHID</t>
  </si>
  <si>
    <t>CLT0390</t>
  </si>
  <si>
    <t>TRANS OBAL</t>
  </si>
  <si>
    <t>CLT0481</t>
  </si>
  <si>
    <t>TRANS OPTI FLUX</t>
  </si>
  <si>
    <t>CLT0266</t>
  </si>
  <si>
    <t>TRANS OUMGHAR</t>
  </si>
  <si>
    <t>CLT0018</t>
  </si>
  <si>
    <t>TRANS RAMM</t>
  </si>
  <si>
    <t>CLT0242</t>
  </si>
  <si>
    <t>TRANS RHARRABI SARL</t>
  </si>
  <si>
    <t>CLT0426</t>
  </si>
  <si>
    <t>TRANS RIZ</t>
  </si>
  <si>
    <t>CLT0096</t>
  </si>
  <si>
    <t>TRANS SERVICE REDA KASSIM</t>
  </si>
  <si>
    <t>CLT0313</t>
  </si>
  <si>
    <t>TRANS TRAVAUX RINAKA</t>
  </si>
  <si>
    <t>CLS0865</t>
  </si>
  <si>
    <t>TRANS WORLD AMESS</t>
  </si>
  <si>
    <t>CLT0112</t>
  </si>
  <si>
    <t>TRANS YOUNSSI</t>
  </si>
  <si>
    <t>CLT0245</t>
  </si>
  <si>
    <t>TRANS ZAHAR</t>
  </si>
  <si>
    <t>CLT0366</t>
  </si>
  <si>
    <t>TRANSAD</t>
  </si>
  <si>
    <t>CLT0462</t>
  </si>
  <si>
    <t>TRANSATLAS LOGISTIQUE</t>
  </si>
  <si>
    <t>CLT0231</t>
  </si>
  <si>
    <t>TRANSBAR</t>
  </si>
  <si>
    <t>CLT0365</t>
  </si>
  <si>
    <t>TRANSD</t>
  </si>
  <si>
    <t>CLT0072</t>
  </si>
  <si>
    <t>TRANSDOR  SARL</t>
  </si>
  <si>
    <t>CLT0162</t>
  </si>
  <si>
    <t>TRANSIGEL</t>
  </si>
  <si>
    <t>CLS0431</t>
  </si>
  <si>
    <t>TRANSINAT</t>
  </si>
  <si>
    <t>CLT0551</t>
  </si>
  <si>
    <t>TRANSIT JALAL</t>
  </si>
  <si>
    <t>CLT0234</t>
  </si>
  <si>
    <t>TRANSLOG INTERNATIONAL</t>
  </si>
  <si>
    <t>CLT0579</t>
  </si>
  <si>
    <t>TRANSMALEV</t>
  </si>
  <si>
    <t>CLS0132</t>
  </si>
  <si>
    <t>TRANSMATEC</t>
  </si>
  <si>
    <t>CLT0268</t>
  </si>
  <si>
    <t>TRANSMEL</t>
  </si>
  <si>
    <t>CLT0134</t>
  </si>
  <si>
    <t>TRANSMEL BENNES</t>
  </si>
  <si>
    <t>CLT0137</t>
  </si>
  <si>
    <t>TRANSMEL FRET</t>
  </si>
  <si>
    <t>CLT0566</t>
  </si>
  <si>
    <t>TRANSMISE TOURS</t>
  </si>
  <si>
    <t>CLT0449</t>
  </si>
  <si>
    <t>TRANSNEJ</t>
  </si>
  <si>
    <t>CLT0213</t>
  </si>
  <si>
    <t>TRANSPORT AL MASSAR</t>
  </si>
  <si>
    <t>CLT0078</t>
  </si>
  <si>
    <t>TRANSPORT ALMOU DARAA</t>
  </si>
  <si>
    <t>CLT0032</t>
  </si>
  <si>
    <t>TRANSPORT BOLON</t>
  </si>
  <si>
    <t>CLT0299</t>
  </si>
  <si>
    <t>TRANSPORT BOUGHALEB</t>
  </si>
  <si>
    <t>CLT0020</t>
  </si>
  <si>
    <t>TRANSPORT CALMI</t>
  </si>
  <si>
    <t>CLT0070</t>
  </si>
  <si>
    <t>TRANSPORT CARB</t>
  </si>
  <si>
    <t>CLT0582</t>
  </si>
  <si>
    <t>TRANSPORT -CHD</t>
  </si>
  <si>
    <t>CLT0479</t>
  </si>
  <si>
    <t>TRANSPORT CHERAZ</t>
  </si>
  <si>
    <t>CLT0230</t>
  </si>
  <si>
    <t>TRANSPORT CHOUAIB</t>
  </si>
  <si>
    <t>CLT0146</t>
  </si>
  <si>
    <t>TRANSPORT EL FIGUIGUI</t>
  </si>
  <si>
    <t>CLT0116</t>
  </si>
  <si>
    <t>TRANSPORT ESSAID</t>
  </si>
  <si>
    <t>CLT0346</t>
  </si>
  <si>
    <t>TRANSPORT FADINA</t>
  </si>
  <si>
    <t>CLT0088</t>
  </si>
  <si>
    <t>TRANSPORT HACHIMI</t>
  </si>
  <si>
    <t>CLT0343</t>
  </si>
  <si>
    <t>TRANSPORT HACHIMI ABDELLAH</t>
  </si>
  <si>
    <t>CLT0100</t>
  </si>
  <si>
    <t>TRANSPORT HAMMA</t>
  </si>
  <si>
    <t>CLT0243</t>
  </si>
  <si>
    <t>TRANSPORT KAIDI</t>
  </si>
  <si>
    <t>CLT0227</t>
  </si>
  <si>
    <t>TRANSPORT LAGHZALA</t>
  </si>
  <si>
    <t>CLT0358</t>
  </si>
  <si>
    <t>TRANSPORT LOGISTIQUE ET MECANIQUE</t>
  </si>
  <si>
    <t>CLT0394</t>
  </si>
  <si>
    <t>TRANSPORT NADORIF</t>
  </si>
  <si>
    <t>CLT0387</t>
  </si>
  <si>
    <t>TRANSPORT OUHADDOU</t>
  </si>
  <si>
    <t>CLT0336</t>
  </si>
  <si>
    <t>TRANSPORT RAPIDE SAADANE</t>
  </si>
  <si>
    <t>CLT0229</t>
  </si>
  <si>
    <t>TRANSPORT REDA</t>
  </si>
  <si>
    <t>CLT0211</t>
  </si>
  <si>
    <t>TRANSPORT SABHI</t>
  </si>
  <si>
    <t>CLT0149</t>
  </si>
  <si>
    <t>TRANSPORT SATI MAROC</t>
  </si>
  <si>
    <t>CLT0244</t>
  </si>
  <si>
    <t>TRANSPORT TALHAOUI</t>
  </si>
  <si>
    <t>CLT0145</t>
  </si>
  <si>
    <t>TRANSPORT ZENAGA</t>
  </si>
  <si>
    <t>CLT0564</t>
  </si>
  <si>
    <t>CLT0320</t>
  </si>
  <si>
    <t>TRANSPORTS NAJEDDINE</t>
  </si>
  <si>
    <t>CLS1071</t>
  </si>
  <si>
    <t>TRANSRIF</t>
  </si>
  <si>
    <t>CLT0306</t>
  </si>
  <si>
    <t>TRANSUR</t>
  </si>
  <si>
    <t>CLS0647</t>
  </si>
  <si>
    <t>CLT0352</t>
  </si>
  <si>
    <t>TRANSWIN</t>
  </si>
  <si>
    <t>CLS0227</t>
  </si>
  <si>
    <t>TRAV GEC</t>
  </si>
  <si>
    <t>CLS0086</t>
  </si>
  <si>
    <t>TRAVEMAT SARL</t>
  </si>
  <si>
    <t>CLR0640</t>
  </si>
  <si>
    <t>PNEUMATIQUE EL MAJD</t>
  </si>
  <si>
    <t>CLT0060</t>
  </si>
  <si>
    <t>TRS CARGO ATLANTIC</t>
  </si>
  <si>
    <t>CLT0272</t>
  </si>
  <si>
    <t>TRS EL JOUMANI SIDI GHAÏTI</t>
  </si>
  <si>
    <t>CLT0043</t>
  </si>
  <si>
    <t>TRS FETTACH</t>
  </si>
  <si>
    <t>CLT0226</t>
  </si>
  <si>
    <t>TRS HOUAR SARL</t>
  </si>
  <si>
    <t>CLT0001</t>
  </si>
  <si>
    <t>TRS MIDAN</t>
  </si>
  <si>
    <t>CLT0233</t>
  </si>
  <si>
    <t>TRS OUBELLA</t>
  </si>
  <si>
    <t>CLT0228</t>
  </si>
  <si>
    <t>TRS RIMA</t>
  </si>
  <si>
    <t>CLS0709</t>
  </si>
  <si>
    <t>TURBO AUTO CENTRE</t>
  </si>
  <si>
    <t>CLS1048</t>
  </si>
  <si>
    <t>TURC CAR</t>
  </si>
  <si>
    <t>CLT0258</t>
  </si>
  <si>
    <t>TURKI CAR</t>
  </si>
  <si>
    <t>CLT0574</t>
  </si>
  <si>
    <t>TWIN ATLAS LOGISTICS</t>
  </si>
  <si>
    <t>CLT0427</t>
  </si>
  <si>
    <t>TWINTY TRANS</t>
  </si>
  <si>
    <t>CLT0215</t>
  </si>
  <si>
    <t>TWIST TRANS</t>
  </si>
  <si>
    <t>CLT0359</t>
  </si>
  <si>
    <t>CLS1211</t>
  </si>
  <si>
    <t>TWISTER TRANS</t>
  </si>
  <si>
    <t>CLS0201</t>
  </si>
  <si>
    <t>TWO ONE CLOTHING</t>
  </si>
  <si>
    <t>CLS1027</t>
  </si>
  <si>
    <t>TYAJ CAR</t>
  </si>
  <si>
    <t>CLS0134</t>
  </si>
  <si>
    <t>ULTRA BENNE  SARL</t>
  </si>
  <si>
    <t>CLT0202</t>
  </si>
  <si>
    <t>ULTRA GLOBAL BUSINESS</t>
  </si>
  <si>
    <t>CLS1419</t>
  </si>
  <si>
    <t>UMA VOLAILLES</t>
  </si>
  <si>
    <t>CLR0641</t>
  </si>
  <si>
    <t>STE GOCAR EL FATH</t>
  </si>
  <si>
    <t>CLR0642</t>
  </si>
  <si>
    <t>ROADY PETROLEUM</t>
  </si>
  <si>
    <t>CLS0732</t>
  </si>
  <si>
    <t>UNION CHARIOT</t>
  </si>
  <si>
    <t>CLT0271</t>
  </si>
  <si>
    <t>UNION TRANS ES-SAADA</t>
  </si>
  <si>
    <t>CLS0551</t>
  </si>
  <si>
    <t>UNIVERS ACIER</t>
  </si>
  <si>
    <t>CLT0409</t>
  </si>
  <si>
    <t>UNIVERS BUS</t>
  </si>
  <si>
    <t>CLS0797</t>
  </si>
  <si>
    <t>UNIVERS MOTORS EUROPE</t>
  </si>
  <si>
    <t>CLR0643</t>
  </si>
  <si>
    <t>INTERIEUR CHIC WA ASSIL</t>
  </si>
  <si>
    <t>CLS1438</t>
  </si>
  <si>
    <t>UNIVERS SERRE</t>
  </si>
  <si>
    <t>CLT0126</t>
  </si>
  <si>
    <t>UTILCAR</t>
  </si>
  <si>
    <t>CLS0192</t>
  </si>
  <si>
    <t>V I A S</t>
  </si>
  <si>
    <t>CLS0163</t>
  </si>
  <si>
    <t>V M S</t>
  </si>
  <si>
    <t>CLS0294</t>
  </si>
  <si>
    <t>VALERIA BETON</t>
  </si>
  <si>
    <t>CLS1428</t>
  </si>
  <si>
    <t>VASCOLUB</t>
  </si>
  <si>
    <t>CLS1037</t>
  </si>
  <si>
    <t>VCR SODALMU</t>
  </si>
  <si>
    <t>CLT0587</t>
  </si>
  <si>
    <t>VECTALIA SAFI SA</t>
  </si>
  <si>
    <t>CLS0591</t>
  </si>
  <si>
    <t>VEMAIR</t>
  </si>
  <si>
    <t>CLS0768</t>
  </si>
  <si>
    <t>VICTORIAM</t>
  </si>
  <si>
    <t>CLS0987</t>
  </si>
  <si>
    <t>VISION INFRA</t>
  </si>
  <si>
    <t>CLT0344</t>
  </si>
  <si>
    <t>VISION TRANS</t>
  </si>
  <si>
    <t>CLR0644</t>
  </si>
  <si>
    <t>TISSIR TIRE</t>
  </si>
  <si>
    <t>CLS0011</t>
  </si>
  <si>
    <t>VITAL FER</t>
  </si>
  <si>
    <t>CLT0046</t>
  </si>
  <si>
    <t>VOYAGES I.A.M.</t>
  </si>
  <si>
    <t>CLS1227</t>
  </si>
  <si>
    <t>VULCABRAT TOP</t>
  </si>
  <si>
    <t>CLR0645</t>
  </si>
  <si>
    <t>CASA PIECES REMORQUE</t>
  </si>
  <si>
    <t>CLS1226</t>
  </si>
  <si>
    <t>VULCAPRO</t>
  </si>
  <si>
    <t>CLT0030</t>
  </si>
  <si>
    <t>W.K.T</t>
  </si>
  <si>
    <t>CLS0302</t>
  </si>
  <si>
    <t>WAFALLD</t>
  </si>
  <si>
    <t>CLT0293</t>
  </si>
  <si>
    <t>WAIH MOHAMMED</t>
  </si>
  <si>
    <t>CLT0381</t>
  </si>
  <si>
    <t>WAQT</t>
  </si>
  <si>
    <t>CLS0264</t>
  </si>
  <si>
    <t>WEB TOUR</t>
  </si>
  <si>
    <t>CLS1134</t>
  </si>
  <si>
    <t>WISSLAM TRANS TOUR</t>
  </si>
  <si>
    <t>CLT0370</t>
  </si>
  <si>
    <t>WITRANS</t>
  </si>
  <si>
    <t>CLT0095</t>
  </si>
  <si>
    <t>WORLD TRANSPORT</t>
  </si>
  <si>
    <t>CLS0663</t>
  </si>
  <si>
    <t>WORLD TRAVAUX</t>
  </si>
  <si>
    <t>CLR0646</t>
  </si>
  <si>
    <t>AL JAOUDA PARTS</t>
  </si>
  <si>
    <t>CLS0736</t>
  </si>
  <si>
    <t>YAPI MERKEZI MAROC SARL</t>
  </si>
  <si>
    <t>CLR0647</t>
  </si>
  <si>
    <t>PETROTEL</t>
  </si>
  <si>
    <t>CLS0473</t>
  </si>
  <si>
    <t>YOMAR SA</t>
  </si>
  <si>
    <t>CLS1095</t>
  </si>
  <si>
    <t>YOUFTEN B.T.P</t>
  </si>
  <si>
    <t>CLS0148</t>
  </si>
  <si>
    <t>ZAGORA BUILDING</t>
  </si>
  <si>
    <t>CLS0188</t>
  </si>
  <si>
    <t>ZAHI GLACE</t>
  </si>
  <si>
    <t>CLS0123</t>
  </si>
  <si>
    <t>ZAHID ZAKARIA</t>
  </si>
  <si>
    <t>CLR0648</t>
  </si>
  <si>
    <t>SOCIETE SANAS AUTO</t>
  </si>
  <si>
    <t>CLR0649</t>
  </si>
  <si>
    <t>ABOUDI D'IMPORTATION</t>
  </si>
  <si>
    <t>CLR333</t>
  </si>
  <si>
    <t>MON PNEU</t>
  </si>
  <si>
    <t>CLS0445</t>
  </si>
  <si>
    <t>ZATIMEX</t>
  </si>
  <si>
    <t>CLT0004</t>
  </si>
  <si>
    <t>ZEGHARI ABDELKADER</t>
  </si>
  <si>
    <t>CLT0319</t>
  </si>
  <si>
    <t>ZEN LOGISTICS</t>
  </si>
  <si>
    <t>CLS0484</t>
  </si>
  <si>
    <t>ZENATA FOOD</t>
  </si>
  <si>
    <t>CLR334</t>
  </si>
  <si>
    <t>STE AUTO MECANIQUE IBN ROCHD</t>
  </si>
  <si>
    <t>CLS0455</t>
  </si>
  <si>
    <t>ZENITH TEX</t>
  </si>
  <si>
    <t>CLS0366</t>
  </si>
  <si>
    <t>ZGOUNDER MILLENIUM  S.MINING</t>
  </si>
  <si>
    <t>TALIOUINE</t>
  </si>
  <si>
    <t>CLS0688</t>
  </si>
  <si>
    <t>ZINE CEREALES</t>
  </si>
  <si>
    <t>CLR335</t>
  </si>
  <si>
    <t>STE RAYANE PNEU</t>
  </si>
  <si>
    <t>CLS1047</t>
  </si>
  <si>
    <t>ZINIT CAR</t>
  </si>
  <si>
    <t>CLS0014</t>
  </si>
  <si>
    <t>Z-MECANIQUE</t>
  </si>
  <si>
    <t>CLS1079</t>
  </si>
  <si>
    <t>ZONE CARS</t>
  </si>
  <si>
    <t>CLS0233</t>
  </si>
  <si>
    <t>ZOUGAGH MED &amp; FRERES</t>
  </si>
  <si>
    <t>CLS0262</t>
  </si>
  <si>
    <t>ZUMAHA</t>
  </si>
  <si>
    <t>Divers</t>
  </si>
  <si>
    <t>04-04-2021</t>
  </si>
  <si>
    <t>07-03-2021</t>
  </si>
  <si>
    <t>VOLVO</t>
  </si>
  <si>
    <t>Ahmad</t>
  </si>
  <si>
    <t>0661616161</t>
  </si>
  <si>
    <t>1D122333</t>
  </si>
  <si>
    <t>A</t>
  </si>
  <si>
    <t>100B6</t>
  </si>
  <si>
    <t>07-04-2021</t>
  </si>
  <si>
    <t>100B8</t>
  </si>
  <si>
    <t>100B10</t>
  </si>
  <si>
    <t>AVD</t>
  </si>
  <si>
    <t>ARGI</t>
  </si>
  <si>
    <t>DATE</t>
  </si>
  <si>
    <t>Client</t>
  </si>
  <si>
    <t>Imm</t>
  </si>
  <si>
    <t>100B11</t>
  </si>
  <si>
    <t>16-08-2020</t>
  </si>
  <si>
    <t>BFGOODRICH</t>
  </si>
  <si>
    <t xml:space="preserve">PIRELLI   </t>
  </si>
  <si>
    <t>GENERAL TIRE</t>
  </si>
  <si>
    <t>SAILUN</t>
  </si>
  <si>
    <t>TEGRYS</t>
  </si>
  <si>
    <t>AGATE</t>
  </si>
  <si>
    <t>GOODRIDE</t>
  </si>
  <si>
    <t>TAURUS</t>
  </si>
  <si>
    <t>TIGAR</t>
  </si>
  <si>
    <t>MIRAGE</t>
  </si>
  <si>
    <t>FALKEN</t>
  </si>
  <si>
    <t>AMINE</t>
  </si>
  <si>
    <t xml:space="preserve">FORMULA </t>
  </si>
  <si>
    <t>ANNAITE</t>
  </si>
  <si>
    <t>TOLEDO</t>
  </si>
  <si>
    <t>APOLLO</t>
  </si>
  <si>
    <t>JKTIRE</t>
  </si>
  <si>
    <t>TYGRYS</t>
  </si>
  <si>
    <t xml:space="preserve">TORQUE </t>
  </si>
  <si>
    <t>PHAROS</t>
  </si>
  <si>
    <t>GREFORCE</t>
  </si>
  <si>
    <t>FIRESTONE</t>
  </si>
  <si>
    <t>PETLAS</t>
  </si>
  <si>
    <t>JINYU</t>
  </si>
  <si>
    <t xml:space="preserve">MATADOR </t>
  </si>
  <si>
    <t>TRAXMAX</t>
  </si>
  <si>
    <t>DAYTON</t>
  </si>
  <si>
    <t>FIREMAX</t>
  </si>
  <si>
    <t>HILO</t>
  </si>
  <si>
    <t>BARUM</t>
  </si>
  <si>
    <t>SESTANTE</t>
  </si>
  <si>
    <t>GOLDEN CROWN</t>
  </si>
  <si>
    <t>HIFLY</t>
  </si>
  <si>
    <t>ZETA</t>
  </si>
  <si>
    <t>INDFORCE</t>
  </si>
  <si>
    <t>DOUBLESTAR</t>
  </si>
  <si>
    <t>ERAKLE</t>
  </si>
  <si>
    <t>DURATURN</t>
  </si>
  <si>
    <t>ZELTE</t>
  </si>
  <si>
    <t>LONGMARCHE</t>
  </si>
  <si>
    <t>DIAMONDBACK</t>
  </si>
  <si>
    <t>AMERSTONE</t>
  </si>
  <si>
    <t>RECHAPPE</t>
  </si>
  <si>
    <t>AH31</t>
  </si>
  <si>
    <t>R152</t>
  </si>
  <si>
    <t>X LINE Z</t>
  </si>
  <si>
    <t>XZ</t>
  </si>
  <si>
    <t>RST001</t>
  </si>
  <si>
    <t>X MULTI T</t>
  </si>
  <si>
    <t>X MULTI Z</t>
  </si>
  <si>
    <t>ADDAX RA</t>
  </si>
  <si>
    <t>ECOCONTROLE</t>
  </si>
  <si>
    <t>RST002</t>
  </si>
  <si>
    <t>RT002</t>
  </si>
  <si>
    <t>S629</t>
  </si>
  <si>
    <t>TE48</t>
  </si>
  <si>
    <t>HF121</t>
  </si>
  <si>
    <t>ROUTE S</t>
  </si>
  <si>
    <t>STEER</t>
  </si>
  <si>
    <t>K MAX S</t>
  </si>
  <si>
    <t>KSM</t>
  </si>
  <si>
    <t>ER70-D</t>
  </si>
  <si>
    <t>X LINE S</t>
  </si>
  <si>
    <t>AVANT 4</t>
  </si>
  <si>
    <t>X MULTI F</t>
  </si>
  <si>
    <t>R248</t>
  </si>
  <si>
    <t>KMAX S</t>
  </si>
  <si>
    <t>RX128</t>
  </si>
  <si>
    <t>ER70-S</t>
  </si>
  <si>
    <t>AH32</t>
  </si>
  <si>
    <t>RUNNER</t>
  </si>
  <si>
    <t>RIB184</t>
  </si>
  <si>
    <t>R294</t>
  </si>
  <si>
    <t>AGILIS S</t>
  </si>
  <si>
    <t>XZ ALL</t>
  </si>
  <si>
    <t>FH:01</t>
  </si>
  <si>
    <t>XENERGY</t>
  </si>
  <si>
    <t>R-STEER</t>
  </si>
  <si>
    <t>V-STEEL RIB 187</t>
  </si>
  <si>
    <t>AL10+</t>
  </si>
  <si>
    <t>TQ022</t>
  </si>
  <si>
    <t>CROSSCONTROL</t>
  </si>
  <si>
    <t>R164</t>
  </si>
  <si>
    <t>AH22</t>
  </si>
  <si>
    <t>HSR2ED+</t>
  </si>
  <si>
    <t>E CUBE MAX</t>
  </si>
  <si>
    <t>M718</t>
  </si>
  <si>
    <t>KMAX D</t>
  </si>
  <si>
    <t>M729</t>
  </si>
  <si>
    <t>DH31</t>
  </si>
  <si>
    <t>DRIVE</t>
  </si>
  <si>
    <t>DHR4</t>
  </si>
  <si>
    <t>XD ALL</t>
  </si>
  <si>
    <t>HDR2ED+</t>
  </si>
  <si>
    <t>ADDAX RD</t>
  </si>
  <si>
    <t>X MULTI D</t>
  </si>
  <si>
    <t>RDV002</t>
  </si>
  <si>
    <t>M788</t>
  </si>
  <si>
    <t>GR678</t>
  </si>
  <si>
    <t>WD2020</t>
  </si>
  <si>
    <t>FS422</t>
  </si>
  <si>
    <t>MG121</t>
  </si>
  <si>
    <t>ECOFORCE2</t>
  </si>
  <si>
    <t>ROUTE D</t>
  </si>
  <si>
    <t>HD3</t>
  </si>
  <si>
    <t>J0555</t>
  </si>
  <si>
    <t>SP246</t>
  </si>
  <si>
    <t>M798</t>
  </si>
  <si>
    <t>RDV001</t>
  </si>
  <si>
    <t>AT115</t>
  </si>
  <si>
    <t>XZA</t>
  </si>
  <si>
    <t>KDM</t>
  </si>
  <si>
    <t>L355</t>
  </si>
  <si>
    <t>AGILIS D</t>
  </si>
  <si>
    <t>OISIS</t>
  </si>
  <si>
    <t>RUNNER D2</t>
  </si>
  <si>
    <t>HD2ED+</t>
  </si>
  <si>
    <t>KMM</t>
  </si>
  <si>
    <t>HSR1ED</t>
  </si>
  <si>
    <t>POWER ROAD D</t>
  </si>
  <si>
    <t>TQ628</t>
  </si>
  <si>
    <t>TH:01</t>
  </si>
  <si>
    <t>D600D</t>
  </si>
  <si>
    <t>FR622</t>
  </si>
  <si>
    <t>RIB 187</t>
  </si>
  <si>
    <t>X MULTI 3D</t>
  </si>
  <si>
    <t>RIB 294</t>
  </si>
  <si>
    <t>TR668</t>
  </si>
  <si>
    <t>ON OFF</t>
  </si>
  <si>
    <t>ROAD POWER</t>
  </si>
  <si>
    <t>BF200</t>
  </si>
  <si>
    <t>ON OFF STEER</t>
  </si>
  <si>
    <t>TR686</t>
  </si>
  <si>
    <t>SH100</t>
  </si>
  <si>
    <t>808W</t>
  </si>
  <si>
    <t>RHS</t>
  </si>
  <si>
    <t>TQ121</t>
  </si>
  <si>
    <t>PUNNER E2</t>
  </si>
  <si>
    <t>AT161</t>
  </si>
  <si>
    <t>HH308</t>
  </si>
  <si>
    <t>CARTAGO</t>
  </si>
  <si>
    <t>AL10</t>
  </si>
  <si>
    <t>DR909</t>
  </si>
  <si>
    <t>ECOCONTROLE 2</t>
  </si>
  <si>
    <t>TG88</t>
  </si>
  <si>
    <t>XTE</t>
  </si>
  <si>
    <t>SST01</t>
  </si>
  <si>
    <t>VARIOCONTROLE</t>
  </si>
  <si>
    <t>TRAILER</t>
  </si>
  <si>
    <t>X MULTI FRT</t>
  </si>
  <si>
    <t>KMAXT</t>
  </si>
  <si>
    <t>LW808W</t>
  </si>
  <si>
    <t>DSR266</t>
  </si>
  <si>
    <t>TR666</t>
  </si>
  <si>
    <t>XMULTI WAY 3D</t>
  </si>
  <si>
    <t>ER80-S</t>
  </si>
  <si>
    <t>Y209</t>
  </si>
  <si>
    <t>CR976A</t>
  </si>
  <si>
    <t>XTA2+</t>
  </si>
  <si>
    <t>FR:25</t>
  </si>
  <si>
    <t>HTR</t>
  </si>
  <si>
    <t>D800M</t>
  </si>
  <si>
    <t>LM216</t>
  </si>
  <si>
    <t>DR502</t>
  </si>
  <si>
    <t>V STEEL RIB 184</t>
  </si>
  <si>
    <t>ROUTE</t>
  </si>
  <si>
    <t>ECOCONTROL 2+</t>
  </si>
  <si>
    <t>TR656</t>
  </si>
  <si>
    <t>XD</t>
  </si>
  <si>
    <t>TH:24</t>
  </si>
  <si>
    <t>TG:01</t>
  </si>
  <si>
    <t>FG:88</t>
  </si>
  <si>
    <t>FG:01</t>
  </si>
  <si>
    <t>FH:55</t>
  </si>
  <si>
    <t>FH:R4</t>
  </si>
  <si>
    <t>FM:80</t>
  </si>
  <si>
    <t>FR:01</t>
  </si>
  <si>
    <t>TL:10</t>
  </si>
  <si>
    <t>AGILIS X</t>
  </si>
  <si>
    <t>Date :</t>
  </si>
  <si>
    <t xml:space="preserve">Série </t>
  </si>
  <si>
    <t xml:space="preserve">Profil </t>
  </si>
  <si>
    <t xml:space="preserve">Profondeur </t>
  </si>
  <si>
    <t xml:space="preserve">Marque de véhicule : </t>
  </si>
  <si>
    <t xml:space="preserve">ON-OFF : </t>
  </si>
  <si>
    <t xml:space="preserve">IMM-N pTRc : </t>
  </si>
  <si>
    <t xml:space="preserve">Compteur : </t>
  </si>
  <si>
    <t xml:space="preserve">Avant intervention </t>
  </si>
  <si>
    <t xml:space="preserve">Après intervention </t>
  </si>
  <si>
    <t>Test</t>
  </si>
  <si>
    <t>06-10-2021</t>
  </si>
  <si>
    <t>019-010</t>
  </si>
  <si>
    <t>grgrgrgr</t>
  </si>
  <si>
    <t>rgrgrgr</t>
  </si>
  <si>
    <t>SP422</t>
  </si>
  <si>
    <t>PL LOGISTIQUE</t>
  </si>
  <si>
    <t>04-10-2021</t>
  </si>
  <si>
    <t>RENAULT</t>
  </si>
  <si>
    <t>72146-A-7</t>
  </si>
  <si>
    <t>AYOUB OUJDDI</t>
  </si>
  <si>
    <t>0663579335</t>
  </si>
  <si>
    <t>SP320s</t>
  </si>
  <si>
    <t>9,1</t>
  </si>
  <si>
    <t>7,8</t>
  </si>
  <si>
    <t>7,1</t>
  </si>
  <si>
    <t>4,5</t>
  </si>
  <si>
    <t>DSR188</t>
  </si>
  <si>
    <t>5,6</t>
  </si>
  <si>
    <t>5,3</t>
  </si>
  <si>
    <t>MF</t>
  </si>
  <si>
    <t>6,3</t>
  </si>
  <si>
    <t>5,5</t>
  </si>
  <si>
    <t>4,8</t>
  </si>
  <si>
    <t>5,1</t>
  </si>
  <si>
    <t>AT27</t>
  </si>
  <si>
    <t>14,7</t>
  </si>
  <si>
    <t>14,5</t>
  </si>
  <si>
    <t>14,6</t>
  </si>
  <si>
    <t>14,8</t>
  </si>
  <si>
    <t>15,1</t>
  </si>
  <si>
    <t>14,4</t>
  </si>
  <si>
    <t>GG441037</t>
  </si>
  <si>
    <t>GG441247</t>
  </si>
  <si>
    <t>CHENGSHANG</t>
  </si>
  <si>
    <t>CGT209</t>
  </si>
  <si>
    <t>ARGE</t>
  </si>
  <si>
    <t>ARDI</t>
  </si>
  <si>
    <t>ARDE</t>
  </si>
  <si>
    <t>ES1GE</t>
  </si>
  <si>
    <t>ES1GI</t>
  </si>
  <si>
    <t>ES1DI</t>
  </si>
  <si>
    <t>ES1DE</t>
  </si>
  <si>
    <t>ES2GE</t>
  </si>
  <si>
    <t>ES2GI</t>
  </si>
  <si>
    <t>ES2DI</t>
  </si>
  <si>
    <t>ES2DE</t>
  </si>
  <si>
    <t>Old</t>
  </si>
  <si>
    <t>23-09-2021</t>
  </si>
  <si>
    <t>OMAIM TRANS</t>
  </si>
  <si>
    <t>SCANIA</t>
  </si>
  <si>
    <t>4365-A-36</t>
  </si>
  <si>
    <t>0678496036</t>
  </si>
  <si>
    <t>MUSTAPHA EDDAHRAOUI</t>
  </si>
  <si>
    <t>Annaite</t>
  </si>
  <si>
    <t>12,5</t>
  </si>
  <si>
    <t>12,1</t>
  </si>
  <si>
    <t>11,8</t>
  </si>
  <si>
    <t>AT68</t>
  </si>
  <si>
    <t>18,2</t>
  </si>
  <si>
    <t>MAN</t>
  </si>
  <si>
    <t>68997-A-7</t>
  </si>
  <si>
    <t>MAJID EL FALLAH</t>
  </si>
  <si>
    <t>0661044217</t>
  </si>
  <si>
    <t>GENERAL</t>
  </si>
  <si>
    <t>ADDAXRD</t>
  </si>
  <si>
    <t>13,5</t>
  </si>
  <si>
    <t>12,6</t>
  </si>
  <si>
    <t>11,9</t>
  </si>
  <si>
    <t>13,3</t>
  </si>
  <si>
    <t>UM442606</t>
  </si>
  <si>
    <t>UM441990</t>
  </si>
  <si>
    <t>7,9</t>
  </si>
  <si>
    <t>67343-A-7</t>
  </si>
  <si>
    <t>8,8</t>
  </si>
  <si>
    <t>9,9</t>
  </si>
  <si>
    <t>10,9</t>
  </si>
  <si>
    <t>10,3</t>
  </si>
  <si>
    <t>8,1</t>
  </si>
  <si>
    <t>6,8</t>
  </si>
  <si>
    <t>10,5</t>
  </si>
  <si>
    <t>10,1</t>
  </si>
  <si>
    <t>ES3GE</t>
  </si>
  <si>
    <t>ES3GI</t>
  </si>
  <si>
    <t>ES3DI</t>
  </si>
  <si>
    <t>ES3DE</t>
  </si>
  <si>
    <t>SARRAJ</t>
  </si>
  <si>
    <t>MITSUBICHI</t>
  </si>
  <si>
    <t>43127-A-11</t>
  </si>
  <si>
    <t>MOHAMED EL MYLY</t>
  </si>
  <si>
    <t>0662484915</t>
  </si>
  <si>
    <t>AGILIS</t>
  </si>
  <si>
    <t>H08</t>
  </si>
  <si>
    <t>DURAVIS R660</t>
  </si>
  <si>
    <t>4,7</t>
  </si>
  <si>
    <t>4,1</t>
  </si>
  <si>
    <t>4,4</t>
  </si>
  <si>
    <t>4,3</t>
  </si>
  <si>
    <t>1R85EWMFV2521</t>
  </si>
  <si>
    <t>SPVAN 01</t>
  </si>
  <si>
    <t>M&amp;B</t>
  </si>
  <si>
    <t>12529-D-6  3593-09</t>
  </si>
  <si>
    <t>LHOUSSAIN AIT MBAREK</t>
  </si>
  <si>
    <t>0622114660</t>
  </si>
  <si>
    <t>PIREELI</t>
  </si>
  <si>
    <t>FR01+</t>
  </si>
  <si>
    <t>TR01+</t>
  </si>
  <si>
    <t>9,8</t>
  </si>
  <si>
    <t>19,1</t>
  </si>
  <si>
    <t>18,9</t>
  </si>
  <si>
    <t>8,4</t>
  </si>
  <si>
    <t>FR25</t>
  </si>
  <si>
    <t>6,2</t>
  </si>
  <si>
    <t>6,7</t>
  </si>
  <si>
    <t>2,3</t>
  </si>
  <si>
    <t>2,7</t>
  </si>
  <si>
    <t>7,4</t>
  </si>
  <si>
    <t>24-09-2021</t>
  </si>
  <si>
    <t>38572-D-6</t>
  </si>
  <si>
    <t>KARIM ELHADDADY</t>
  </si>
  <si>
    <t>0698682999</t>
  </si>
  <si>
    <t>LHT305</t>
  </si>
  <si>
    <t>AT16</t>
  </si>
  <si>
    <t>TH22</t>
  </si>
  <si>
    <t>5,8</t>
  </si>
  <si>
    <t>7,7</t>
  </si>
  <si>
    <t>8,3</t>
  </si>
  <si>
    <t>6,1</t>
  </si>
  <si>
    <t>11,1</t>
  </si>
  <si>
    <t>MG022</t>
  </si>
  <si>
    <t>16,2</t>
  </si>
  <si>
    <t>2104ND130777</t>
  </si>
  <si>
    <t>2104ND130753</t>
  </si>
  <si>
    <t>20-10-2021</t>
  </si>
  <si>
    <t>GROUP MOJAZINE</t>
  </si>
  <si>
    <t xml:space="preserve">PORTEUR </t>
  </si>
  <si>
    <t>88371-A-72</t>
  </si>
  <si>
    <t>EL HAMDANI MOSTAPHA</t>
  </si>
  <si>
    <t>0610572190</t>
  </si>
  <si>
    <t>8,5</t>
  </si>
  <si>
    <t>9,4</t>
  </si>
  <si>
    <t>6,9</t>
  </si>
  <si>
    <t>9,3</t>
  </si>
  <si>
    <t>10,2</t>
  </si>
  <si>
    <t>11,3</t>
  </si>
  <si>
    <t>8,7</t>
  </si>
  <si>
    <t>7,6</t>
  </si>
  <si>
    <t>10,4</t>
  </si>
  <si>
    <t>8,1 bar</t>
  </si>
  <si>
    <t>8 bar</t>
  </si>
  <si>
    <t>8,2 bar</t>
  </si>
  <si>
    <t>7,9 bar</t>
  </si>
  <si>
    <t>2 bar</t>
  </si>
  <si>
    <t>8,3 bar</t>
  </si>
  <si>
    <t>8,2bar</t>
  </si>
  <si>
    <t>6 bar</t>
  </si>
  <si>
    <t>7,7 bar</t>
  </si>
  <si>
    <t>9 bar</t>
  </si>
  <si>
    <t xml:space="preserve"> 9 bar</t>
  </si>
  <si>
    <t>18-10-2021</t>
  </si>
  <si>
    <t>VV LOG</t>
  </si>
  <si>
    <t>MEECEDES</t>
  </si>
  <si>
    <t>HASSAN AIT HAMOU</t>
  </si>
  <si>
    <t>0662637328</t>
  </si>
  <si>
    <t>FUELMAX S</t>
  </si>
  <si>
    <t>2,5</t>
  </si>
  <si>
    <t>XMULTIWAY XD</t>
  </si>
  <si>
    <t>6,5</t>
  </si>
  <si>
    <t>KMAX T</t>
  </si>
  <si>
    <t>XLINE</t>
  </si>
  <si>
    <t>5,4</t>
  </si>
  <si>
    <t>5,7</t>
  </si>
  <si>
    <t>3,1</t>
  </si>
  <si>
    <t>ECOFORCE 2+</t>
  </si>
  <si>
    <t>CARGO 4</t>
  </si>
  <si>
    <t>255/75R22,5</t>
  </si>
  <si>
    <t>34379-B-72_8653-09</t>
  </si>
  <si>
    <t>AL20</t>
  </si>
  <si>
    <t>11,6</t>
  </si>
  <si>
    <t>EWF10165</t>
  </si>
  <si>
    <t>EWF10146</t>
  </si>
  <si>
    <t>21-10-2021</t>
  </si>
  <si>
    <t>6,6</t>
  </si>
  <si>
    <t>15,5</t>
  </si>
  <si>
    <t>16,3</t>
  </si>
  <si>
    <t>16,8</t>
  </si>
  <si>
    <t>16,6</t>
  </si>
  <si>
    <t>16,4</t>
  </si>
  <si>
    <t>16,9</t>
  </si>
  <si>
    <t>12/R22,5</t>
  </si>
  <si>
    <t>RIB 181</t>
  </si>
  <si>
    <t>7,2</t>
  </si>
  <si>
    <t>9,5</t>
  </si>
  <si>
    <t>9,7</t>
  </si>
  <si>
    <t>ZT443577</t>
  </si>
  <si>
    <t>ZT443453</t>
  </si>
  <si>
    <t>RENAUTL</t>
  </si>
  <si>
    <t>36158-E-6 _3418-09</t>
  </si>
  <si>
    <t>AHMED OUJJANI</t>
  </si>
  <si>
    <t>0668588228</t>
  </si>
  <si>
    <t>11870-A-58</t>
  </si>
  <si>
    <t>MOHAMMED ECHOUBY</t>
  </si>
  <si>
    <t>UM122429</t>
  </si>
  <si>
    <t>UM122260</t>
  </si>
  <si>
    <t>UM123078</t>
  </si>
  <si>
    <t>UM123088</t>
  </si>
  <si>
    <t>UM123085</t>
  </si>
  <si>
    <t>UM122425</t>
  </si>
  <si>
    <t>0643029205</t>
  </si>
  <si>
    <t>13,8</t>
  </si>
  <si>
    <t>7,3</t>
  </si>
  <si>
    <t>XLINE X</t>
  </si>
  <si>
    <t>TE48-S</t>
  </si>
  <si>
    <t>3,3</t>
  </si>
  <si>
    <t>CHENGSHAN</t>
  </si>
  <si>
    <t>CST209</t>
  </si>
  <si>
    <t>MG628</t>
  </si>
  <si>
    <t>19,4</t>
  </si>
  <si>
    <t>2107NF050628</t>
  </si>
  <si>
    <t>0707728864</t>
  </si>
  <si>
    <t>ELHOUCINE EL GARY</t>
  </si>
  <si>
    <t>44943-B-40_2082-10</t>
  </si>
  <si>
    <t>IVECO</t>
  </si>
  <si>
    <t>22-10-2021</t>
  </si>
  <si>
    <t>23-10-2021</t>
  </si>
  <si>
    <t>36753-A-14_1819-010</t>
  </si>
  <si>
    <t>EL MOSTAFA ANHALI</t>
  </si>
  <si>
    <t>0661499751</t>
  </si>
  <si>
    <t>13,4</t>
  </si>
  <si>
    <t>13,2</t>
  </si>
  <si>
    <t>TE48D</t>
  </si>
  <si>
    <t>ST718</t>
  </si>
  <si>
    <t>AT115A</t>
  </si>
  <si>
    <t>14,9</t>
  </si>
  <si>
    <t>12,7</t>
  </si>
  <si>
    <t>13,6</t>
  </si>
  <si>
    <t>12,8</t>
  </si>
  <si>
    <t>POWERTRAC</t>
  </si>
  <si>
    <t>TRACPRO</t>
  </si>
  <si>
    <t>11,4</t>
  </si>
  <si>
    <t>MITAGE</t>
  </si>
  <si>
    <t>2104NA020063</t>
  </si>
  <si>
    <t>2104NA020036</t>
  </si>
  <si>
    <t>2104NA020062</t>
  </si>
  <si>
    <t>2104NA020082</t>
  </si>
  <si>
    <t>25-10-2021</t>
  </si>
  <si>
    <t>43212-A-55_3584-010</t>
  </si>
  <si>
    <t>EL HOUCINE KASSI</t>
  </si>
  <si>
    <t>0666555523</t>
  </si>
  <si>
    <t>13,9</t>
  </si>
  <si>
    <t>13,7</t>
  </si>
  <si>
    <t>7,5</t>
  </si>
  <si>
    <t>5,9</t>
  </si>
  <si>
    <t>3,5</t>
  </si>
  <si>
    <t>2,1</t>
  </si>
  <si>
    <t>UM440557</t>
  </si>
  <si>
    <t>UM440376</t>
  </si>
  <si>
    <t>27-10-2021</t>
  </si>
  <si>
    <t>93816-A-7_1881-010</t>
  </si>
  <si>
    <t>ABDEL MAJID EL AYADI</t>
  </si>
  <si>
    <t>0606067831</t>
  </si>
  <si>
    <t>14,3</t>
  </si>
  <si>
    <t>AT209</t>
  </si>
  <si>
    <t>FT522</t>
  </si>
  <si>
    <t>8,2</t>
  </si>
  <si>
    <t>12,3</t>
  </si>
  <si>
    <t>DOUBLSTAR</t>
  </si>
  <si>
    <t>DSR118</t>
  </si>
  <si>
    <t>SIJIL MASSA</t>
  </si>
  <si>
    <t>12186-D-6</t>
  </si>
  <si>
    <t>ADIL AIT BASSOI</t>
  </si>
  <si>
    <t>0662891217</t>
  </si>
  <si>
    <t>18,8</t>
  </si>
  <si>
    <t>19,3</t>
  </si>
  <si>
    <t>17,6</t>
  </si>
  <si>
    <t>18,1</t>
  </si>
  <si>
    <t>GG442002</t>
  </si>
  <si>
    <t>GG442351</t>
  </si>
  <si>
    <t>66778-A-7</t>
  </si>
  <si>
    <t>REDOUANE ZERYAT</t>
  </si>
  <si>
    <t>0661324778</t>
  </si>
  <si>
    <t>5,2</t>
  </si>
  <si>
    <t>XZA2ENERGY</t>
  </si>
  <si>
    <t>XDA2+ENERGY</t>
  </si>
  <si>
    <t>14,2</t>
  </si>
  <si>
    <t>ECOCONTROL2+</t>
  </si>
  <si>
    <t>18,3</t>
  </si>
  <si>
    <t>34376-B-72</t>
  </si>
  <si>
    <t>ABDERRAZAQ BELARBI</t>
  </si>
  <si>
    <t>0672531744</t>
  </si>
  <si>
    <t>FUEL MAXS</t>
  </si>
  <si>
    <t>3,6</t>
  </si>
  <si>
    <t>GRIP MAXD</t>
  </si>
  <si>
    <t>21-09-2021</t>
  </si>
  <si>
    <t>25125-A-9_3665-03</t>
  </si>
  <si>
    <t>RACHID EL GHANMI</t>
  </si>
  <si>
    <t>0700150875</t>
  </si>
  <si>
    <t>28-10-2021</t>
  </si>
  <si>
    <t>ABDELLAH TAMIME</t>
  </si>
  <si>
    <t>TK BETON</t>
  </si>
  <si>
    <t>22003-E-6_2535-010</t>
  </si>
  <si>
    <t>0618421838</t>
  </si>
  <si>
    <t>UM443369</t>
  </si>
  <si>
    <t>UM442849</t>
  </si>
  <si>
    <t>UM442777</t>
  </si>
  <si>
    <t>UM442776</t>
  </si>
  <si>
    <t>96913-E-6</t>
  </si>
  <si>
    <t>EZZOUYN ABDELALI</t>
  </si>
  <si>
    <t>355/50R22,5</t>
  </si>
  <si>
    <t>10,6</t>
  </si>
  <si>
    <t>10,8</t>
  </si>
  <si>
    <t>10,7</t>
  </si>
  <si>
    <t>17,9</t>
  </si>
  <si>
    <t>17,4</t>
  </si>
  <si>
    <t>DAF</t>
  </si>
  <si>
    <t>76900-A-7</t>
  </si>
  <si>
    <t>NABIL REBBAH</t>
  </si>
  <si>
    <t>0672277259</t>
  </si>
  <si>
    <t>23,4</t>
  </si>
  <si>
    <t>UM412528</t>
  </si>
  <si>
    <t>UM413171</t>
  </si>
  <si>
    <t>UM412426</t>
  </si>
  <si>
    <t>UM412524</t>
  </si>
  <si>
    <t>25-09-2021</t>
  </si>
  <si>
    <t>84455-B-8_7991-09</t>
  </si>
  <si>
    <t>HAMZA ASRI</t>
  </si>
  <si>
    <t>0653351050</t>
  </si>
  <si>
    <t>SP320S</t>
  </si>
  <si>
    <t>UM412254</t>
  </si>
  <si>
    <t>UM412855</t>
  </si>
  <si>
    <t>UM412970</t>
  </si>
  <si>
    <t>UM412441</t>
  </si>
  <si>
    <t>52623-A-7</t>
  </si>
  <si>
    <t>HASSAN IRAOUI</t>
  </si>
  <si>
    <t>0679900002</t>
  </si>
  <si>
    <t>UM122440</t>
  </si>
  <si>
    <t>UM122442</t>
  </si>
  <si>
    <t>27-09-2021</t>
  </si>
  <si>
    <t>BEN LHOU</t>
  </si>
  <si>
    <t>FORD</t>
  </si>
  <si>
    <t>25269-A-9_3640-02</t>
  </si>
  <si>
    <t>HAFID OUAZZI</t>
  </si>
  <si>
    <t>0606628141</t>
  </si>
  <si>
    <t>BFGoodrich</t>
  </si>
  <si>
    <t>Route-control</t>
  </si>
  <si>
    <t>12,4</t>
  </si>
  <si>
    <t>13,1</t>
  </si>
  <si>
    <t>11,5</t>
  </si>
  <si>
    <t>UM443372</t>
  </si>
  <si>
    <t>UM443370</t>
  </si>
  <si>
    <t>UM443373</t>
  </si>
  <si>
    <t>MERCEDES</t>
  </si>
  <si>
    <t>42548-A-7_9013-03</t>
  </si>
  <si>
    <t>FARID LAHRCH</t>
  </si>
  <si>
    <t>0606486667</t>
  </si>
  <si>
    <t>14,1</t>
  </si>
  <si>
    <t>18,7</t>
  </si>
  <si>
    <t>17,5</t>
  </si>
  <si>
    <t>LHS II</t>
  </si>
  <si>
    <t>ISUZU</t>
  </si>
  <si>
    <t>8198-A-7</t>
  </si>
  <si>
    <t>SAMIR AASSILA</t>
  </si>
  <si>
    <t>0601091817</t>
  </si>
  <si>
    <t>COMETplus</t>
  </si>
  <si>
    <t>19944-A-13</t>
  </si>
  <si>
    <t>OMAR EL BAMLOULI</t>
  </si>
  <si>
    <t>0661200363</t>
  </si>
  <si>
    <t>RIB294</t>
  </si>
  <si>
    <t>6,4</t>
  </si>
  <si>
    <t>COMUTplus</t>
  </si>
  <si>
    <t>34378-B-72</t>
  </si>
  <si>
    <t>JAMAL BAAZAOUI</t>
  </si>
  <si>
    <t>0606780140</t>
  </si>
  <si>
    <t>GRIP MAX X</t>
  </si>
  <si>
    <t>4,9</t>
  </si>
  <si>
    <t>28-09-2021</t>
  </si>
  <si>
    <t>STCR</t>
  </si>
  <si>
    <t>HYUNDAI</t>
  </si>
  <si>
    <t>63685-A-13</t>
  </si>
  <si>
    <t>ISSAM HIDA</t>
  </si>
  <si>
    <t>0669974525</t>
  </si>
  <si>
    <t>235/65R16C</t>
  </si>
  <si>
    <t>SPVAN01</t>
  </si>
  <si>
    <t>1R8A7 7MFV 2321</t>
  </si>
  <si>
    <t xml:space="preserve">HIMATECH </t>
  </si>
  <si>
    <t>12102-A-51</t>
  </si>
  <si>
    <t>AHMED EL AIBOUD</t>
  </si>
  <si>
    <t>0662116085</t>
  </si>
  <si>
    <t>M131</t>
  </si>
  <si>
    <t>7,00R16</t>
  </si>
  <si>
    <t>N3WW4CV1417</t>
  </si>
  <si>
    <t>MISTER CONFORT</t>
  </si>
  <si>
    <t>HINO</t>
  </si>
  <si>
    <t>9027-H-6</t>
  </si>
  <si>
    <t>SAMIR AALLA</t>
  </si>
  <si>
    <t>0613444054</t>
  </si>
  <si>
    <t>9,6</t>
  </si>
  <si>
    <t>1R8F0 WMFV 2521</t>
  </si>
  <si>
    <t>76905-A-7</t>
  </si>
  <si>
    <t>ABDERRAZAQ EL KHALDY</t>
  </si>
  <si>
    <t>0672272761</t>
  </si>
  <si>
    <t>DUNLO</t>
  </si>
  <si>
    <t>ZT264759</t>
  </si>
  <si>
    <t>ZT264590</t>
  </si>
  <si>
    <t>ZT264506</t>
  </si>
  <si>
    <t>ZT264588</t>
  </si>
  <si>
    <t>GG443139</t>
  </si>
  <si>
    <t>GG443135</t>
  </si>
  <si>
    <t>48534-A-11</t>
  </si>
  <si>
    <t>ACHRAF EL MOURTAZAK</t>
  </si>
  <si>
    <t>11,2</t>
  </si>
  <si>
    <t>AH11</t>
  </si>
  <si>
    <t>GG151294</t>
  </si>
  <si>
    <t>96279-H-1</t>
  </si>
  <si>
    <t>LAHBIB EL FARKH</t>
  </si>
  <si>
    <t>0661508394</t>
  </si>
  <si>
    <t>29-09-2021</t>
  </si>
  <si>
    <t>TRANS  FADILA</t>
  </si>
  <si>
    <t>03-11-2021</t>
  </si>
  <si>
    <t>88362-A-7_3831-010</t>
  </si>
  <si>
    <t>MAHMOUD IBIRHICH</t>
  </si>
  <si>
    <t>0698018196</t>
  </si>
  <si>
    <t>ECOFORCE2+</t>
  </si>
  <si>
    <t>17,8</t>
  </si>
  <si>
    <t>M149</t>
  </si>
  <si>
    <t>N3VH 1HN1716</t>
  </si>
  <si>
    <t>N3VH 1HN1715</t>
  </si>
  <si>
    <t>52854-E-6</t>
  </si>
  <si>
    <t>FAHIM ABDELLATIF</t>
  </si>
  <si>
    <t>04-11-2021</t>
  </si>
  <si>
    <t>2161-E-6_3359-09</t>
  </si>
  <si>
    <t>YOUSSEF EL BOUREKE</t>
  </si>
  <si>
    <t>0614416369</t>
  </si>
  <si>
    <t>9,2</t>
  </si>
  <si>
    <t>UM412422</t>
  </si>
  <si>
    <t>UM412863</t>
  </si>
  <si>
    <t>UM412343</t>
  </si>
  <si>
    <t>UM413910</t>
  </si>
  <si>
    <t>08-11-2021</t>
  </si>
  <si>
    <t>90333-D-6_7111-09</t>
  </si>
  <si>
    <t>NOURDDINE DIB</t>
  </si>
  <si>
    <t>0668939086</t>
  </si>
  <si>
    <t>3,9</t>
  </si>
  <si>
    <t>TP422495</t>
  </si>
  <si>
    <t>TP422503</t>
  </si>
  <si>
    <t>TP422424</t>
  </si>
  <si>
    <t>TP422413</t>
  </si>
  <si>
    <t>TP422411</t>
  </si>
  <si>
    <t>09-11-2021</t>
  </si>
  <si>
    <t>93298-H-6_4324-09</t>
  </si>
  <si>
    <t>AZIZ OTMANE</t>
  </si>
  <si>
    <t>0687874640</t>
  </si>
  <si>
    <t>15,6</t>
  </si>
  <si>
    <t>XZ ALL Roads</t>
  </si>
  <si>
    <t>GG251984</t>
  </si>
  <si>
    <t>GG180836</t>
  </si>
  <si>
    <t>GG180867</t>
  </si>
  <si>
    <t>GG180868</t>
  </si>
  <si>
    <t>GG180833</t>
  </si>
  <si>
    <t>GG251702</t>
  </si>
  <si>
    <t>30-09-2021</t>
  </si>
  <si>
    <t>86477-A-7</t>
  </si>
  <si>
    <t>MOUSTAFID MOHAMMED</t>
  </si>
  <si>
    <t>0663022544</t>
  </si>
  <si>
    <t>NOUHA TRANS</t>
  </si>
  <si>
    <t>44579-D-6</t>
  </si>
  <si>
    <t>OMAR CHAHID</t>
  </si>
  <si>
    <t>0666267510</t>
  </si>
  <si>
    <t>RHT305</t>
  </si>
  <si>
    <t>16,1</t>
  </si>
  <si>
    <t>2104ND130775</t>
  </si>
  <si>
    <t>2104ND130734</t>
  </si>
  <si>
    <t>14754-B-7</t>
  </si>
  <si>
    <t>EL KESBI LAMACHI</t>
  </si>
  <si>
    <t>0660148489</t>
  </si>
  <si>
    <t>AGIL</t>
  </si>
  <si>
    <t>1R8YD 7MFV 2521</t>
  </si>
  <si>
    <t>16,5</t>
  </si>
  <si>
    <t>15,2</t>
  </si>
  <si>
    <t>10-11-2021</t>
  </si>
  <si>
    <t>5658-E-6_2424-010</t>
  </si>
  <si>
    <t>MOHAMED YOUSSEFI</t>
  </si>
  <si>
    <t>0661970196</t>
  </si>
  <si>
    <t>20,4</t>
  </si>
  <si>
    <t>19,5</t>
  </si>
  <si>
    <t>11,7</t>
  </si>
  <si>
    <t>8,6</t>
  </si>
  <si>
    <t>12,9</t>
  </si>
  <si>
    <t>TRASPORT TADLAOUI</t>
  </si>
  <si>
    <t>FUSO</t>
  </si>
  <si>
    <t>48571-E-6</t>
  </si>
  <si>
    <t>ABED AIT ALIOUBIH</t>
  </si>
  <si>
    <t>0662144029</t>
  </si>
  <si>
    <t>GG151100</t>
  </si>
  <si>
    <t>GG151094</t>
  </si>
  <si>
    <t>GG151379</t>
  </si>
  <si>
    <t>GG151180</t>
  </si>
  <si>
    <t>FIAT</t>
  </si>
  <si>
    <t>95810-A-7</t>
  </si>
  <si>
    <t>ACHAB KHALID</t>
  </si>
  <si>
    <t xml:space="preserve">CONTICONTACT </t>
  </si>
  <si>
    <t>225/75R16C</t>
  </si>
  <si>
    <t>AGILIS 3</t>
  </si>
  <si>
    <t>FKSH 02VX 1921</t>
  </si>
  <si>
    <t>01-10-2021</t>
  </si>
  <si>
    <t>99013-A-7</t>
  </si>
  <si>
    <t>IMAD EL HAOURANI</t>
  </si>
  <si>
    <t>0661936769</t>
  </si>
  <si>
    <t>CONTICONTACT</t>
  </si>
  <si>
    <t>225/75R116C</t>
  </si>
  <si>
    <t>4,6</t>
  </si>
  <si>
    <t>2,9</t>
  </si>
  <si>
    <t>FKJH 02VX 1921</t>
  </si>
  <si>
    <t>9178-A-13</t>
  </si>
  <si>
    <t>BRAHIM KAMEL</t>
  </si>
  <si>
    <t>0665870353</t>
  </si>
  <si>
    <t>SILENT</t>
  </si>
  <si>
    <t>12,2</t>
  </si>
  <si>
    <t>AT35s</t>
  </si>
  <si>
    <t>BOUGHALEB TRANSPORT</t>
  </si>
  <si>
    <t>40213-A-14</t>
  </si>
  <si>
    <t>0610011694</t>
  </si>
  <si>
    <t>SP120</t>
  </si>
  <si>
    <t>AVANT A3</t>
  </si>
  <si>
    <t>56982-A-7</t>
  </si>
  <si>
    <t>ABDERRAHIM EL BARKAOUI</t>
  </si>
  <si>
    <t>0672270082</t>
  </si>
  <si>
    <t>ZT264483</t>
  </si>
  <si>
    <t>ZT264487</t>
  </si>
  <si>
    <t>ZT264493</t>
  </si>
  <si>
    <t>ZT264398</t>
  </si>
  <si>
    <t>GG443334</t>
  </si>
  <si>
    <t>ZT443351</t>
  </si>
  <si>
    <t>47676-A-7</t>
  </si>
  <si>
    <t>MUSTAPHA FATHI</t>
  </si>
  <si>
    <t>0600019762</t>
  </si>
  <si>
    <t>LS97</t>
  </si>
  <si>
    <t>8,9</t>
  </si>
  <si>
    <t>GG093021</t>
  </si>
  <si>
    <t>GG093023</t>
  </si>
  <si>
    <t>GG092947</t>
  </si>
  <si>
    <t>GG092934</t>
  </si>
  <si>
    <t>COMMAN DOS</t>
  </si>
  <si>
    <t>92595-A-8</t>
  </si>
  <si>
    <t>JALIL HICHAM</t>
  </si>
  <si>
    <t>0661152572</t>
  </si>
  <si>
    <t>ZT264762</t>
  </si>
  <si>
    <t>ZT264761</t>
  </si>
  <si>
    <t>ZT264707</t>
  </si>
  <si>
    <t>ZT264587</t>
  </si>
  <si>
    <t>ZT443152</t>
  </si>
  <si>
    <t>GG443820</t>
  </si>
  <si>
    <t>14033-B-15</t>
  </si>
  <si>
    <t>ABDDERRAHIM HANIA</t>
  </si>
  <si>
    <t>4,2</t>
  </si>
  <si>
    <t>GG423032</t>
  </si>
  <si>
    <t>GG422739</t>
  </si>
  <si>
    <t>76903-A-7</t>
  </si>
  <si>
    <t>YASSINE EL BOUKHER</t>
  </si>
  <si>
    <t>21,8</t>
  </si>
  <si>
    <t>21,7</t>
  </si>
  <si>
    <t>21,3</t>
  </si>
  <si>
    <t>ZT443352</t>
  </si>
  <si>
    <t>ZT443165</t>
  </si>
  <si>
    <t>02-10-2021</t>
  </si>
  <si>
    <t>60794-A-7_5238-09</t>
  </si>
  <si>
    <t xml:space="preserve">RACHID SAABER </t>
  </si>
  <si>
    <t>0660790323</t>
  </si>
  <si>
    <t>05-10-2021</t>
  </si>
  <si>
    <t>96914-E-6_3881-010</t>
  </si>
  <si>
    <t>ABBES YOUHMAD</t>
  </si>
  <si>
    <t>0661841187</t>
  </si>
  <si>
    <t>96913-E-6_3879-010</t>
  </si>
  <si>
    <t>THR4</t>
  </si>
  <si>
    <t>ECOTONN</t>
  </si>
  <si>
    <t>18922-B-40</t>
  </si>
  <si>
    <t>MOHAMMED BENSAID</t>
  </si>
  <si>
    <t>0640731949</t>
  </si>
  <si>
    <t>TH01</t>
  </si>
  <si>
    <t>ECOCONTROL 2</t>
  </si>
  <si>
    <t>67102-D-6_6704-09</t>
  </si>
  <si>
    <t>LAHOUCINE LEMSKIN</t>
  </si>
  <si>
    <t>0638073390</t>
  </si>
  <si>
    <t>SAADANE</t>
  </si>
  <si>
    <t>35403-A-7</t>
  </si>
  <si>
    <t>0663383612</t>
  </si>
  <si>
    <t>BAND LHD II</t>
  </si>
  <si>
    <t>TRANS FADILA</t>
  </si>
  <si>
    <t xml:space="preserve">MAN </t>
  </si>
  <si>
    <t>96281-H-1</t>
  </si>
  <si>
    <t>LAHBIB</t>
  </si>
  <si>
    <t>GG422816</t>
  </si>
  <si>
    <t>GG422800</t>
  </si>
  <si>
    <t>14763-B-7</t>
  </si>
  <si>
    <t>CONTIVAN</t>
  </si>
  <si>
    <t>1R8YD7MFV 2521</t>
  </si>
  <si>
    <t>05-11-2021</t>
  </si>
  <si>
    <t>58512-A-7_6004-09</t>
  </si>
  <si>
    <t>MOHAMED EL HIMRI</t>
  </si>
  <si>
    <t>0661244818</t>
  </si>
  <si>
    <t>OHTSU</t>
  </si>
  <si>
    <t>RI128</t>
  </si>
  <si>
    <t>MM175125</t>
  </si>
  <si>
    <t>MM175124</t>
  </si>
  <si>
    <t>74892-H-6</t>
  </si>
  <si>
    <t>REGRAGUI LAKHBIB</t>
  </si>
  <si>
    <t>0662069008</t>
  </si>
  <si>
    <t>ZT264337</t>
  </si>
  <si>
    <t>ZT264595</t>
  </si>
  <si>
    <t>ZT264597</t>
  </si>
  <si>
    <t>ZT264488</t>
  </si>
  <si>
    <t>FS833</t>
  </si>
  <si>
    <t>UM440338</t>
  </si>
  <si>
    <t>UM440686</t>
  </si>
  <si>
    <t>UM412546</t>
  </si>
  <si>
    <t>UM412544</t>
  </si>
  <si>
    <t>UM412430</t>
  </si>
  <si>
    <t>UM412753</t>
  </si>
  <si>
    <t>NST</t>
  </si>
  <si>
    <t>66113-D-6_6065-09</t>
  </si>
  <si>
    <t>NON DISPONIBLE</t>
  </si>
  <si>
    <t>HICHAM SOUFFY</t>
  </si>
  <si>
    <t>0671559091</t>
  </si>
  <si>
    <t>MOHAMMED LAABOUBI</t>
  </si>
  <si>
    <t>0668791828</t>
  </si>
  <si>
    <t>UM440330</t>
  </si>
  <si>
    <t>UM440688</t>
  </si>
  <si>
    <t>07-10-2021</t>
  </si>
  <si>
    <t>4807-09</t>
  </si>
  <si>
    <t>DRISS LAKOUISMI</t>
  </si>
  <si>
    <t>0672272701</t>
  </si>
  <si>
    <t>8</t>
  </si>
  <si>
    <t>10</t>
  </si>
  <si>
    <t>TP422695</t>
  </si>
  <si>
    <t>TP422408</t>
  </si>
  <si>
    <t>TP422400</t>
  </si>
  <si>
    <t>TP422397</t>
  </si>
  <si>
    <t>XMULTI Z</t>
  </si>
  <si>
    <t>08-10-2021</t>
  </si>
  <si>
    <t>56415-A-11</t>
  </si>
  <si>
    <t>MAROUANE BANHNIK</t>
  </si>
  <si>
    <t>0625000166</t>
  </si>
  <si>
    <t>GG151073</t>
  </si>
  <si>
    <t>GG151572</t>
  </si>
  <si>
    <t>GG151518</t>
  </si>
  <si>
    <t>GG151564</t>
  </si>
  <si>
    <t>Réglage pression</t>
  </si>
  <si>
    <t>IMILCHIL</t>
  </si>
  <si>
    <t>91989-A-40</t>
  </si>
  <si>
    <t>MOHA BOUHAM</t>
  </si>
  <si>
    <t>0667943636</t>
  </si>
  <si>
    <t>GI307</t>
  </si>
  <si>
    <t>12</t>
  </si>
  <si>
    <t>R187</t>
  </si>
  <si>
    <t>FD833</t>
  </si>
  <si>
    <t>LI257</t>
  </si>
  <si>
    <t>7</t>
  </si>
  <si>
    <t>15</t>
  </si>
  <si>
    <t>1941302940</t>
  </si>
  <si>
    <t>03001664343</t>
  </si>
  <si>
    <t>18</t>
  </si>
  <si>
    <t>01003210134</t>
  </si>
  <si>
    <t>01003224858</t>
  </si>
  <si>
    <t>01003281653</t>
  </si>
  <si>
    <t>01003210162</t>
  </si>
  <si>
    <r>
      <rPr>
        <b/>
        <sz val="16"/>
        <color theme="1"/>
        <rFont val="Calibri"/>
        <family val="2"/>
        <scheme val="minor"/>
      </rPr>
      <t>Montage deux pneus neufs</t>
    </r>
    <r>
      <rPr>
        <b/>
        <sz val="16"/>
        <color rgb="FF00B050"/>
        <rFont val="Calibri"/>
        <family val="2"/>
        <scheme val="minor"/>
      </rPr>
      <t xml:space="preserve"> AUSTONE AT27 13R22,5</t>
    </r>
  </si>
  <si>
    <r>
      <rPr>
        <b/>
        <sz val="16"/>
        <color theme="1"/>
        <rFont val="Calibri"/>
        <family val="2"/>
        <scheme val="minor"/>
      </rPr>
      <t>Montage quatre pneus neufs</t>
    </r>
    <r>
      <rPr>
        <b/>
        <sz val="16"/>
        <color rgb="FF00B050"/>
        <rFont val="Calibri"/>
        <family val="2"/>
        <scheme val="minor"/>
      </rPr>
      <t xml:space="preserve"> AUSTONE AT68 13R22,5</t>
    </r>
  </si>
  <si>
    <t>Permutation deux pneus 2éme essieu moteur coté gauche vers 1ére essieu moteur coté droite</t>
  </si>
  <si>
    <t>Réglage parallélisme</t>
  </si>
  <si>
    <t>Travaux réalisés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</si>
</sst>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m/d/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28"/>
      <color rgb="FF0070C0"/>
      <name val="Bodoni MT Black"/>
      <family val="1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0"/>
      <name val="Arial Unicode MS"/>
      <family val="2"/>
    </font>
    <font>
      <sz val="8"/>
      <name val="Calibri"/>
      <family val="2"/>
      <scheme val="minor"/>
    </font>
    <font>
      <b/>
      <sz val="10"/>
      <color rgb="FFFFFF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8"/>
      <color rgb="FF00B050"/>
      <name val="Calibri"/>
      <family val="2"/>
      <scheme val="minor"/>
    </font>
    <font>
      <b/>
      <u/>
      <sz val="16"/>
      <color rgb="FF00B050"/>
      <name val="Calibri"/>
      <family val="2"/>
      <scheme val="minor"/>
    </font>
    <font>
      <b/>
      <u/>
      <sz val="18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7F19E"/>
        <bgColor indexed="64"/>
      </patternFill>
    </fill>
  </fills>
  <borders count="37">
    <border>
      <left/>
      <right/>
      <top/>
      <bottom/>
      <diagonal/>
    </border>
    <border>
      <left/>
      <right/>
      <top style="hair">
        <color rgb="FF0070C0"/>
      </top>
      <bottom style="hair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rgb="FF0070C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rgb="FF0070C0"/>
      </bottom>
      <diagonal/>
    </border>
    <border>
      <left style="thin">
        <color indexed="64"/>
      </left>
      <right/>
      <top style="hair">
        <color rgb="FF0070C0"/>
      </top>
      <bottom style="hair">
        <color rgb="FF0070C0"/>
      </bottom>
      <diagonal/>
    </border>
    <border>
      <left/>
      <right style="thin">
        <color indexed="64"/>
      </right>
      <top style="hair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rgb="FF0070C0"/>
      </top>
      <bottom style="thin">
        <color indexed="64"/>
      </bottom>
      <diagonal/>
    </border>
    <border>
      <left/>
      <right style="thin">
        <color indexed="64"/>
      </right>
      <top style="hair">
        <color rgb="FF0070C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thin">
        <color indexed="64"/>
      </left>
      <right/>
      <top style="hair">
        <color rgb="FF0070C0"/>
      </top>
      <bottom/>
      <diagonal/>
    </border>
    <border>
      <left/>
      <right/>
      <top style="hair">
        <color rgb="FF0070C0"/>
      </top>
      <bottom/>
      <diagonal/>
    </border>
    <border>
      <left/>
      <right style="thin">
        <color indexed="64"/>
      </right>
      <top style="hair">
        <color rgb="FF0070C0"/>
      </top>
      <bottom/>
      <diagonal/>
    </border>
    <border>
      <left/>
      <right style="thin">
        <color indexed="64"/>
      </right>
      <top/>
      <bottom style="hair">
        <color rgb="FF0070C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</borders>
  <cellStyleXfs count="2">
    <xf numFmtId="0" fontId="0" fillId="0" borderId="0"/>
    <xf numFmtId="164" fontId="8" fillId="0" borderId="0" applyFont="0" applyFill="0" applyBorder="0" applyProtection="0">
      <alignment horizontal="right" vertical="center"/>
    </xf>
  </cellStyleXfs>
  <cellXfs count="218">
    <xf numFmtId="0" fontId="0" fillId="0" borderId="0" xfId="0"/>
    <xf numFmtId="0" fontId="0" fillId="2" borderId="0" xfId="0" applyFill="1"/>
    <xf numFmtId="0" fontId="1" fillId="2" borderId="7" xfId="0" applyFont="1" applyFill="1" applyBorder="1" applyAlignment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0" fillId="2" borderId="12" xfId="0" applyFill="1" applyBorder="1" applyAlignment="1">
      <alignment horizontal="center" vertical="center"/>
    </xf>
    <xf numFmtId="0" fontId="4" fillId="2" borderId="11" xfId="0" applyFont="1" applyFill="1" applyBorder="1" applyAlignment="1">
      <alignment vertical="center"/>
    </xf>
    <xf numFmtId="0" fontId="0" fillId="2" borderId="4" xfId="0" applyFill="1" applyBorder="1"/>
    <xf numFmtId="0" fontId="0" fillId="2" borderId="3" xfId="0" applyFill="1" applyBorder="1"/>
    <xf numFmtId="0" fontId="4" fillId="2" borderId="11" xfId="0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5" borderId="0" xfId="0" applyFill="1"/>
    <xf numFmtId="0" fontId="0" fillId="0" borderId="15" xfId="0" applyBorder="1"/>
    <xf numFmtId="0" fontId="0" fillId="0" borderId="23" xfId="0" applyBorder="1"/>
    <xf numFmtId="0" fontId="0" fillId="0" borderId="20" xfId="0" applyBorder="1"/>
    <xf numFmtId="14" fontId="0" fillId="0" borderId="23" xfId="0" applyNumberForma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0" xfId="0" applyNumberFormat="1" applyBorder="1" applyAlignment="1">
      <alignment horizontal="center"/>
    </xf>
    <xf numFmtId="0" fontId="11" fillId="6" borderId="24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center" vertical="center"/>
    </xf>
    <xf numFmtId="0" fontId="11" fillId="6" borderId="26" xfId="0" applyFont="1" applyFill="1" applyBorder="1" applyAlignment="1">
      <alignment horizontal="center" vertical="center"/>
    </xf>
    <xf numFmtId="11" fontId="0" fillId="0" borderId="20" xfId="0" applyNumberFormat="1" applyBorder="1"/>
    <xf numFmtId="165" fontId="0" fillId="0" borderId="20" xfId="0" applyNumberFormat="1" applyBorder="1" applyAlignment="1">
      <alignment horizontal="center"/>
    </xf>
    <xf numFmtId="0" fontId="11" fillId="6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49" fontId="6" fillId="2" borderId="0" xfId="0" applyNumberFormat="1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14" xfId="0" applyFill="1" applyBorder="1"/>
    <xf numFmtId="0" fontId="0" fillId="2" borderId="15" xfId="0" applyFill="1" applyBorder="1"/>
    <xf numFmtId="0" fontId="0" fillId="7" borderId="11" xfId="0" applyFill="1" applyBorder="1"/>
    <xf numFmtId="0" fontId="0" fillId="7" borderId="0" xfId="0" applyFill="1" applyBorder="1"/>
    <xf numFmtId="0" fontId="0" fillId="7" borderId="0" xfId="0" applyFill="1"/>
    <xf numFmtId="0" fontId="0" fillId="7" borderId="12" xfId="0" applyFill="1" applyBorder="1"/>
    <xf numFmtId="0" fontId="2" fillId="7" borderId="11" xfId="0" applyFont="1" applyFill="1" applyBorder="1"/>
    <xf numFmtId="0" fontId="2" fillId="7" borderId="0" xfId="0" applyFont="1" applyFill="1"/>
    <xf numFmtId="0" fontId="2" fillId="7" borderId="11" xfId="0" applyFont="1" applyFill="1" applyBorder="1" applyAlignment="1">
      <alignment vertical="center"/>
    </xf>
    <xf numFmtId="0" fontId="2" fillId="7" borderId="0" xfId="0" applyFont="1" applyFill="1" applyAlignment="1">
      <alignment vertical="center"/>
    </xf>
    <xf numFmtId="14" fontId="2" fillId="7" borderId="0" xfId="0" applyNumberFormat="1" applyFont="1" applyFill="1" applyAlignment="1">
      <alignment vertical="center"/>
    </xf>
    <xf numFmtId="0" fontId="2" fillId="7" borderId="0" xfId="0" applyFont="1" applyFill="1" applyBorder="1" applyAlignment="1">
      <alignment vertical="center"/>
    </xf>
    <xf numFmtId="0" fontId="13" fillId="8" borderId="2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center"/>
    </xf>
    <xf numFmtId="0" fontId="0" fillId="0" borderId="2" xfId="0" applyBorder="1" applyAlignment="1"/>
    <xf numFmtId="0" fontId="0" fillId="0" borderId="2" xfId="0" applyBorder="1" applyAlignment="1">
      <alignment vertical="center"/>
    </xf>
    <xf numFmtId="0" fontId="14" fillId="9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2" borderId="2" xfId="0" applyFont="1" applyFill="1" applyBorder="1" applyAlignment="1">
      <alignment horizontal="right" vertical="center"/>
    </xf>
    <xf numFmtId="0" fontId="0" fillId="0" borderId="2" xfId="0" applyBorder="1"/>
    <xf numFmtId="0" fontId="0" fillId="2" borderId="0" xfId="0" applyFill="1" applyProtection="1"/>
    <xf numFmtId="0" fontId="0" fillId="2" borderId="14" xfId="0" applyFill="1" applyBorder="1" applyProtection="1"/>
    <xf numFmtId="0" fontId="16" fillId="10" borderId="31" xfId="0" applyFont="1" applyFill="1" applyBorder="1" applyAlignment="1">
      <alignment horizontal="center" vertical="top"/>
    </xf>
    <xf numFmtId="0" fontId="16" fillId="10" borderId="32" xfId="0" applyFont="1" applyFill="1" applyBorder="1" applyAlignment="1">
      <alignment horizontal="center" vertical="top"/>
    </xf>
    <xf numFmtId="0" fontId="17" fillId="0" borderId="13" xfId="0" applyFont="1" applyBorder="1" applyAlignment="1">
      <alignment vertical="top"/>
    </xf>
    <xf numFmtId="0" fontId="17" fillId="0" borderId="33" xfId="0" applyFont="1" applyBorder="1" applyAlignment="1">
      <alignment vertical="top"/>
    </xf>
    <xf numFmtId="0" fontId="17" fillId="11" borderId="33" xfId="0" applyFont="1" applyFill="1" applyBorder="1" applyAlignment="1">
      <alignment vertical="top"/>
    </xf>
    <xf numFmtId="0" fontId="17" fillId="0" borderId="34" xfId="0" applyFont="1" applyBorder="1" applyAlignment="1">
      <alignment vertical="top"/>
    </xf>
    <xf numFmtId="0" fontId="17" fillId="0" borderId="35" xfId="0" applyFont="1" applyBorder="1" applyAlignment="1">
      <alignment vertical="top"/>
    </xf>
    <xf numFmtId="0" fontId="17" fillId="11" borderId="35" xfId="0" applyFont="1" applyFill="1" applyBorder="1" applyAlignment="1">
      <alignment vertical="top"/>
    </xf>
    <xf numFmtId="0" fontId="17" fillId="12" borderId="34" xfId="0" applyFont="1" applyFill="1" applyBorder="1" applyAlignment="1">
      <alignment vertical="top"/>
    </xf>
    <xf numFmtId="0" fontId="17" fillId="12" borderId="35" xfId="0" applyFont="1" applyFill="1" applyBorder="1" applyAlignment="1">
      <alignment vertical="top"/>
    </xf>
    <xf numFmtId="0" fontId="18" fillId="13" borderId="34" xfId="0" applyFont="1" applyFill="1" applyBorder="1" applyAlignment="1">
      <alignment vertical="top"/>
    </xf>
    <xf numFmtId="0" fontId="18" fillId="13" borderId="35" xfId="0" applyFont="1" applyFill="1" applyBorder="1" applyAlignment="1">
      <alignment vertical="top"/>
    </xf>
    <xf numFmtId="0" fontId="0" fillId="13" borderId="34" xfId="0" applyFill="1" applyBorder="1" applyAlignment="1">
      <alignment vertical="top"/>
    </xf>
    <xf numFmtId="0" fontId="0" fillId="13" borderId="35" xfId="0" applyFill="1" applyBorder="1" applyAlignment="1">
      <alignment vertical="top"/>
    </xf>
    <xf numFmtId="0" fontId="17" fillId="14" borderId="34" xfId="0" applyFont="1" applyFill="1" applyBorder="1" applyAlignment="1">
      <alignment vertical="top"/>
    </xf>
    <xf numFmtId="0" fontId="17" fillId="14" borderId="35" xfId="0" applyFont="1" applyFill="1" applyBorder="1" applyAlignment="1">
      <alignment vertical="top"/>
    </xf>
    <xf numFmtId="0" fontId="17" fillId="13" borderId="34" xfId="0" applyFont="1" applyFill="1" applyBorder="1" applyAlignment="1">
      <alignment vertical="top"/>
    </xf>
    <xf numFmtId="0" fontId="17" fillId="13" borderId="35" xfId="0" applyFont="1" applyFill="1" applyBorder="1" applyAlignment="1">
      <alignment vertical="top"/>
    </xf>
    <xf numFmtId="0" fontId="19" fillId="0" borderId="34" xfId="0" applyFont="1" applyBorder="1" applyAlignment="1">
      <alignment vertical="top"/>
    </xf>
    <xf numFmtId="0" fontId="0" fillId="0" borderId="35" xfId="0" applyBorder="1" applyAlignment="1">
      <alignment vertical="top"/>
    </xf>
    <xf numFmtId="0" fontId="17" fillId="4" borderId="35" xfId="0" applyFont="1" applyFill="1" applyBorder="1" applyAlignment="1">
      <alignment vertical="top"/>
    </xf>
    <xf numFmtId="0" fontId="0" fillId="11" borderId="35" xfId="0" applyFill="1" applyBorder="1" applyAlignment="1">
      <alignment vertical="top"/>
    </xf>
    <xf numFmtId="0" fontId="0" fillId="0" borderId="34" xfId="0" applyBorder="1" applyAlignment="1">
      <alignment vertical="top"/>
    </xf>
    <xf numFmtId="0" fontId="17" fillId="0" borderId="0" xfId="0" applyFont="1" applyAlignment="1">
      <alignment vertical="top"/>
    </xf>
    <xf numFmtId="0" fontId="17" fillId="14" borderId="36" xfId="0" applyFont="1" applyFill="1" applyBorder="1" applyAlignment="1">
      <alignment vertical="top"/>
    </xf>
    <xf numFmtId="0" fontId="17" fillId="11" borderId="36" xfId="0" applyFont="1" applyFill="1" applyBorder="1" applyAlignment="1">
      <alignment vertical="top"/>
    </xf>
    <xf numFmtId="0" fontId="17" fillId="15" borderId="34" xfId="0" applyFont="1" applyFill="1" applyBorder="1" applyAlignment="1">
      <alignment vertical="top"/>
    </xf>
    <xf numFmtId="0" fontId="17" fillId="15" borderId="35" xfId="0" applyFont="1" applyFill="1" applyBorder="1" applyAlignment="1">
      <alignment vertical="top"/>
    </xf>
    <xf numFmtId="0" fontId="18" fillId="15" borderId="34" xfId="0" applyFont="1" applyFill="1" applyBorder="1" applyAlignment="1">
      <alignment vertical="top"/>
    </xf>
    <xf numFmtId="0" fontId="18" fillId="15" borderId="35" xfId="0" applyFont="1" applyFill="1" applyBorder="1" applyAlignment="1">
      <alignment vertical="top"/>
    </xf>
    <xf numFmtId="0" fontId="20" fillId="14" borderId="34" xfId="0" applyFont="1" applyFill="1" applyBorder="1" applyAlignment="1">
      <alignment vertical="top"/>
    </xf>
    <xf numFmtId="0" fontId="20" fillId="14" borderId="35" xfId="0" applyFont="1" applyFill="1" applyBorder="1" applyAlignment="1">
      <alignment vertical="top"/>
    </xf>
    <xf numFmtId="0" fontId="18" fillId="11" borderId="35" xfId="0" applyFont="1" applyFill="1" applyBorder="1" applyAlignment="1">
      <alignment vertical="top"/>
    </xf>
    <xf numFmtId="0" fontId="21" fillId="0" borderId="34" xfId="0" applyFont="1" applyBorder="1" applyAlignment="1">
      <alignment vertical="top"/>
    </xf>
    <xf numFmtId="0" fontId="21" fillId="0" borderId="35" xfId="0" applyFont="1" applyBorder="1" applyAlignment="1">
      <alignment vertical="top"/>
    </xf>
    <xf numFmtId="0" fontId="22" fillId="0" borderId="34" xfId="0" applyFont="1" applyBorder="1" applyAlignment="1">
      <alignment vertical="center"/>
    </xf>
    <xf numFmtId="0" fontId="22" fillId="0" borderId="35" xfId="0" applyFont="1" applyBorder="1" applyAlignment="1">
      <alignment vertical="center"/>
    </xf>
    <xf numFmtId="0" fontId="17" fillId="0" borderId="36" xfId="0" applyFont="1" applyFill="1" applyBorder="1" applyAlignment="1">
      <alignment vertical="top"/>
    </xf>
    <xf numFmtId="49" fontId="0" fillId="7" borderId="0" xfId="0" applyNumberFormat="1" applyFill="1" applyBorder="1" applyAlignment="1" applyProtection="1">
      <alignment horizontal="center"/>
    </xf>
    <xf numFmtId="0" fontId="0" fillId="0" borderId="10" xfId="0" applyBorder="1"/>
    <xf numFmtId="49" fontId="0" fillId="0" borderId="13" xfId="0" applyNumberFormat="1" applyBorder="1"/>
    <xf numFmtId="49" fontId="0" fillId="0" borderId="8" xfId="0" applyNumberFormat="1" applyBorder="1"/>
    <xf numFmtId="49" fontId="0" fillId="0" borderId="0" xfId="0" applyNumberFormat="1"/>
    <xf numFmtId="0" fontId="9" fillId="0" borderId="2" xfId="0" applyFont="1" applyBorder="1"/>
    <xf numFmtId="0" fontId="9" fillId="0" borderId="2" xfId="0" applyFont="1" applyBorder="1" applyAlignment="1">
      <alignment horizontal="left"/>
    </xf>
    <xf numFmtId="0" fontId="9" fillId="0" borderId="0" xfId="0" applyFont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49" fontId="0" fillId="13" borderId="2" xfId="0" applyNumberFormat="1" applyFont="1" applyFill="1" applyBorder="1" applyAlignment="1" applyProtection="1">
      <alignment vertical="center"/>
      <protection locked="0"/>
    </xf>
    <xf numFmtId="49" fontId="9" fillId="13" borderId="2" xfId="0" applyNumberFormat="1" applyFont="1" applyFill="1" applyBorder="1" applyAlignment="1" applyProtection="1">
      <alignment vertical="center"/>
      <protection locked="0"/>
    </xf>
    <xf numFmtId="49" fontId="24" fillId="13" borderId="2" xfId="0" applyNumberFormat="1" applyFont="1" applyFill="1" applyBorder="1" applyAlignment="1" applyProtection="1">
      <alignment vertical="center"/>
      <protection locked="0"/>
    </xf>
    <xf numFmtId="49" fontId="31" fillId="13" borderId="2" xfId="0" applyNumberFormat="1" applyFont="1" applyFill="1" applyBorder="1" applyAlignment="1" applyProtection="1">
      <alignment vertical="center"/>
      <protection locked="0"/>
    </xf>
    <xf numFmtId="49" fontId="32" fillId="13" borderId="2" xfId="0" applyNumberFormat="1" applyFont="1" applyFill="1" applyBorder="1" applyAlignment="1" applyProtection="1">
      <alignment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0" fontId="24" fillId="13" borderId="3" xfId="0" applyFont="1" applyFill="1" applyBorder="1" applyAlignment="1" applyProtection="1">
      <alignment horizontal="center" vertical="center"/>
      <protection locked="0"/>
    </xf>
    <xf numFmtId="0" fontId="24" fillId="13" borderId="4" xfId="0" applyFont="1" applyFill="1" applyBorder="1" applyAlignment="1" applyProtection="1">
      <alignment horizontal="center" vertical="center"/>
      <protection locked="0"/>
    </xf>
    <xf numFmtId="0" fontId="24" fillId="13" borderId="5" xfId="0" applyFont="1" applyFill="1" applyBorder="1" applyAlignment="1" applyProtection="1">
      <alignment horizontal="center" vertical="center"/>
      <protection locked="0"/>
    </xf>
    <xf numFmtId="0" fontId="4" fillId="2" borderId="11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</xf>
    <xf numFmtId="0" fontId="4" fillId="2" borderId="12" xfId="0" applyFont="1" applyFill="1" applyBorder="1" applyAlignment="1" applyProtection="1">
      <alignment horizontal="center" vertical="center"/>
    </xf>
    <xf numFmtId="0" fontId="0" fillId="2" borderId="3" xfId="0" applyFont="1" applyFill="1" applyBorder="1" applyAlignment="1" applyProtection="1">
      <alignment horizontal="center" vertical="center"/>
      <protection locked="0"/>
    </xf>
    <xf numFmtId="0" fontId="0" fillId="2" borderId="4" xfId="0" applyFont="1" applyFill="1" applyBorder="1" applyAlignment="1" applyProtection="1">
      <alignment horizontal="center" vertical="center"/>
      <protection locked="0"/>
    </xf>
    <xf numFmtId="0" fontId="0" fillId="2" borderId="5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30" xfId="0" applyFont="1" applyFill="1" applyBorder="1" applyAlignment="1" applyProtection="1">
      <alignment horizontal="center" vertical="center"/>
    </xf>
    <xf numFmtId="0" fontId="4" fillId="2" borderId="17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8" xfId="0" applyFont="1" applyFill="1" applyBorder="1" applyAlignment="1" applyProtection="1">
      <alignment horizontal="center" vertical="center"/>
      <protection locked="0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 applyProtection="1">
      <alignment horizontal="center" vertical="center"/>
    </xf>
    <xf numFmtId="0" fontId="4" fillId="2" borderId="14" xfId="0" applyFont="1" applyFill="1" applyBorder="1" applyAlignment="1" applyProtection="1">
      <alignment horizontal="center" vertical="center"/>
    </xf>
    <xf numFmtId="0" fontId="4" fillId="2" borderId="15" xfId="0" applyFont="1" applyFill="1" applyBorder="1" applyAlignment="1" applyProtection="1">
      <alignment horizontal="center" vertical="center"/>
    </xf>
    <xf numFmtId="0" fontId="0" fillId="13" borderId="2" xfId="0" applyFont="1" applyFill="1" applyBorder="1" applyAlignment="1" applyProtection="1">
      <alignment horizontal="center" vertical="center"/>
      <protection locked="0"/>
    </xf>
    <xf numFmtId="49" fontId="0" fillId="16" borderId="3" xfId="0" applyNumberFormat="1" applyFont="1" applyFill="1" applyBorder="1" applyAlignment="1" applyProtection="1">
      <alignment horizontal="center" vertical="center"/>
      <protection locked="0"/>
    </xf>
    <xf numFmtId="49" fontId="0" fillId="16" borderId="4" xfId="0" applyNumberFormat="1" applyFont="1" applyFill="1" applyBorder="1" applyAlignment="1" applyProtection="1">
      <alignment horizontal="center" vertical="center"/>
      <protection locked="0"/>
    </xf>
    <xf numFmtId="49" fontId="0" fillId="16" borderId="5" xfId="0" applyNumberFormat="1" applyFont="1" applyFill="1" applyBorder="1" applyAlignment="1" applyProtection="1">
      <alignment horizontal="center" vertical="center"/>
      <protection locked="0"/>
    </xf>
    <xf numFmtId="0" fontId="0" fillId="2" borderId="2" xfId="0" applyFont="1" applyFill="1" applyBorder="1" applyAlignment="1" applyProtection="1">
      <alignment horizontal="center" vertical="center"/>
      <protection locked="0"/>
    </xf>
    <xf numFmtId="0" fontId="27" fillId="2" borderId="17" xfId="0" applyFont="1" applyFill="1" applyBorder="1" applyAlignment="1" applyProtection="1">
      <alignment horizontal="left" vertical="center"/>
      <protection locked="0"/>
    </xf>
    <xf numFmtId="0" fontId="27" fillId="2" borderId="1" xfId="0" applyFont="1" applyFill="1" applyBorder="1" applyAlignment="1" applyProtection="1">
      <alignment horizontal="left" vertical="center"/>
      <protection locked="0"/>
    </xf>
    <xf numFmtId="0" fontId="27" fillId="2" borderId="18" xfId="0" applyFont="1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25" fillId="2" borderId="17" xfId="0" applyFont="1" applyFill="1" applyBorder="1" applyAlignment="1" applyProtection="1">
      <alignment horizontal="left" vertical="center"/>
      <protection locked="0"/>
    </xf>
    <xf numFmtId="0" fontId="25" fillId="2" borderId="1" xfId="0" applyFont="1" applyFill="1" applyBorder="1" applyAlignment="1" applyProtection="1">
      <alignment horizontal="left" vertical="center"/>
      <protection locked="0"/>
    </xf>
    <xf numFmtId="0" fontId="25" fillId="2" borderId="18" xfId="0" applyFont="1" applyFill="1" applyBorder="1" applyAlignment="1" applyProtection="1">
      <alignment horizontal="left" vertical="center"/>
      <protection locked="0"/>
    </xf>
    <xf numFmtId="0" fontId="26" fillId="2" borderId="17" xfId="0" applyFont="1" applyFill="1" applyBorder="1" applyAlignment="1" applyProtection="1">
      <alignment horizontal="left" vertical="center"/>
      <protection locked="0"/>
    </xf>
    <xf numFmtId="0" fontId="26" fillId="2" borderId="1" xfId="0" applyFont="1" applyFill="1" applyBorder="1" applyAlignment="1" applyProtection="1">
      <alignment horizontal="left" vertical="center"/>
      <protection locked="0"/>
    </xf>
    <xf numFmtId="0" fontId="26" fillId="2" borderId="18" xfId="0" applyFont="1" applyFill="1" applyBorder="1" applyAlignment="1" applyProtection="1">
      <alignment horizontal="left" vertical="center"/>
      <protection locked="0"/>
    </xf>
    <xf numFmtId="0" fontId="1" fillId="2" borderId="17" xfId="0" applyFont="1" applyFill="1" applyBorder="1" applyAlignment="1" applyProtection="1">
      <alignment horizontal="left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1" fillId="2" borderId="18" xfId="0" applyFont="1" applyFill="1" applyBorder="1" applyAlignment="1" applyProtection="1">
      <alignment horizontal="left" vertical="center"/>
      <protection locked="0"/>
    </xf>
    <xf numFmtId="0" fontId="4" fillId="2" borderId="21" xfId="0" applyFont="1" applyFill="1" applyBorder="1" applyAlignment="1" applyProtection="1">
      <alignment horizontal="center" vertical="center"/>
      <protection locked="0"/>
    </xf>
    <xf numFmtId="0" fontId="4" fillId="2" borderId="19" xfId="0" applyFont="1" applyFill="1" applyBorder="1" applyAlignment="1" applyProtection="1">
      <alignment horizontal="center" vertical="center"/>
      <protection locked="0"/>
    </xf>
    <xf numFmtId="0" fontId="4" fillId="2" borderId="22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4" fillId="2" borderId="8" xfId="0" applyFont="1" applyFill="1" applyBorder="1" applyAlignment="1" applyProtection="1">
      <alignment horizontal="center" vertical="center"/>
    </xf>
    <xf numFmtId="0" fontId="4" fillId="2" borderId="9" xfId="0" applyFont="1" applyFill="1" applyBorder="1" applyAlignment="1" applyProtection="1">
      <alignment horizontal="center" vertical="center"/>
    </xf>
    <xf numFmtId="0" fontId="4" fillId="2" borderId="10" xfId="0" applyFont="1" applyFill="1" applyBorder="1" applyAlignment="1" applyProtection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49" fontId="0" fillId="2" borderId="2" xfId="0" applyNumberFormat="1" applyFont="1" applyFill="1" applyBorder="1" applyAlignment="1" applyProtection="1">
      <alignment horizontal="center"/>
      <protection locked="0"/>
    </xf>
    <xf numFmtId="3" fontId="0" fillId="2" borderId="2" xfId="0" applyNumberFormat="1" applyFon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0" fontId="0" fillId="2" borderId="3" xfId="0" applyNumberFormat="1" applyFill="1" applyBorder="1" applyAlignment="1" applyProtection="1">
      <alignment horizontal="center"/>
    </xf>
    <xf numFmtId="0" fontId="0" fillId="2" borderId="4" xfId="0" applyNumberFormat="1" applyFill="1" applyBorder="1" applyAlignment="1" applyProtection="1">
      <alignment horizontal="center"/>
    </xf>
    <xf numFmtId="0" fontId="0" fillId="2" borderId="5" xfId="0" applyNumberFormat="1" applyFill="1" applyBorder="1" applyAlignment="1" applyProtection="1">
      <alignment horizontal="center"/>
    </xf>
    <xf numFmtId="49" fontId="0" fillId="2" borderId="2" xfId="0" applyNumberFormat="1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24" fillId="13" borderId="2" xfId="0" applyFont="1" applyFill="1" applyBorder="1" applyAlignment="1" applyProtection="1">
      <alignment horizontal="center" vertical="center"/>
      <protection locked="0"/>
    </xf>
    <xf numFmtId="0" fontId="10" fillId="3" borderId="11" xfId="0" applyFont="1" applyFill="1" applyBorder="1" applyAlignment="1">
      <alignment horizontal="left" vertical="center"/>
    </xf>
    <xf numFmtId="0" fontId="10" fillId="3" borderId="0" xfId="0" applyFont="1" applyFill="1" applyAlignment="1">
      <alignment horizontal="left" vertical="center"/>
    </xf>
    <xf numFmtId="0" fontId="10" fillId="3" borderId="12" xfId="0" applyFont="1" applyFill="1" applyBorder="1" applyAlignment="1">
      <alignment horizontal="left" vertical="center"/>
    </xf>
    <xf numFmtId="0" fontId="9" fillId="13" borderId="2" xfId="0" applyFont="1" applyFill="1" applyBorder="1" applyAlignment="1" applyProtection="1">
      <alignment horizontal="center" vertical="center"/>
      <protection locked="0"/>
    </xf>
    <xf numFmtId="0" fontId="30" fillId="2" borderId="17" xfId="0" applyFont="1" applyFill="1" applyBorder="1" applyAlignment="1" applyProtection="1">
      <alignment horizontal="left" vertical="center"/>
      <protection locked="0"/>
    </xf>
    <xf numFmtId="0" fontId="30" fillId="2" borderId="1" xfId="0" applyFont="1" applyFill="1" applyBorder="1" applyAlignment="1" applyProtection="1">
      <alignment horizontal="left" vertical="center"/>
      <protection locked="0"/>
    </xf>
    <xf numFmtId="0" fontId="30" fillId="2" borderId="18" xfId="0" applyFont="1" applyFill="1" applyBorder="1" applyAlignment="1" applyProtection="1">
      <alignment horizontal="left" vertical="center"/>
      <protection locked="0"/>
    </xf>
    <xf numFmtId="0" fontId="28" fillId="2" borderId="17" xfId="0" applyFont="1" applyFill="1" applyBorder="1" applyAlignment="1" applyProtection="1">
      <alignment horizontal="left" vertical="center"/>
      <protection locked="0"/>
    </xf>
    <xf numFmtId="0" fontId="28" fillId="2" borderId="1" xfId="0" applyFont="1" applyFill="1" applyBorder="1" applyAlignment="1" applyProtection="1">
      <alignment horizontal="left" vertical="center"/>
      <protection locked="0"/>
    </xf>
    <xf numFmtId="0" fontId="28" fillId="2" borderId="18" xfId="0" applyFont="1" applyFill="1" applyBorder="1" applyAlignment="1" applyProtection="1">
      <alignment horizontal="left" vertical="center"/>
      <protection locked="0"/>
    </xf>
    <xf numFmtId="0" fontId="33" fillId="2" borderId="17" xfId="0" applyFont="1" applyFill="1" applyBorder="1" applyAlignment="1" applyProtection="1">
      <alignment horizontal="left" vertical="center"/>
      <protection locked="0"/>
    </xf>
    <xf numFmtId="0" fontId="33" fillId="2" borderId="1" xfId="0" applyFont="1" applyFill="1" applyBorder="1" applyAlignment="1" applyProtection="1">
      <alignment horizontal="left" vertical="center"/>
      <protection locked="0"/>
    </xf>
    <xf numFmtId="0" fontId="33" fillId="2" borderId="18" xfId="0" applyFont="1" applyFill="1" applyBorder="1" applyAlignment="1" applyProtection="1">
      <alignment horizontal="left" vertical="center"/>
      <protection locked="0"/>
    </xf>
    <xf numFmtId="0" fontId="29" fillId="2" borderId="17" xfId="0" applyFont="1" applyFill="1" applyBorder="1" applyAlignment="1" applyProtection="1">
      <alignment horizontal="left" vertical="center"/>
      <protection locked="0"/>
    </xf>
    <xf numFmtId="0" fontId="29" fillId="2" borderId="1" xfId="0" applyFont="1" applyFill="1" applyBorder="1" applyAlignment="1" applyProtection="1">
      <alignment horizontal="left" vertical="center"/>
      <protection locked="0"/>
    </xf>
    <xf numFmtId="0" fontId="29" fillId="2" borderId="18" xfId="0" applyFont="1" applyFill="1" applyBorder="1" applyAlignment="1" applyProtection="1">
      <alignment horizontal="left" vertical="center"/>
      <protection locked="0"/>
    </xf>
  </cellXfs>
  <cellStyles count="2">
    <cellStyle name="Milliers 2" xfId="1" xr:uid="{00000000-0005-0000-0000-000000000000}"/>
    <cellStyle name="Normal" xfId="0" builtinId="0"/>
  </cellStyles>
  <dxfs count="8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minor"/>
      </font>
      <fill>
        <patternFill patternType="solid">
          <fgColor indexed="64"/>
          <bgColor rgb="FF1F3864"/>
        </patternFill>
      </fill>
      <alignment horizontal="center" vertical="center" textRotation="0" wrapText="0" indent="0" justifyLastLine="0" shrinkToFit="0" readingOrder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17F19E"/>
      <color rgb="FF7166B6"/>
      <color rgb="FF9991CB"/>
      <color rgb="FF1D6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jpeg"/><Relationship Id="rId2" Type="http://schemas.openxmlformats.org/officeDocument/2006/relationships/image" Target="../media/image38.jpeg"/><Relationship Id="rId1" Type="http://schemas.openxmlformats.org/officeDocument/2006/relationships/image" Target="../media/image37.png"/><Relationship Id="rId4" Type="http://schemas.openxmlformats.org/officeDocument/2006/relationships/image" Target="../media/image40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88546</xdr:colOff>
      <xdr:row>14</xdr:row>
      <xdr:rowOff>89092</xdr:rowOff>
    </xdr:from>
    <xdr:to>
      <xdr:col>29</xdr:col>
      <xdr:colOff>134265</xdr:colOff>
      <xdr:row>45</xdr:row>
      <xdr:rowOff>108142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6851296" y="2769699"/>
          <a:ext cx="45719" cy="59245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42053</xdr:colOff>
      <xdr:row>13</xdr:row>
      <xdr:rowOff>160193</xdr:rowOff>
    </xdr:from>
    <xdr:to>
      <xdr:col>29</xdr:col>
      <xdr:colOff>181840</xdr:colOff>
      <xdr:row>14</xdr:row>
      <xdr:rowOff>93518</xdr:rowOff>
    </xdr:to>
    <xdr:sp macro="" textlink="">
      <xdr:nvSpPr>
        <xdr:cNvPr id="2" name="Triangle isocèle 1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93917" y="2073852"/>
          <a:ext cx="139787" cy="123825"/>
        </a:xfrm>
        <a:prstGeom prst="triangle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62</xdr:col>
      <xdr:colOff>88546</xdr:colOff>
      <xdr:row>14</xdr:row>
      <xdr:rowOff>89092</xdr:rowOff>
    </xdr:from>
    <xdr:to>
      <xdr:col>62</xdr:col>
      <xdr:colOff>134265</xdr:colOff>
      <xdr:row>45</xdr:row>
      <xdr:rowOff>108142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484903" y="2769699"/>
          <a:ext cx="45719" cy="59245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42053</xdr:colOff>
      <xdr:row>13</xdr:row>
      <xdr:rowOff>160193</xdr:rowOff>
    </xdr:from>
    <xdr:to>
      <xdr:col>62</xdr:col>
      <xdr:colOff>181840</xdr:colOff>
      <xdr:row>14</xdr:row>
      <xdr:rowOff>93518</xdr:rowOff>
    </xdr:to>
    <xdr:sp macro="" textlink="">
      <xdr:nvSpPr>
        <xdr:cNvPr id="35" name="Triangle isocèle 1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6160465" y="2076399"/>
          <a:ext cx="139787" cy="123825"/>
        </a:xfrm>
        <a:prstGeom prst="triangle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29</xdr:col>
      <xdr:colOff>88546</xdr:colOff>
      <xdr:row>14</xdr:row>
      <xdr:rowOff>89092</xdr:rowOff>
    </xdr:from>
    <xdr:to>
      <xdr:col>29</xdr:col>
      <xdr:colOff>134265</xdr:colOff>
      <xdr:row>45</xdr:row>
      <xdr:rowOff>108142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317896" y="2194117"/>
          <a:ext cx="45719" cy="44005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42053</xdr:colOff>
      <xdr:row>13</xdr:row>
      <xdr:rowOff>160193</xdr:rowOff>
    </xdr:from>
    <xdr:to>
      <xdr:col>29</xdr:col>
      <xdr:colOff>181840</xdr:colOff>
      <xdr:row>14</xdr:row>
      <xdr:rowOff>93518</xdr:rowOff>
    </xdr:to>
    <xdr:sp macro="" textlink="">
      <xdr:nvSpPr>
        <xdr:cNvPr id="12" name="Triangle isocèle 1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271403" y="2074718"/>
          <a:ext cx="139787" cy="123825"/>
        </a:xfrm>
        <a:prstGeom prst="triangle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62</xdr:col>
      <xdr:colOff>88546</xdr:colOff>
      <xdr:row>14</xdr:row>
      <xdr:rowOff>89092</xdr:rowOff>
    </xdr:from>
    <xdr:to>
      <xdr:col>62</xdr:col>
      <xdr:colOff>134265</xdr:colOff>
      <xdr:row>45</xdr:row>
      <xdr:rowOff>108142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2947296" y="2194117"/>
          <a:ext cx="45719" cy="44005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42053</xdr:colOff>
      <xdr:row>13</xdr:row>
      <xdr:rowOff>160193</xdr:rowOff>
    </xdr:from>
    <xdr:to>
      <xdr:col>62</xdr:col>
      <xdr:colOff>181840</xdr:colOff>
      <xdr:row>14</xdr:row>
      <xdr:rowOff>93518</xdr:rowOff>
    </xdr:to>
    <xdr:sp macro="" textlink="">
      <xdr:nvSpPr>
        <xdr:cNvPr id="14" name="Triangle isocèle 1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2900803" y="2074718"/>
          <a:ext cx="139787" cy="123825"/>
        </a:xfrm>
        <a:prstGeom prst="triangle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</xdr:col>
      <xdr:colOff>40818</xdr:colOff>
      <xdr:row>0</xdr:row>
      <xdr:rowOff>92775</xdr:rowOff>
    </xdr:from>
    <xdr:to>
      <xdr:col>14</xdr:col>
      <xdr:colOff>160</xdr:colOff>
      <xdr:row>3</xdr:row>
      <xdr:rowOff>103908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954" y="92775"/>
          <a:ext cx="2883229" cy="5826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38100</xdr:colOff>
          <xdr:row>14</xdr:row>
          <xdr:rowOff>28575</xdr:rowOff>
        </xdr:from>
        <xdr:to>
          <xdr:col>54</xdr:col>
          <xdr:colOff>200025</xdr:colOff>
          <xdr:row>14</xdr:row>
          <xdr:rowOff>171450</xdr:rowOff>
        </xdr:to>
        <xdr:sp macro="" textlink="">
          <xdr:nvSpPr>
            <xdr:cNvPr id="1030" name="Check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47625</xdr:colOff>
          <xdr:row>14</xdr:row>
          <xdr:rowOff>19050</xdr:rowOff>
        </xdr:from>
        <xdr:to>
          <xdr:col>70</xdr:col>
          <xdr:colOff>209550</xdr:colOff>
          <xdr:row>14</xdr:row>
          <xdr:rowOff>161925</xdr:rowOff>
        </xdr:to>
        <xdr:sp macro="" textlink="">
          <xdr:nvSpPr>
            <xdr:cNvPr id="1031" name="CheckBox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47625</xdr:colOff>
          <xdr:row>21</xdr:row>
          <xdr:rowOff>9525</xdr:rowOff>
        </xdr:from>
        <xdr:to>
          <xdr:col>46</xdr:col>
          <xdr:colOff>219075</xdr:colOff>
          <xdr:row>21</xdr:row>
          <xdr:rowOff>152400</xdr:rowOff>
        </xdr:to>
        <xdr:sp macro="" textlink="">
          <xdr:nvSpPr>
            <xdr:cNvPr id="1032" name="CheckBox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47625</xdr:colOff>
          <xdr:row>21</xdr:row>
          <xdr:rowOff>9525</xdr:rowOff>
        </xdr:from>
        <xdr:to>
          <xdr:col>54</xdr:col>
          <xdr:colOff>219075</xdr:colOff>
          <xdr:row>21</xdr:row>
          <xdr:rowOff>152400</xdr:rowOff>
        </xdr:to>
        <xdr:sp macro="" textlink="">
          <xdr:nvSpPr>
            <xdr:cNvPr id="1033" name="CheckBox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21</xdr:row>
          <xdr:rowOff>9525</xdr:rowOff>
        </xdr:from>
        <xdr:to>
          <xdr:col>70</xdr:col>
          <xdr:colOff>209550</xdr:colOff>
          <xdr:row>21</xdr:row>
          <xdr:rowOff>152400</xdr:rowOff>
        </xdr:to>
        <xdr:sp macro="" textlink="">
          <xdr:nvSpPr>
            <xdr:cNvPr id="1034" name="CheckBox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28575</xdr:colOff>
          <xdr:row>21</xdr:row>
          <xdr:rowOff>9525</xdr:rowOff>
        </xdr:from>
        <xdr:to>
          <xdr:col>78</xdr:col>
          <xdr:colOff>200025</xdr:colOff>
          <xdr:row>21</xdr:row>
          <xdr:rowOff>152400</xdr:rowOff>
        </xdr:to>
        <xdr:sp macro="" textlink="">
          <xdr:nvSpPr>
            <xdr:cNvPr id="1035" name="CheckBox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28</xdr:row>
          <xdr:rowOff>38100</xdr:rowOff>
        </xdr:from>
        <xdr:to>
          <xdr:col>46</xdr:col>
          <xdr:colOff>219075</xdr:colOff>
          <xdr:row>29</xdr:row>
          <xdr:rowOff>0</xdr:rowOff>
        </xdr:to>
        <xdr:sp macro="" textlink="">
          <xdr:nvSpPr>
            <xdr:cNvPr id="1036" name="CheckBox7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57150</xdr:colOff>
          <xdr:row>28</xdr:row>
          <xdr:rowOff>38100</xdr:rowOff>
        </xdr:from>
        <xdr:to>
          <xdr:col>54</xdr:col>
          <xdr:colOff>228600</xdr:colOff>
          <xdr:row>29</xdr:row>
          <xdr:rowOff>0</xdr:rowOff>
        </xdr:to>
        <xdr:sp macro="" textlink="">
          <xdr:nvSpPr>
            <xdr:cNvPr id="1037" name="CheckBox8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28</xdr:row>
          <xdr:rowOff>38100</xdr:rowOff>
        </xdr:from>
        <xdr:to>
          <xdr:col>70</xdr:col>
          <xdr:colOff>209550</xdr:colOff>
          <xdr:row>29</xdr:row>
          <xdr:rowOff>0</xdr:rowOff>
        </xdr:to>
        <xdr:sp macro="" textlink="">
          <xdr:nvSpPr>
            <xdr:cNvPr id="1038" name="CheckBox9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57150</xdr:colOff>
          <xdr:row>28</xdr:row>
          <xdr:rowOff>38100</xdr:rowOff>
        </xdr:from>
        <xdr:to>
          <xdr:col>78</xdr:col>
          <xdr:colOff>228600</xdr:colOff>
          <xdr:row>29</xdr:row>
          <xdr:rowOff>0</xdr:rowOff>
        </xdr:to>
        <xdr:sp macro="" textlink="">
          <xdr:nvSpPr>
            <xdr:cNvPr id="1039" name="CheckBox10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35</xdr:row>
          <xdr:rowOff>28575</xdr:rowOff>
        </xdr:from>
        <xdr:to>
          <xdr:col>46</xdr:col>
          <xdr:colOff>219075</xdr:colOff>
          <xdr:row>35</xdr:row>
          <xdr:rowOff>171450</xdr:rowOff>
        </xdr:to>
        <xdr:sp macro="" textlink="">
          <xdr:nvSpPr>
            <xdr:cNvPr id="1040" name="CheckBox1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47625</xdr:colOff>
          <xdr:row>35</xdr:row>
          <xdr:rowOff>28575</xdr:rowOff>
        </xdr:from>
        <xdr:to>
          <xdr:col>54</xdr:col>
          <xdr:colOff>228600</xdr:colOff>
          <xdr:row>35</xdr:row>
          <xdr:rowOff>171450</xdr:rowOff>
        </xdr:to>
        <xdr:sp macro="" textlink="">
          <xdr:nvSpPr>
            <xdr:cNvPr id="1041" name="CheckBox1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35</xdr:row>
          <xdr:rowOff>28575</xdr:rowOff>
        </xdr:from>
        <xdr:to>
          <xdr:col>70</xdr:col>
          <xdr:colOff>219075</xdr:colOff>
          <xdr:row>35</xdr:row>
          <xdr:rowOff>171450</xdr:rowOff>
        </xdr:to>
        <xdr:sp macro="" textlink="">
          <xdr:nvSpPr>
            <xdr:cNvPr id="1042" name="CheckBox1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47625</xdr:colOff>
          <xdr:row>35</xdr:row>
          <xdr:rowOff>28575</xdr:rowOff>
        </xdr:from>
        <xdr:to>
          <xdr:col>78</xdr:col>
          <xdr:colOff>228600</xdr:colOff>
          <xdr:row>35</xdr:row>
          <xdr:rowOff>171450</xdr:rowOff>
        </xdr:to>
        <xdr:sp macro="" textlink="">
          <xdr:nvSpPr>
            <xdr:cNvPr id="1043" name="CheckBox1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28575</xdr:colOff>
          <xdr:row>42</xdr:row>
          <xdr:rowOff>47625</xdr:rowOff>
        </xdr:from>
        <xdr:to>
          <xdr:col>46</xdr:col>
          <xdr:colOff>219075</xdr:colOff>
          <xdr:row>43</xdr:row>
          <xdr:rowOff>9525</xdr:rowOff>
        </xdr:to>
        <xdr:sp macro="" textlink="">
          <xdr:nvSpPr>
            <xdr:cNvPr id="1044" name="CheckBox1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38100</xdr:colOff>
          <xdr:row>42</xdr:row>
          <xdr:rowOff>28575</xdr:rowOff>
        </xdr:from>
        <xdr:to>
          <xdr:col>54</xdr:col>
          <xdr:colOff>228600</xdr:colOff>
          <xdr:row>42</xdr:row>
          <xdr:rowOff>171450</xdr:rowOff>
        </xdr:to>
        <xdr:sp macro="" textlink="">
          <xdr:nvSpPr>
            <xdr:cNvPr id="1045" name="CheckBox1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28575</xdr:colOff>
          <xdr:row>42</xdr:row>
          <xdr:rowOff>28575</xdr:rowOff>
        </xdr:from>
        <xdr:to>
          <xdr:col>70</xdr:col>
          <xdr:colOff>228600</xdr:colOff>
          <xdr:row>42</xdr:row>
          <xdr:rowOff>171450</xdr:rowOff>
        </xdr:to>
        <xdr:sp macro="" textlink="">
          <xdr:nvSpPr>
            <xdr:cNvPr id="1046" name="CheckBox1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47625</xdr:colOff>
          <xdr:row>42</xdr:row>
          <xdr:rowOff>28575</xdr:rowOff>
        </xdr:from>
        <xdr:to>
          <xdr:col>79</xdr:col>
          <xdr:colOff>4763</xdr:colOff>
          <xdr:row>42</xdr:row>
          <xdr:rowOff>171450</xdr:rowOff>
        </xdr:to>
        <xdr:sp macro="" textlink="">
          <xdr:nvSpPr>
            <xdr:cNvPr id="1047" name="CheckBox1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14</xdr:row>
          <xdr:rowOff>28575</xdr:rowOff>
        </xdr:from>
        <xdr:to>
          <xdr:col>21</xdr:col>
          <xdr:colOff>200025</xdr:colOff>
          <xdr:row>14</xdr:row>
          <xdr:rowOff>171450</xdr:rowOff>
        </xdr:to>
        <xdr:sp macro="" textlink="">
          <xdr:nvSpPr>
            <xdr:cNvPr id="1048" name="CheckBox1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14</xdr:row>
          <xdr:rowOff>28575</xdr:rowOff>
        </xdr:from>
        <xdr:to>
          <xdr:col>37</xdr:col>
          <xdr:colOff>238125</xdr:colOff>
          <xdr:row>14</xdr:row>
          <xdr:rowOff>171450</xdr:rowOff>
        </xdr:to>
        <xdr:sp macro="" textlink="">
          <xdr:nvSpPr>
            <xdr:cNvPr id="1049" name="CheckBox2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21</xdr:row>
          <xdr:rowOff>9525</xdr:rowOff>
        </xdr:from>
        <xdr:to>
          <xdr:col>13</xdr:col>
          <xdr:colOff>209550</xdr:colOff>
          <xdr:row>21</xdr:row>
          <xdr:rowOff>152400</xdr:rowOff>
        </xdr:to>
        <xdr:sp macro="" textlink="">
          <xdr:nvSpPr>
            <xdr:cNvPr id="1050" name="CheckBox2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21</xdr:row>
          <xdr:rowOff>9525</xdr:rowOff>
        </xdr:from>
        <xdr:to>
          <xdr:col>21</xdr:col>
          <xdr:colOff>219075</xdr:colOff>
          <xdr:row>21</xdr:row>
          <xdr:rowOff>152400</xdr:rowOff>
        </xdr:to>
        <xdr:sp macro="" textlink="">
          <xdr:nvSpPr>
            <xdr:cNvPr id="1051" name="CheckBox2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21</xdr:row>
          <xdr:rowOff>9525</xdr:rowOff>
        </xdr:from>
        <xdr:to>
          <xdr:col>37</xdr:col>
          <xdr:colOff>200025</xdr:colOff>
          <xdr:row>21</xdr:row>
          <xdr:rowOff>152400</xdr:rowOff>
        </xdr:to>
        <xdr:sp macro="" textlink="">
          <xdr:nvSpPr>
            <xdr:cNvPr id="1052" name="CheckBox2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28575</xdr:colOff>
          <xdr:row>21</xdr:row>
          <xdr:rowOff>9525</xdr:rowOff>
        </xdr:from>
        <xdr:to>
          <xdr:col>45</xdr:col>
          <xdr:colOff>190500</xdr:colOff>
          <xdr:row>21</xdr:row>
          <xdr:rowOff>152400</xdr:rowOff>
        </xdr:to>
        <xdr:sp macro="" textlink="">
          <xdr:nvSpPr>
            <xdr:cNvPr id="1053" name="CheckBox24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28</xdr:row>
          <xdr:rowOff>38100</xdr:rowOff>
        </xdr:from>
        <xdr:to>
          <xdr:col>13</xdr:col>
          <xdr:colOff>219075</xdr:colOff>
          <xdr:row>29</xdr:row>
          <xdr:rowOff>0</xdr:rowOff>
        </xdr:to>
        <xdr:sp macro="" textlink="">
          <xdr:nvSpPr>
            <xdr:cNvPr id="1054" name="CheckBox2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28</xdr:row>
          <xdr:rowOff>38100</xdr:rowOff>
        </xdr:from>
        <xdr:to>
          <xdr:col>21</xdr:col>
          <xdr:colOff>209550</xdr:colOff>
          <xdr:row>29</xdr:row>
          <xdr:rowOff>0</xdr:rowOff>
        </xdr:to>
        <xdr:sp macro="" textlink="">
          <xdr:nvSpPr>
            <xdr:cNvPr id="1055" name="CheckBox26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28</xdr:row>
          <xdr:rowOff>38100</xdr:rowOff>
        </xdr:from>
        <xdr:to>
          <xdr:col>37</xdr:col>
          <xdr:colOff>209550</xdr:colOff>
          <xdr:row>29</xdr:row>
          <xdr:rowOff>0</xdr:rowOff>
        </xdr:to>
        <xdr:sp macro="" textlink="">
          <xdr:nvSpPr>
            <xdr:cNvPr id="1056" name="CheckBox27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28575</xdr:colOff>
          <xdr:row>28</xdr:row>
          <xdr:rowOff>38100</xdr:rowOff>
        </xdr:from>
        <xdr:to>
          <xdr:col>45</xdr:col>
          <xdr:colOff>200025</xdr:colOff>
          <xdr:row>29</xdr:row>
          <xdr:rowOff>0</xdr:rowOff>
        </xdr:to>
        <xdr:sp macro="" textlink="">
          <xdr:nvSpPr>
            <xdr:cNvPr id="1057" name="CheckBox28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35</xdr:row>
          <xdr:rowOff>38100</xdr:rowOff>
        </xdr:from>
        <xdr:to>
          <xdr:col>13</xdr:col>
          <xdr:colOff>219075</xdr:colOff>
          <xdr:row>36</xdr:row>
          <xdr:rowOff>0</xdr:rowOff>
        </xdr:to>
        <xdr:sp macro="" textlink="">
          <xdr:nvSpPr>
            <xdr:cNvPr id="1058" name="CheckBox29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35</xdr:row>
          <xdr:rowOff>38100</xdr:rowOff>
        </xdr:from>
        <xdr:to>
          <xdr:col>21</xdr:col>
          <xdr:colOff>228600</xdr:colOff>
          <xdr:row>36</xdr:row>
          <xdr:rowOff>0</xdr:rowOff>
        </xdr:to>
        <xdr:sp macro="" textlink="">
          <xdr:nvSpPr>
            <xdr:cNvPr id="1059" name="CheckBox30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28575</xdr:colOff>
          <xdr:row>35</xdr:row>
          <xdr:rowOff>38100</xdr:rowOff>
        </xdr:from>
        <xdr:to>
          <xdr:col>37</xdr:col>
          <xdr:colOff>200025</xdr:colOff>
          <xdr:row>36</xdr:row>
          <xdr:rowOff>0</xdr:rowOff>
        </xdr:to>
        <xdr:sp macro="" textlink="">
          <xdr:nvSpPr>
            <xdr:cNvPr id="1060" name="CheckBox31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28575</xdr:colOff>
          <xdr:row>35</xdr:row>
          <xdr:rowOff>38100</xdr:rowOff>
        </xdr:from>
        <xdr:to>
          <xdr:col>45</xdr:col>
          <xdr:colOff>200025</xdr:colOff>
          <xdr:row>36</xdr:row>
          <xdr:rowOff>0</xdr:rowOff>
        </xdr:to>
        <xdr:sp macro="" textlink="">
          <xdr:nvSpPr>
            <xdr:cNvPr id="1061" name="CheckBox32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42</xdr:row>
          <xdr:rowOff>47625</xdr:rowOff>
        </xdr:from>
        <xdr:to>
          <xdr:col>13</xdr:col>
          <xdr:colOff>228600</xdr:colOff>
          <xdr:row>43</xdr:row>
          <xdr:rowOff>9525</xdr:rowOff>
        </xdr:to>
        <xdr:sp macro="" textlink="">
          <xdr:nvSpPr>
            <xdr:cNvPr id="1062" name="CheckBox33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42</xdr:row>
          <xdr:rowOff>47625</xdr:rowOff>
        </xdr:from>
        <xdr:to>
          <xdr:col>21</xdr:col>
          <xdr:colOff>219075</xdr:colOff>
          <xdr:row>43</xdr:row>
          <xdr:rowOff>9525</xdr:rowOff>
        </xdr:to>
        <xdr:sp macro="" textlink="">
          <xdr:nvSpPr>
            <xdr:cNvPr id="1063" name="CheckBox3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57150</xdr:colOff>
          <xdr:row>42</xdr:row>
          <xdr:rowOff>47625</xdr:rowOff>
        </xdr:from>
        <xdr:to>
          <xdr:col>37</xdr:col>
          <xdr:colOff>228600</xdr:colOff>
          <xdr:row>43</xdr:row>
          <xdr:rowOff>9525</xdr:rowOff>
        </xdr:to>
        <xdr:sp macro="" textlink="">
          <xdr:nvSpPr>
            <xdr:cNvPr id="1064" name="CheckBox35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28575</xdr:colOff>
          <xdr:row>42</xdr:row>
          <xdr:rowOff>47625</xdr:rowOff>
        </xdr:from>
        <xdr:to>
          <xdr:col>45</xdr:col>
          <xdr:colOff>200025</xdr:colOff>
          <xdr:row>43</xdr:row>
          <xdr:rowOff>9525</xdr:rowOff>
        </xdr:to>
        <xdr:sp macro="" textlink="">
          <xdr:nvSpPr>
            <xdr:cNvPr id="1065" name="CheckBox36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66675</xdr:colOff>
          <xdr:row>12</xdr:row>
          <xdr:rowOff>19050</xdr:rowOff>
        </xdr:from>
        <xdr:to>
          <xdr:col>85</xdr:col>
          <xdr:colOff>142875</xdr:colOff>
          <xdr:row>14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66675</xdr:colOff>
          <xdr:row>14</xdr:row>
          <xdr:rowOff>142875</xdr:rowOff>
        </xdr:from>
        <xdr:to>
          <xdr:col>85</xdr:col>
          <xdr:colOff>142875</xdr:colOff>
          <xdr:row>16</xdr:row>
          <xdr:rowOff>133350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Chercher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66675</xdr:colOff>
          <xdr:row>17</xdr:row>
          <xdr:rowOff>85725</xdr:rowOff>
        </xdr:from>
        <xdr:to>
          <xdr:col>85</xdr:col>
          <xdr:colOff>142875</xdr:colOff>
          <xdr:row>19</xdr:row>
          <xdr:rowOff>85725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66675</xdr:colOff>
          <xdr:row>20</xdr:row>
          <xdr:rowOff>28575</xdr:rowOff>
        </xdr:from>
        <xdr:to>
          <xdr:col>85</xdr:col>
          <xdr:colOff>133350</xdr:colOff>
          <xdr:row>22</xdr:row>
          <xdr:rowOff>19050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66675</xdr:colOff>
          <xdr:row>22</xdr:row>
          <xdr:rowOff>142875</xdr:rowOff>
        </xdr:from>
        <xdr:to>
          <xdr:col>85</xdr:col>
          <xdr:colOff>133350</xdr:colOff>
          <xdr:row>24</xdr:row>
          <xdr:rowOff>85725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48</xdr:col>
      <xdr:colOff>54428</xdr:colOff>
      <xdr:row>51</xdr:row>
      <xdr:rowOff>36299</xdr:rowOff>
    </xdr:from>
    <xdr:to>
      <xdr:col>62</xdr:col>
      <xdr:colOff>190500</xdr:colOff>
      <xdr:row>62</xdr:row>
      <xdr:rowOff>204106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285" y="9779013"/>
          <a:ext cx="3374572" cy="2998093"/>
        </a:xfrm>
        <a:prstGeom prst="rect">
          <a:avLst/>
        </a:prstGeom>
      </xdr:spPr>
    </xdr:pic>
    <xdr:clientData/>
  </xdr:twoCellAnchor>
  <xdr:twoCellAnchor editAs="oneCell">
    <xdr:from>
      <xdr:col>33</xdr:col>
      <xdr:colOff>27533</xdr:colOff>
      <xdr:row>51</xdr:row>
      <xdr:rowOff>23014</xdr:rowOff>
    </xdr:from>
    <xdr:to>
      <xdr:col>47</xdr:col>
      <xdr:colOff>204107</xdr:colOff>
      <xdr:row>62</xdr:row>
      <xdr:rowOff>217713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569" y="9765728"/>
          <a:ext cx="3415074" cy="3024985"/>
        </a:xfrm>
        <a:prstGeom prst="rect">
          <a:avLst/>
        </a:prstGeom>
      </xdr:spPr>
    </xdr:pic>
    <xdr:clientData/>
  </xdr:twoCellAnchor>
  <xdr:twoCellAnchor editAs="oneCell">
    <xdr:from>
      <xdr:col>63</xdr:col>
      <xdr:colOff>41462</xdr:colOff>
      <xdr:row>51</xdr:row>
      <xdr:rowOff>36944</xdr:rowOff>
    </xdr:from>
    <xdr:to>
      <xdr:col>77</xdr:col>
      <xdr:colOff>176892</xdr:colOff>
      <xdr:row>62</xdr:row>
      <xdr:rowOff>190500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9141" y="9779658"/>
          <a:ext cx="3373930" cy="29838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akar\OneDrive\Bureau\Service%20Technique\Canva-s\Canva%20suivi%20des%20Rendeme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2"/>
      <sheetName val="Sheet1"/>
      <sheetName val="Etat de Km"/>
      <sheetName val="Profondeur "/>
    </sheetNames>
    <sheetDataSet>
      <sheetData sheetId="0">
        <row r="1">
          <cell r="F1" t="str">
            <v>AV</v>
          </cell>
        </row>
      </sheetData>
      <sheetData sheetId="1">
        <row r="2">
          <cell r="B2" t="str">
            <v>100-0</v>
          </cell>
          <cell r="C2" t="str">
            <v>4x2</v>
          </cell>
        </row>
        <row r="3">
          <cell r="B3" t="str">
            <v>80-20</v>
          </cell>
          <cell r="C3" t="str">
            <v>4x2 - 3ES</v>
          </cell>
        </row>
        <row r="4">
          <cell r="B4" t="str">
            <v>60-40</v>
          </cell>
          <cell r="C4" t="str">
            <v>4x2 - 2ES</v>
          </cell>
        </row>
        <row r="5">
          <cell r="B5" t="str">
            <v>50-50</v>
          </cell>
          <cell r="C5" t="str">
            <v>6x4</v>
          </cell>
        </row>
        <row r="6">
          <cell r="B6" t="str">
            <v>40-60</v>
          </cell>
          <cell r="C6" t="str">
            <v>6x4 - 2ES</v>
          </cell>
        </row>
        <row r="7">
          <cell r="B7" t="str">
            <v>20-80</v>
          </cell>
          <cell r="C7" t="str">
            <v>6x4 - 3ES</v>
          </cell>
        </row>
        <row r="8">
          <cell r="B8" t="str">
            <v>0-100</v>
          </cell>
          <cell r="C8" t="str">
            <v>8x4</v>
          </cell>
        </row>
        <row r="9">
          <cell r="C9" t="str">
            <v>2ES</v>
          </cell>
        </row>
        <row r="10">
          <cell r="C10" t="str">
            <v>3ES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M111" totalsRowShown="0" headerRowDxfId="41" headerRowBorderDxfId="40" tableBorderDxfId="39" totalsRowBorderDxfId="38">
  <autoFilter ref="A1:M111" xr:uid="{00000000-0009-0000-0100-000001000000}"/>
  <tableColumns count="13">
    <tableColumn id="1" xr3:uid="{00000000-0010-0000-0000-000001000000}" name="NO" dataDxfId="37">
      <calculatedColumnFormula>ROW()-1</calculatedColumnFormula>
    </tableColumn>
    <tableColumn id="2" xr3:uid="{00000000-0010-0000-0000-000002000000}" name="Date" dataDxfId="36"/>
    <tableColumn id="3" xr3:uid="{00000000-0010-0000-0000-000003000000}" name="Nom de la société" dataDxfId="35"/>
    <tableColumn id="4" xr3:uid="{00000000-0010-0000-0000-000004000000}" name="Ville" dataDxfId="34"/>
    <tableColumn id="5" xr3:uid="{00000000-0010-0000-0000-000005000000}" name="Marque de la véhicule " dataDxfId="33"/>
    <tableColumn id="6" xr3:uid="{00000000-0010-0000-0000-000006000000}" name="Opérateur" dataDxfId="32"/>
    <tableColumn id="12" xr3:uid="{00000000-0010-0000-0000-00000C000000}" name="Configuration" dataDxfId="31"/>
    <tableColumn id="13" xr3:uid="{00000000-0010-0000-0000-00000D000000}" name="ON-OFF" dataDxfId="30"/>
    <tableColumn id="7" xr3:uid="{00000000-0010-0000-0000-000007000000}" name="Imm/N°pTRc" dataDxfId="29"/>
    <tableColumn id="8" xr3:uid="{00000000-0010-0000-0000-000008000000}" name="Compteur" dataDxfId="28"/>
    <tableColumn id="9" xr3:uid="{00000000-0010-0000-0000-000009000000}" name="Nom du chauffeur" dataDxfId="27"/>
    <tableColumn id="10" xr3:uid="{00000000-0010-0000-0000-00000A000000}" name="Tél" dataDxfId="26"/>
    <tableColumn id="11" xr3:uid="{00000000-0010-0000-0000-00000B000000}" name="Type de visiste 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W810" totalsRowShown="0" headerRowDxfId="24" dataDxfId="23">
  <tableColumns count="23">
    <tableColumn id="1" xr3:uid="{00000000-0010-0000-0100-000001000000}" name="No" dataDxfId="22">
      <calculatedColumnFormula>ROW()-1</calculatedColumnFormula>
    </tableColumn>
    <tableColumn id="2" xr3:uid="{00000000-0010-0000-0100-000002000000}" name="DATE" dataDxfId="21"/>
    <tableColumn id="3" xr3:uid="{00000000-0010-0000-0100-000003000000}" name="Client" dataDxfId="20"/>
    <tableColumn id="4" xr3:uid="{00000000-0010-0000-0100-000004000000}" name="Ville" dataDxfId="19"/>
    <tableColumn id="5" xr3:uid="{00000000-0010-0000-0100-000005000000}" name="Opérateur" dataDxfId="18"/>
    <tableColumn id="6" xr3:uid="{00000000-0010-0000-0100-000006000000}" name="Configuration" dataDxfId="17"/>
    <tableColumn id="7" xr3:uid="{00000000-0010-0000-0100-000007000000}" name="ON-OFF :" dataDxfId="16"/>
    <tableColumn id="8" xr3:uid="{00000000-0010-0000-0100-000008000000}" name="Imm" dataDxfId="15"/>
    <tableColumn id="9" xr3:uid="{00000000-0010-0000-0100-000009000000}" name="Dimension" dataDxfId="14"/>
    <tableColumn id="10" xr3:uid="{00000000-0010-0000-0100-00000A000000}" name="Marque" dataDxfId="13"/>
    <tableColumn id="11" xr3:uid="{00000000-0010-0000-0100-00000B000000}" name="Profil" dataDxfId="12"/>
    <tableColumn id="12" xr3:uid="{00000000-0010-0000-0100-00000C000000}" name="N° Série" dataDxfId="11"/>
    <tableColumn id="21" xr3:uid="{00000000-0010-0000-0100-000015000000}" name="DOT" dataDxfId="10"/>
    <tableColumn id="13" xr3:uid="{00000000-0010-0000-0100-00000D000000}" name="Date de montage" dataDxfId="9"/>
    <tableColumn id="14" xr3:uid="{00000000-0010-0000-0100-00000E000000}" name="Position" dataDxfId="8"/>
    <tableColumn id="15" xr3:uid="{00000000-0010-0000-0100-00000F000000}" name="P1" dataDxfId="7"/>
    <tableColumn id="16" xr3:uid="{00000000-0010-0000-0100-000010000000}" name="P2" dataDxfId="6"/>
    <tableColumn id="22" xr3:uid="{00000000-0010-0000-0100-000016000000}" name="P22" dataDxfId="5"/>
    <tableColumn id="17" xr3:uid="{00000000-0010-0000-0100-000011000000}" name="P3" dataDxfId="4"/>
    <tableColumn id="18" xr3:uid="{00000000-0010-0000-0100-000012000000}" name="Km de montage" dataDxfId="3"/>
    <tableColumn id="19" xr3:uid="{00000000-0010-0000-0100-000013000000}" name="Pression " dataDxfId="2"/>
    <tableColumn id="20" xr3:uid="{00000000-0010-0000-0100-000014000000}" name="Status" dataDxfId="1"/>
    <tableColumn id="23" xr3:uid="{00000000-0010-0000-0100-000017000000}" name="Montage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ctrlProp" Target="../ctrlProps/ctrlProp4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ctrlProp" Target="../ctrlProps/ctrlProp2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O7519"/>
  <sheetViews>
    <sheetView topLeftCell="G1" workbookViewId="0">
      <selection activeCell="L8" sqref="L8"/>
    </sheetView>
  </sheetViews>
  <sheetFormatPr defaultColWidth="9.1328125" defaultRowHeight="14.25" x14ac:dyDescent="0.45"/>
  <cols>
    <col min="1" max="1" width="18.59765625" bestFit="1" customWidth="1"/>
    <col min="2" max="2" width="8" bestFit="1" customWidth="1"/>
    <col min="3" max="3" width="13.265625" bestFit="1" customWidth="1"/>
    <col min="4" max="4" width="12.265625" bestFit="1" customWidth="1"/>
    <col min="5" max="5" width="11.1328125" bestFit="1" customWidth="1"/>
    <col min="6" max="6" width="17.86328125" bestFit="1" customWidth="1"/>
    <col min="7" max="7" width="27.73046875" bestFit="1" customWidth="1"/>
    <col min="8" max="8" width="5" bestFit="1" customWidth="1"/>
    <col min="9" max="9" width="13" style="52" bestFit="1" customWidth="1"/>
    <col min="10" max="10" width="13.59765625" style="52" bestFit="1" customWidth="1"/>
    <col min="11" max="11" width="17.86328125" bestFit="1" customWidth="1"/>
    <col min="12" max="12" width="13.73046875" bestFit="1" customWidth="1"/>
    <col min="13" max="13" width="18.73046875" bestFit="1" customWidth="1"/>
    <col min="14" max="14" width="43.1328125" bestFit="1" customWidth="1"/>
    <col min="15" max="15" width="24.59765625" bestFit="1" customWidth="1"/>
  </cols>
  <sheetData>
    <row r="1" spans="1:15" ht="15" thickBot="1" x14ac:dyDescent="0.5">
      <c r="A1" s="45" t="s">
        <v>68</v>
      </c>
      <c r="B1" s="45" t="s">
        <v>69</v>
      </c>
      <c r="C1" s="45" t="s">
        <v>34</v>
      </c>
      <c r="D1" s="49" t="s">
        <v>36</v>
      </c>
      <c r="E1" s="49" t="s">
        <v>3</v>
      </c>
      <c r="F1" s="49" t="s">
        <v>8</v>
      </c>
      <c r="G1" s="49" t="s">
        <v>268</v>
      </c>
      <c r="H1" s="49" t="s">
        <v>104</v>
      </c>
      <c r="I1" s="50" t="s">
        <v>3</v>
      </c>
      <c r="J1" s="50" t="s">
        <v>36</v>
      </c>
      <c r="K1" s="49" t="s">
        <v>8</v>
      </c>
      <c r="L1" s="49" t="s">
        <v>309</v>
      </c>
      <c r="M1" s="57" t="s">
        <v>313</v>
      </c>
      <c r="N1" s="58" t="s">
        <v>314</v>
      </c>
      <c r="O1" s="58" t="s">
        <v>315</v>
      </c>
    </row>
    <row r="2" spans="1:15" x14ac:dyDescent="0.45">
      <c r="A2" s="46" t="s">
        <v>70</v>
      </c>
      <c r="B2" s="46" t="s">
        <v>71</v>
      </c>
      <c r="C2" s="46" t="s">
        <v>72</v>
      </c>
      <c r="D2" s="51" t="s">
        <v>105</v>
      </c>
      <c r="E2" s="51" t="s">
        <v>106</v>
      </c>
      <c r="F2" s="51" t="s">
        <v>107</v>
      </c>
      <c r="G2" s="51" t="str">
        <f>E2&amp;F2</f>
        <v>11R22,5RHSII</v>
      </c>
      <c r="H2" s="53">
        <v>14.7</v>
      </c>
      <c r="I2" s="51" t="s">
        <v>143</v>
      </c>
      <c r="J2" s="100" t="s">
        <v>5592</v>
      </c>
      <c r="K2" s="101">
        <v>366</v>
      </c>
      <c r="L2" s="54" t="s">
        <v>310</v>
      </c>
      <c r="M2" s="59" t="s">
        <v>316</v>
      </c>
      <c r="N2" s="60" t="s">
        <v>317</v>
      </c>
      <c r="O2" s="61" t="s">
        <v>318</v>
      </c>
    </row>
    <row r="3" spans="1:15" x14ac:dyDescent="0.45">
      <c r="A3" s="46" t="s">
        <v>73</v>
      </c>
      <c r="B3" s="46" t="s">
        <v>74</v>
      </c>
      <c r="C3" s="46" t="s">
        <v>75</v>
      </c>
      <c r="D3" s="51" t="s">
        <v>105</v>
      </c>
      <c r="E3" s="51" t="s">
        <v>108</v>
      </c>
      <c r="F3" s="51" t="s">
        <v>109</v>
      </c>
      <c r="G3" s="51" t="str">
        <f t="shared" ref="G3:G66" si="0">E3&amp;F3</f>
        <v>12.00R20MSSII</v>
      </c>
      <c r="H3" s="53" t="s">
        <v>110</v>
      </c>
      <c r="I3" s="51" t="s">
        <v>123</v>
      </c>
      <c r="J3" s="100" t="s">
        <v>5628</v>
      </c>
      <c r="K3" s="101" t="s">
        <v>5721</v>
      </c>
      <c r="L3" t="s">
        <v>5776</v>
      </c>
      <c r="M3" s="62" t="s">
        <v>319</v>
      </c>
      <c r="N3" s="63" t="s">
        <v>320</v>
      </c>
      <c r="O3" s="64" t="s">
        <v>321</v>
      </c>
    </row>
    <row r="4" spans="1:15" x14ac:dyDescent="0.45">
      <c r="A4" s="46" t="s">
        <v>76</v>
      </c>
      <c r="B4" s="46" t="s">
        <v>54</v>
      </c>
      <c r="C4" s="46" t="s">
        <v>77</v>
      </c>
      <c r="D4" s="51" t="s">
        <v>111</v>
      </c>
      <c r="E4" s="51" t="s">
        <v>108</v>
      </c>
      <c r="F4" s="51" t="s">
        <v>112</v>
      </c>
      <c r="G4" s="51" t="str">
        <f t="shared" si="0"/>
        <v>12.00R20KMS</v>
      </c>
      <c r="H4" s="53">
        <v>16.5</v>
      </c>
      <c r="I4" s="51" t="s">
        <v>173</v>
      </c>
      <c r="J4" s="100" t="s">
        <v>5598</v>
      </c>
      <c r="K4" s="101" t="s">
        <v>5637</v>
      </c>
      <c r="L4" s="54" t="s">
        <v>311</v>
      </c>
      <c r="M4" s="62" t="s">
        <v>322</v>
      </c>
      <c r="N4" s="63" t="s">
        <v>323</v>
      </c>
      <c r="O4" s="64" t="s">
        <v>324</v>
      </c>
    </row>
    <row r="5" spans="1:15" x14ac:dyDescent="0.45">
      <c r="A5" s="46" t="s">
        <v>78</v>
      </c>
      <c r="B5" s="46" t="s">
        <v>79</v>
      </c>
      <c r="C5" s="46" t="s">
        <v>80</v>
      </c>
      <c r="D5" s="51" t="s">
        <v>105</v>
      </c>
      <c r="E5" s="51" t="s">
        <v>113</v>
      </c>
      <c r="F5" s="51" t="s">
        <v>114</v>
      </c>
      <c r="G5" s="51" t="str">
        <f t="shared" si="0"/>
        <v>12.00R24MSDII</v>
      </c>
      <c r="H5" s="53">
        <v>21.5</v>
      </c>
      <c r="I5" s="51" t="s">
        <v>130</v>
      </c>
      <c r="J5" s="100" t="s">
        <v>5600</v>
      </c>
      <c r="K5" s="101" t="s">
        <v>5681</v>
      </c>
      <c r="L5" s="54" t="s">
        <v>312</v>
      </c>
      <c r="M5" s="62" t="s">
        <v>325</v>
      </c>
      <c r="N5" s="63" t="s">
        <v>326</v>
      </c>
      <c r="O5" s="64" t="s">
        <v>327</v>
      </c>
    </row>
    <row r="6" spans="1:15" x14ac:dyDescent="0.45">
      <c r="A6" s="46" t="s">
        <v>81</v>
      </c>
      <c r="B6" s="46" t="s">
        <v>82</v>
      </c>
      <c r="C6" s="46" t="s">
        <v>83</v>
      </c>
      <c r="D6" s="51" t="s">
        <v>105</v>
      </c>
      <c r="E6" s="51" t="s">
        <v>113</v>
      </c>
      <c r="F6" s="51" t="s">
        <v>109</v>
      </c>
      <c r="G6" s="51" t="str">
        <f t="shared" si="0"/>
        <v>12.00R24MSSII</v>
      </c>
      <c r="H6" s="53">
        <v>15.6</v>
      </c>
      <c r="I6" s="51" t="s">
        <v>134</v>
      </c>
      <c r="J6" s="101" t="s">
        <v>5602</v>
      </c>
      <c r="K6" s="101" t="s">
        <v>5700</v>
      </c>
      <c r="M6" s="62" t="s">
        <v>328</v>
      </c>
      <c r="N6" s="63" t="s">
        <v>329</v>
      </c>
      <c r="O6" s="64" t="s">
        <v>330</v>
      </c>
    </row>
    <row r="7" spans="1:15" x14ac:dyDescent="0.45">
      <c r="A7" s="46" t="s">
        <v>84</v>
      </c>
      <c r="B7" s="46" t="s">
        <v>85</v>
      </c>
      <c r="C7" s="46" t="s">
        <v>86</v>
      </c>
      <c r="D7" s="51" t="s">
        <v>105</v>
      </c>
      <c r="E7" s="51" t="s">
        <v>113</v>
      </c>
      <c r="F7" s="51" t="s">
        <v>109</v>
      </c>
      <c r="G7" s="51" t="str">
        <f t="shared" si="0"/>
        <v>12.00R24MSSII</v>
      </c>
      <c r="H7" s="53">
        <v>15</v>
      </c>
      <c r="I7" s="51" t="s">
        <v>191</v>
      </c>
      <c r="J7" s="100" t="s">
        <v>142</v>
      </c>
      <c r="K7" s="101" t="s">
        <v>5660</v>
      </c>
      <c r="M7" s="62" t="s">
        <v>331</v>
      </c>
      <c r="N7" s="63" t="s">
        <v>332</v>
      </c>
      <c r="O7" s="64" t="s">
        <v>333</v>
      </c>
    </row>
    <row r="8" spans="1:15" x14ac:dyDescent="0.45">
      <c r="A8" s="46" t="s">
        <v>87</v>
      </c>
      <c r="B8" s="47" t="s">
        <v>88</v>
      </c>
      <c r="C8" s="46" t="s">
        <v>89</v>
      </c>
      <c r="D8" s="51" t="s">
        <v>111</v>
      </c>
      <c r="E8" s="51" t="s">
        <v>113</v>
      </c>
      <c r="F8" s="51" t="s">
        <v>112</v>
      </c>
      <c r="G8" s="51" t="str">
        <f t="shared" si="0"/>
        <v>12.00R24KMS</v>
      </c>
      <c r="H8" s="53">
        <v>17.5</v>
      </c>
      <c r="I8" s="51" t="s">
        <v>188</v>
      </c>
      <c r="J8" s="51" t="s">
        <v>304</v>
      </c>
      <c r="K8" s="51" t="s">
        <v>5765</v>
      </c>
      <c r="M8" s="62" t="s">
        <v>334</v>
      </c>
      <c r="N8" s="63" t="s">
        <v>335</v>
      </c>
      <c r="O8" s="64" t="s">
        <v>336</v>
      </c>
    </row>
    <row r="9" spans="1:15" x14ac:dyDescent="0.45">
      <c r="A9" s="46" t="s">
        <v>90</v>
      </c>
      <c r="B9" s="46" t="s">
        <v>91</v>
      </c>
      <c r="C9" s="46" t="s">
        <v>92</v>
      </c>
      <c r="D9" s="51" t="s">
        <v>115</v>
      </c>
      <c r="E9" s="51" t="s">
        <v>116</v>
      </c>
      <c r="F9" s="51" t="s">
        <v>117</v>
      </c>
      <c r="G9" s="51" t="str">
        <f t="shared" si="0"/>
        <v>12R22,5R250</v>
      </c>
      <c r="H9" s="53">
        <v>14.5</v>
      </c>
      <c r="I9" s="51" t="s">
        <v>116</v>
      </c>
      <c r="J9" s="100" t="s">
        <v>5616</v>
      </c>
      <c r="K9" s="101" t="s">
        <v>5670</v>
      </c>
      <c r="M9" s="62" t="s">
        <v>337</v>
      </c>
      <c r="N9" s="63" t="s">
        <v>338</v>
      </c>
      <c r="O9" s="64" t="s">
        <v>324</v>
      </c>
    </row>
    <row r="10" spans="1:15" x14ac:dyDescent="0.45">
      <c r="A10" s="46" t="s">
        <v>93</v>
      </c>
      <c r="B10" s="48"/>
      <c r="C10" s="46" t="s">
        <v>94</v>
      </c>
      <c r="D10" s="51" t="s">
        <v>105</v>
      </c>
      <c r="E10" s="51" t="s">
        <v>116</v>
      </c>
      <c r="F10" s="51" t="s">
        <v>107</v>
      </c>
      <c r="G10" s="51" t="str">
        <f t="shared" si="0"/>
        <v>12R22,5RHSII</v>
      </c>
      <c r="H10" s="53">
        <v>15.2</v>
      </c>
      <c r="I10" s="51" t="s">
        <v>126</v>
      </c>
      <c r="J10" s="100" t="s">
        <v>5587</v>
      </c>
      <c r="K10" s="101" t="s">
        <v>5630</v>
      </c>
      <c r="M10" s="62" t="s">
        <v>339</v>
      </c>
      <c r="N10" s="63" t="s">
        <v>340</v>
      </c>
      <c r="O10" s="64" t="s">
        <v>341</v>
      </c>
    </row>
    <row r="11" spans="1:15" x14ac:dyDescent="0.45">
      <c r="A11" s="46" t="s">
        <v>95</v>
      </c>
      <c r="B11" s="46"/>
      <c r="C11" s="48"/>
      <c r="D11" s="51" t="s">
        <v>118</v>
      </c>
      <c r="E11" s="51" t="s">
        <v>116</v>
      </c>
      <c r="F11" s="51" t="s">
        <v>119</v>
      </c>
      <c r="G11" s="51" t="str">
        <f t="shared" si="0"/>
        <v>12R22,5M111z</v>
      </c>
      <c r="H11" s="53" t="s">
        <v>120</v>
      </c>
      <c r="I11" s="51" t="s">
        <v>128</v>
      </c>
      <c r="J11" s="100" t="s">
        <v>115</v>
      </c>
      <c r="K11" s="101" t="s">
        <v>5656</v>
      </c>
      <c r="M11" s="65" t="s">
        <v>342</v>
      </c>
      <c r="N11" s="66" t="s">
        <v>343</v>
      </c>
      <c r="O11" s="64" t="s">
        <v>344</v>
      </c>
    </row>
    <row r="12" spans="1:15" x14ac:dyDescent="0.45">
      <c r="A12" s="46" t="s">
        <v>96</v>
      </c>
      <c r="B12" s="46"/>
      <c r="C12" s="48"/>
      <c r="D12" s="51" t="s">
        <v>118</v>
      </c>
      <c r="E12" s="51" t="s">
        <v>116</v>
      </c>
      <c r="F12" s="51" t="s">
        <v>121</v>
      </c>
      <c r="G12" s="51" t="str">
        <f t="shared" si="0"/>
        <v>12R22,5M87z</v>
      </c>
      <c r="H12" s="53" t="s">
        <v>120</v>
      </c>
      <c r="I12" s="51" t="s">
        <v>106</v>
      </c>
      <c r="J12" s="100" t="s">
        <v>281</v>
      </c>
      <c r="K12" s="101" t="s">
        <v>5728</v>
      </c>
      <c r="M12" s="62" t="s">
        <v>345</v>
      </c>
      <c r="N12" s="63" t="s">
        <v>346</v>
      </c>
      <c r="O12" s="64" t="s">
        <v>330</v>
      </c>
    </row>
    <row r="13" spans="1:15" x14ac:dyDescent="0.45">
      <c r="A13" s="46" t="s">
        <v>97</v>
      </c>
      <c r="B13" s="48"/>
      <c r="C13" s="48"/>
      <c r="D13" s="51" t="s">
        <v>122</v>
      </c>
      <c r="E13" s="51" t="s">
        <v>123</v>
      </c>
      <c r="F13" s="51" t="s">
        <v>124</v>
      </c>
      <c r="G13" s="51" t="str">
        <f t="shared" si="0"/>
        <v>13R22,5SP382</v>
      </c>
      <c r="H13" s="53">
        <v>18.5</v>
      </c>
      <c r="I13" s="51" t="s">
        <v>200</v>
      </c>
      <c r="J13" s="100" t="s">
        <v>136</v>
      </c>
      <c r="K13" s="101" t="s">
        <v>5666</v>
      </c>
      <c r="M13" s="62" t="s">
        <v>347</v>
      </c>
      <c r="N13" s="63" t="s">
        <v>348</v>
      </c>
      <c r="O13" s="64" t="s">
        <v>330</v>
      </c>
    </row>
    <row r="14" spans="1:15" x14ac:dyDescent="0.45">
      <c r="A14" s="46" t="s">
        <v>98</v>
      </c>
      <c r="B14" s="48"/>
      <c r="C14" s="48"/>
      <c r="D14" s="51" t="s">
        <v>105</v>
      </c>
      <c r="E14" s="51" t="s">
        <v>123</v>
      </c>
      <c r="F14" s="51" t="s">
        <v>125</v>
      </c>
      <c r="G14" s="51" t="str">
        <f t="shared" si="0"/>
        <v>13R22,5MSS</v>
      </c>
      <c r="H14" s="53">
        <v>18.5</v>
      </c>
      <c r="I14" s="51" t="s">
        <v>185</v>
      </c>
      <c r="J14" s="100" t="s">
        <v>5613</v>
      </c>
      <c r="K14" s="101" t="s">
        <v>5696</v>
      </c>
      <c r="M14" s="67" t="s">
        <v>349</v>
      </c>
      <c r="N14" s="68" t="s">
        <v>350</v>
      </c>
      <c r="O14" s="64" t="s">
        <v>318</v>
      </c>
    </row>
    <row r="15" spans="1:15" x14ac:dyDescent="0.45">
      <c r="A15" s="46" t="s">
        <v>99</v>
      </c>
      <c r="B15" s="48"/>
      <c r="C15" s="48"/>
      <c r="D15" s="51" t="s">
        <v>122</v>
      </c>
      <c r="E15" s="51" t="s">
        <v>126</v>
      </c>
      <c r="F15" s="51" t="s">
        <v>127</v>
      </c>
      <c r="G15" s="51" t="str">
        <f t="shared" si="0"/>
        <v>185/65R15LM704</v>
      </c>
      <c r="H15" s="53">
        <v>8.1</v>
      </c>
      <c r="I15" s="51" t="s">
        <v>198</v>
      </c>
      <c r="J15" s="100" t="s">
        <v>5627</v>
      </c>
      <c r="K15" s="51" t="s">
        <v>144</v>
      </c>
      <c r="M15" s="62" t="s">
        <v>351</v>
      </c>
      <c r="N15" s="63" t="s">
        <v>352</v>
      </c>
      <c r="O15" s="64" t="s">
        <v>318</v>
      </c>
    </row>
    <row r="16" spans="1:15" x14ac:dyDescent="0.45">
      <c r="A16" s="46" t="s">
        <v>100</v>
      </c>
      <c r="B16" s="48"/>
      <c r="C16" s="48"/>
      <c r="D16" s="51" t="s">
        <v>122</v>
      </c>
      <c r="E16" s="51" t="s">
        <v>128</v>
      </c>
      <c r="F16" s="51" t="s">
        <v>127</v>
      </c>
      <c r="G16" s="51" t="str">
        <f t="shared" si="0"/>
        <v>195/65R15LM704</v>
      </c>
      <c r="H16" s="53">
        <v>8.1999999999999993</v>
      </c>
      <c r="I16" s="51" t="s">
        <v>181</v>
      </c>
      <c r="J16" s="100" t="s">
        <v>5622</v>
      </c>
      <c r="K16" s="101" t="s">
        <v>5725</v>
      </c>
      <c r="M16" s="62" t="s">
        <v>353</v>
      </c>
      <c r="N16" s="63" t="s">
        <v>354</v>
      </c>
      <c r="O16" s="64" t="s">
        <v>330</v>
      </c>
    </row>
    <row r="17" spans="1:15" x14ac:dyDescent="0.45">
      <c r="A17" s="46" t="s">
        <v>101</v>
      </c>
      <c r="B17" s="48"/>
      <c r="C17" s="48"/>
      <c r="D17" s="51" t="s">
        <v>105</v>
      </c>
      <c r="E17" s="51" t="s">
        <v>129</v>
      </c>
      <c r="F17" s="51" t="s">
        <v>107</v>
      </c>
      <c r="G17" s="51" t="str">
        <f>E17&amp;F17</f>
        <v>205/75R17.5RHSII</v>
      </c>
      <c r="H17" s="53">
        <v>12.1</v>
      </c>
      <c r="I17" s="51" t="s">
        <v>269</v>
      </c>
      <c r="J17" s="100" t="s">
        <v>122</v>
      </c>
      <c r="K17" s="100" t="s">
        <v>304</v>
      </c>
      <c r="M17" s="62" t="s">
        <v>355</v>
      </c>
      <c r="N17" s="63" t="s">
        <v>356</v>
      </c>
      <c r="O17" s="64" t="s">
        <v>324</v>
      </c>
    </row>
    <row r="18" spans="1:15" x14ac:dyDescent="0.45">
      <c r="A18" s="46" t="s">
        <v>102</v>
      </c>
      <c r="B18" s="48"/>
      <c r="C18" s="48"/>
      <c r="D18" s="51" t="s">
        <v>105</v>
      </c>
      <c r="E18" s="51" t="s">
        <v>130</v>
      </c>
      <c r="F18" s="51" t="s">
        <v>107</v>
      </c>
      <c r="G18" s="51" t="str">
        <f t="shared" si="0"/>
        <v>215/75R17,5RHSII</v>
      </c>
      <c r="H18" s="53">
        <v>14</v>
      </c>
      <c r="I18" s="51" t="s">
        <v>203</v>
      </c>
      <c r="J18" s="100" t="s">
        <v>5624</v>
      </c>
      <c r="K18" s="101" t="s">
        <v>5650</v>
      </c>
      <c r="M18" s="62" t="s">
        <v>357</v>
      </c>
      <c r="N18" s="63" t="s">
        <v>358</v>
      </c>
      <c r="O18" s="64" t="s">
        <v>359</v>
      </c>
    </row>
    <row r="19" spans="1:15" x14ac:dyDescent="0.45">
      <c r="A19" s="54"/>
      <c r="B19" s="54"/>
      <c r="C19" s="54"/>
      <c r="D19" s="51" t="s">
        <v>118</v>
      </c>
      <c r="E19" s="51" t="s">
        <v>130</v>
      </c>
      <c r="F19" s="51" t="s">
        <v>131</v>
      </c>
      <c r="G19" s="51" t="str">
        <f t="shared" si="0"/>
        <v>215/75R17,5M1430</v>
      </c>
      <c r="H19" s="53">
        <v>12.6</v>
      </c>
      <c r="I19" s="51" t="s">
        <v>270</v>
      </c>
      <c r="J19" s="100" t="s">
        <v>5623</v>
      </c>
      <c r="K19" s="101" t="s">
        <v>5717</v>
      </c>
      <c r="M19" s="62" t="s">
        <v>360</v>
      </c>
      <c r="N19" s="63" t="s">
        <v>361</v>
      </c>
      <c r="O19" s="64" t="s">
        <v>330</v>
      </c>
    </row>
    <row r="20" spans="1:15" x14ac:dyDescent="0.45">
      <c r="A20" s="54"/>
      <c r="B20" s="54"/>
      <c r="C20" s="54"/>
      <c r="D20" s="51" t="s">
        <v>105</v>
      </c>
      <c r="E20" s="51" t="s">
        <v>132</v>
      </c>
      <c r="F20" s="51" t="s">
        <v>133</v>
      </c>
      <c r="G20" s="51" t="str">
        <f t="shared" si="0"/>
        <v>245/70R17,5RHTII</v>
      </c>
      <c r="H20" s="53">
        <v>11.3</v>
      </c>
      <c r="I20" s="51" t="s">
        <v>271</v>
      </c>
      <c r="J20" s="100" t="s">
        <v>5597</v>
      </c>
      <c r="K20" s="51" t="s">
        <v>179</v>
      </c>
      <c r="M20" s="62" t="s">
        <v>362</v>
      </c>
      <c r="N20" s="63" t="s">
        <v>363</v>
      </c>
      <c r="O20" s="64" t="s">
        <v>364</v>
      </c>
    </row>
    <row r="21" spans="1:15" x14ac:dyDescent="0.45">
      <c r="A21" s="54"/>
      <c r="B21" s="54"/>
      <c r="C21" s="54"/>
      <c r="D21" s="51" t="s">
        <v>115</v>
      </c>
      <c r="E21" s="51" t="s">
        <v>134</v>
      </c>
      <c r="F21" s="51" t="s">
        <v>135</v>
      </c>
      <c r="G21" s="51" t="str">
        <f t="shared" si="0"/>
        <v>295/80R22,5R-Steer001</v>
      </c>
      <c r="H21" s="53">
        <v>15.4</v>
      </c>
      <c r="I21" s="51" t="s">
        <v>201</v>
      </c>
      <c r="J21" s="100" t="s">
        <v>5614</v>
      </c>
      <c r="K21" s="101" t="s">
        <v>5727</v>
      </c>
      <c r="M21" s="62" t="s">
        <v>365</v>
      </c>
      <c r="N21" s="63" t="s">
        <v>366</v>
      </c>
      <c r="O21" s="64" t="s">
        <v>344</v>
      </c>
    </row>
    <row r="22" spans="1:15" x14ac:dyDescent="0.45">
      <c r="A22" s="54"/>
      <c r="B22" s="54"/>
      <c r="C22" s="54"/>
      <c r="D22" s="51" t="s">
        <v>136</v>
      </c>
      <c r="E22" s="51" t="s">
        <v>134</v>
      </c>
      <c r="F22" s="51" t="s">
        <v>137</v>
      </c>
      <c r="G22" s="51" t="str">
        <f t="shared" si="0"/>
        <v>295/80R22,5HS3</v>
      </c>
      <c r="H22" s="53">
        <v>13.6</v>
      </c>
      <c r="I22" s="51" t="s">
        <v>196</v>
      </c>
      <c r="J22" s="100" t="s">
        <v>5608</v>
      </c>
      <c r="K22" s="51" t="s">
        <v>138</v>
      </c>
      <c r="M22" s="62" t="s">
        <v>367</v>
      </c>
      <c r="N22" s="63" t="s">
        <v>368</v>
      </c>
      <c r="O22" s="64" t="s">
        <v>330</v>
      </c>
    </row>
    <row r="23" spans="1:15" x14ac:dyDescent="0.45">
      <c r="A23" s="54"/>
      <c r="B23" s="54"/>
      <c r="C23" s="54"/>
      <c r="D23" s="51" t="s">
        <v>105</v>
      </c>
      <c r="E23" s="51" t="s">
        <v>134</v>
      </c>
      <c r="F23" s="51" t="s">
        <v>138</v>
      </c>
      <c r="G23" s="51" t="str">
        <f t="shared" si="0"/>
        <v>295/80R22,5COACH</v>
      </c>
      <c r="H23" s="53">
        <v>13.6</v>
      </c>
      <c r="I23" s="51" t="s">
        <v>228</v>
      </c>
      <c r="J23" s="100" t="s">
        <v>5599</v>
      </c>
      <c r="K23" s="51" t="s">
        <v>258</v>
      </c>
      <c r="M23" s="62" t="s">
        <v>369</v>
      </c>
      <c r="N23" s="63" t="s">
        <v>370</v>
      </c>
      <c r="O23" s="64" t="s">
        <v>318</v>
      </c>
    </row>
    <row r="24" spans="1:15" x14ac:dyDescent="0.45">
      <c r="A24" s="54"/>
      <c r="B24" s="54"/>
      <c r="C24" s="54"/>
      <c r="D24" s="51" t="s">
        <v>105</v>
      </c>
      <c r="E24" s="51" t="s">
        <v>134</v>
      </c>
      <c r="F24" s="51" t="s">
        <v>139</v>
      </c>
      <c r="G24" s="51" t="str">
        <f t="shared" si="0"/>
        <v>295/80R22,5LHSII</v>
      </c>
      <c r="H24" s="53">
        <v>13.6</v>
      </c>
      <c r="I24" s="51" t="s">
        <v>259</v>
      </c>
      <c r="J24" s="100" t="s">
        <v>154</v>
      </c>
      <c r="K24" s="101" t="s">
        <v>5744</v>
      </c>
      <c r="M24" s="69" t="s">
        <v>371</v>
      </c>
      <c r="N24" s="70" t="s">
        <v>372</v>
      </c>
      <c r="O24" s="63" t="s">
        <v>373</v>
      </c>
    </row>
    <row r="25" spans="1:15" x14ac:dyDescent="0.45">
      <c r="A25" s="54"/>
      <c r="B25" s="54"/>
      <c r="C25" s="54"/>
      <c r="D25" s="51" t="s">
        <v>105</v>
      </c>
      <c r="E25" s="51" t="s">
        <v>134</v>
      </c>
      <c r="F25" s="51" t="s">
        <v>140</v>
      </c>
      <c r="G25" s="51" t="str">
        <f t="shared" si="0"/>
        <v>295/80R22,5LHSII+</v>
      </c>
      <c r="H25" s="53">
        <v>13.6</v>
      </c>
      <c r="I25" s="51" t="s">
        <v>266</v>
      </c>
      <c r="J25" s="100" t="s">
        <v>5589</v>
      </c>
      <c r="K25" s="101" t="s">
        <v>5668</v>
      </c>
      <c r="M25" s="71" t="s">
        <v>374</v>
      </c>
      <c r="N25" s="72" t="s">
        <v>375</v>
      </c>
      <c r="O25" s="64" t="s">
        <v>330</v>
      </c>
    </row>
    <row r="26" spans="1:15" x14ac:dyDescent="0.45">
      <c r="A26" s="54"/>
      <c r="B26" s="54"/>
      <c r="C26" s="54"/>
      <c r="D26" s="51" t="s">
        <v>105</v>
      </c>
      <c r="E26" s="51" t="s">
        <v>134</v>
      </c>
      <c r="F26" s="51" t="s">
        <v>107</v>
      </c>
      <c r="G26" s="51" t="str">
        <f t="shared" si="0"/>
        <v>295/80R22,5RHSII</v>
      </c>
      <c r="H26" s="53" t="s">
        <v>141</v>
      </c>
      <c r="I26" s="51" t="s">
        <v>267</v>
      </c>
      <c r="J26" s="100" t="s">
        <v>5618</v>
      </c>
      <c r="K26" s="101" t="s">
        <v>5709</v>
      </c>
      <c r="M26" s="62" t="s">
        <v>376</v>
      </c>
      <c r="N26" s="63" t="s">
        <v>377</v>
      </c>
      <c r="O26" s="64" t="s">
        <v>330</v>
      </c>
    </row>
    <row r="27" spans="1:15" x14ac:dyDescent="0.45">
      <c r="A27" s="54"/>
      <c r="B27" s="54"/>
      <c r="C27" s="54"/>
      <c r="D27" s="51" t="s">
        <v>105</v>
      </c>
      <c r="E27" s="51" t="s">
        <v>134</v>
      </c>
      <c r="F27" s="51" t="s">
        <v>107</v>
      </c>
      <c r="G27" s="51" t="str">
        <f t="shared" si="0"/>
        <v>295/80R22,5RHSII</v>
      </c>
      <c r="H27" s="53">
        <v>15</v>
      </c>
      <c r="I27" s="51" t="s">
        <v>272</v>
      </c>
      <c r="J27" s="100" t="s">
        <v>5593</v>
      </c>
      <c r="K27" s="101" t="s">
        <v>5748</v>
      </c>
      <c r="M27" s="62" t="s">
        <v>378</v>
      </c>
      <c r="N27" s="63" t="s">
        <v>379</v>
      </c>
      <c r="O27" s="64" t="s">
        <v>341</v>
      </c>
    </row>
    <row r="28" spans="1:15" x14ac:dyDescent="0.45">
      <c r="A28" s="54"/>
      <c r="B28" s="54"/>
      <c r="C28" s="54"/>
      <c r="D28" s="51" t="s">
        <v>142</v>
      </c>
      <c r="E28" s="51" t="s">
        <v>143</v>
      </c>
      <c r="F28" s="51" t="s">
        <v>144</v>
      </c>
      <c r="G28" s="51" t="str">
        <f t="shared" si="0"/>
        <v>315/80R22,5AT127</v>
      </c>
      <c r="H28" s="53">
        <v>19</v>
      </c>
      <c r="I28" s="51" t="s">
        <v>274</v>
      </c>
      <c r="J28" s="100" t="s">
        <v>105</v>
      </c>
      <c r="K28" s="101" t="s">
        <v>205</v>
      </c>
      <c r="M28" s="62" t="s">
        <v>380</v>
      </c>
      <c r="N28" s="63" t="s">
        <v>381</v>
      </c>
      <c r="O28" s="64" t="s">
        <v>330</v>
      </c>
    </row>
    <row r="29" spans="1:15" x14ac:dyDescent="0.45">
      <c r="A29" s="54"/>
      <c r="B29" s="54"/>
      <c r="C29" s="54"/>
      <c r="D29" s="51" t="s">
        <v>115</v>
      </c>
      <c r="E29" s="51" t="s">
        <v>143</v>
      </c>
      <c r="F29" s="51" t="s">
        <v>145</v>
      </c>
      <c r="G29" s="51" t="str">
        <f t="shared" si="0"/>
        <v>315/80R22,5M729z</v>
      </c>
      <c r="H29" s="53">
        <v>22.3</v>
      </c>
      <c r="I29" s="51" t="s">
        <v>275</v>
      </c>
      <c r="J29" s="100" t="s">
        <v>5607</v>
      </c>
      <c r="K29" s="101" t="s">
        <v>5676</v>
      </c>
      <c r="M29" s="73" t="s">
        <v>382</v>
      </c>
      <c r="N29" s="74" t="s">
        <v>383</v>
      </c>
      <c r="O29" s="64" t="s">
        <v>330</v>
      </c>
    </row>
    <row r="30" spans="1:15" x14ac:dyDescent="0.45">
      <c r="A30" s="54"/>
      <c r="B30" s="54"/>
      <c r="C30" s="54"/>
      <c r="D30" s="51" t="s">
        <v>115</v>
      </c>
      <c r="E30" s="51" t="s">
        <v>143</v>
      </c>
      <c r="F30" s="51" t="s">
        <v>146</v>
      </c>
      <c r="G30" s="51" t="str">
        <f t="shared" si="0"/>
        <v>315/80R22,5M749</v>
      </c>
      <c r="H30" s="53">
        <v>17.7</v>
      </c>
      <c r="I30" s="51" t="s">
        <v>276</v>
      </c>
      <c r="J30" s="100" t="s">
        <v>280</v>
      </c>
      <c r="K30" s="101" t="s">
        <v>5678</v>
      </c>
      <c r="M30" s="62" t="s">
        <v>384</v>
      </c>
      <c r="N30" s="63" t="s">
        <v>385</v>
      </c>
      <c r="O30" s="64" t="s">
        <v>318</v>
      </c>
    </row>
    <row r="31" spans="1:15" x14ac:dyDescent="0.45">
      <c r="A31" s="54"/>
      <c r="B31" s="54"/>
      <c r="C31" s="54"/>
      <c r="D31" s="51" t="s">
        <v>115</v>
      </c>
      <c r="E31" s="51" t="s">
        <v>143</v>
      </c>
      <c r="F31" s="51" t="s">
        <v>147</v>
      </c>
      <c r="G31" s="51" t="str">
        <f t="shared" si="0"/>
        <v>315/80R22,5M840</v>
      </c>
      <c r="H31" s="53">
        <v>17</v>
      </c>
      <c r="I31" s="51" t="s">
        <v>277</v>
      </c>
      <c r="J31" s="100" t="s">
        <v>5619</v>
      </c>
      <c r="K31" s="101" t="s">
        <v>5750</v>
      </c>
      <c r="M31" s="71" t="s">
        <v>386</v>
      </c>
      <c r="N31" s="72" t="s">
        <v>387</v>
      </c>
      <c r="O31" s="64" t="s">
        <v>330</v>
      </c>
    </row>
    <row r="32" spans="1:15" x14ac:dyDescent="0.45">
      <c r="A32" s="54"/>
      <c r="B32" s="54"/>
      <c r="C32" s="54"/>
      <c r="D32" s="51" t="s">
        <v>115</v>
      </c>
      <c r="E32" s="51" t="s">
        <v>143</v>
      </c>
      <c r="F32" s="51" t="s">
        <v>148</v>
      </c>
      <c r="G32" s="51" t="str">
        <f t="shared" si="0"/>
        <v>315/80R22,5R152GZ</v>
      </c>
      <c r="H32" s="53">
        <v>14.5</v>
      </c>
      <c r="I32" s="51" t="s">
        <v>278</v>
      </c>
      <c r="J32" s="100" t="s">
        <v>5615</v>
      </c>
      <c r="K32" s="101" t="s">
        <v>5729</v>
      </c>
      <c r="M32" s="62" t="s">
        <v>388</v>
      </c>
      <c r="N32" s="63" t="s">
        <v>389</v>
      </c>
      <c r="O32" s="64" t="s">
        <v>330</v>
      </c>
    </row>
    <row r="33" spans="1:15" x14ac:dyDescent="0.45">
      <c r="A33" s="54"/>
      <c r="B33" s="54"/>
      <c r="C33" s="54"/>
      <c r="D33" s="51" t="s">
        <v>115</v>
      </c>
      <c r="E33" s="51" t="s">
        <v>143</v>
      </c>
      <c r="F33" s="51" t="s">
        <v>149</v>
      </c>
      <c r="G33" s="51" t="str">
        <f t="shared" si="0"/>
        <v>315/80R22,5R184</v>
      </c>
      <c r="H33" s="53">
        <v>13.6</v>
      </c>
      <c r="I33" s="51" t="s">
        <v>108</v>
      </c>
      <c r="J33" s="100" t="s">
        <v>5621</v>
      </c>
      <c r="K33" s="101" t="s">
        <v>5677</v>
      </c>
      <c r="M33" s="62" t="s">
        <v>390</v>
      </c>
      <c r="N33" s="63" t="s">
        <v>391</v>
      </c>
      <c r="O33" s="64" t="s">
        <v>330</v>
      </c>
    </row>
    <row r="34" spans="1:15" x14ac:dyDescent="0.45">
      <c r="A34" s="54"/>
      <c r="B34" s="54"/>
      <c r="C34" s="54"/>
      <c r="D34" s="51" t="s">
        <v>115</v>
      </c>
      <c r="E34" s="51" t="s">
        <v>143</v>
      </c>
      <c r="F34" s="51" t="s">
        <v>150</v>
      </c>
      <c r="G34" s="51" t="str">
        <f t="shared" si="0"/>
        <v>315/80R22,5R249</v>
      </c>
      <c r="H34" s="53">
        <v>14.7</v>
      </c>
      <c r="I34" s="51" t="s">
        <v>113</v>
      </c>
      <c r="J34" s="100" t="s">
        <v>5610</v>
      </c>
      <c r="K34" s="101" t="s">
        <v>5739</v>
      </c>
      <c r="M34" s="62" t="s">
        <v>392</v>
      </c>
      <c r="N34" s="63" t="s">
        <v>393</v>
      </c>
      <c r="O34" s="64" t="s">
        <v>330</v>
      </c>
    </row>
    <row r="35" spans="1:15" x14ac:dyDescent="0.45">
      <c r="A35" s="54"/>
      <c r="B35" s="54"/>
      <c r="C35" s="54"/>
      <c r="D35" s="51" t="s">
        <v>115</v>
      </c>
      <c r="E35" s="51" t="s">
        <v>143</v>
      </c>
      <c r="F35" s="51" t="s">
        <v>151</v>
      </c>
      <c r="G35" s="51" t="str">
        <f t="shared" si="0"/>
        <v>315/80R22,5R-Drive001</v>
      </c>
      <c r="H35" s="53">
        <v>22.2</v>
      </c>
      <c r="I35" s="51" t="s">
        <v>132</v>
      </c>
      <c r="J35" s="101" t="s">
        <v>5603</v>
      </c>
      <c r="K35" s="101" t="s">
        <v>5672</v>
      </c>
      <c r="M35" s="62" t="s">
        <v>394</v>
      </c>
      <c r="N35" s="63" t="s">
        <v>395</v>
      </c>
      <c r="O35" s="64" t="s">
        <v>330</v>
      </c>
    </row>
    <row r="36" spans="1:15" x14ac:dyDescent="0.45">
      <c r="A36" s="54"/>
      <c r="B36" s="54"/>
      <c r="C36" s="54"/>
      <c r="D36" s="51" t="s">
        <v>115</v>
      </c>
      <c r="E36" s="51" t="s">
        <v>143</v>
      </c>
      <c r="F36" s="51" t="s">
        <v>135</v>
      </c>
      <c r="G36" s="51" t="str">
        <f t="shared" si="0"/>
        <v>315/80R22,5R-Steer001</v>
      </c>
      <c r="H36" s="53">
        <v>16.899999999999999</v>
      </c>
      <c r="I36" s="51" t="s">
        <v>183</v>
      </c>
      <c r="J36" s="100" t="s">
        <v>111</v>
      </c>
      <c r="K36" s="51" t="s">
        <v>155</v>
      </c>
      <c r="M36" s="62" t="s">
        <v>396</v>
      </c>
      <c r="N36" s="63" t="s">
        <v>397</v>
      </c>
      <c r="O36" s="64" t="s">
        <v>330</v>
      </c>
    </row>
    <row r="37" spans="1:15" x14ac:dyDescent="0.45">
      <c r="A37" s="54"/>
      <c r="B37" s="54"/>
      <c r="C37" s="54"/>
      <c r="D37" s="51" t="s">
        <v>122</v>
      </c>
      <c r="E37" s="51" t="s">
        <v>143</v>
      </c>
      <c r="F37" s="51" t="s">
        <v>152</v>
      </c>
      <c r="G37" s="51" t="str">
        <f t="shared" si="0"/>
        <v>315/80R22,5SP344</v>
      </c>
      <c r="H37" s="53">
        <v>15.5</v>
      </c>
      <c r="I37" s="51" t="s">
        <v>283</v>
      </c>
      <c r="J37" s="100" t="s">
        <v>225</v>
      </c>
      <c r="K37" s="101" t="s">
        <v>5753</v>
      </c>
      <c r="M37" s="62" t="s">
        <v>398</v>
      </c>
      <c r="N37" s="63" t="s">
        <v>399</v>
      </c>
      <c r="O37" s="64" t="s">
        <v>400</v>
      </c>
    </row>
    <row r="38" spans="1:15" x14ac:dyDescent="0.45">
      <c r="A38" s="54"/>
      <c r="B38" s="54"/>
      <c r="C38" s="54"/>
      <c r="D38" s="51" t="s">
        <v>122</v>
      </c>
      <c r="E38" s="51" t="s">
        <v>143</v>
      </c>
      <c r="F38" s="51" t="s">
        <v>153</v>
      </c>
      <c r="G38" s="51" t="str">
        <f t="shared" si="0"/>
        <v>315/80R22,5SP444</v>
      </c>
      <c r="H38" s="53">
        <v>22.6</v>
      </c>
      <c r="I38" s="51" t="s">
        <v>284</v>
      </c>
      <c r="J38" s="101" t="s">
        <v>279</v>
      </c>
      <c r="K38" s="101" t="s">
        <v>5638</v>
      </c>
      <c r="M38" s="62" t="s">
        <v>401</v>
      </c>
      <c r="N38" s="63" t="s">
        <v>402</v>
      </c>
      <c r="O38" s="64" t="s">
        <v>403</v>
      </c>
    </row>
    <row r="39" spans="1:15" x14ac:dyDescent="0.45">
      <c r="A39" s="54"/>
      <c r="B39" s="54"/>
      <c r="C39" s="54"/>
      <c r="D39" s="51" t="s">
        <v>154</v>
      </c>
      <c r="E39" s="51" t="s">
        <v>143</v>
      </c>
      <c r="F39" s="51" t="s">
        <v>155</v>
      </c>
      <c r="G39" s="51" t="str">
        <f t="shared" si="0"/>
        <v>315/80R22,5Ecocontrol 2</v>
      </c>
      <c r="H39" s="53">
        <v>14</v>
      </c>
      <c r="I39" s="51" t="s">
        <v>285</v>
      </c>
      <c r="J39" s="101" t="s">
        <v>180</v>
      </c>
      <c r="K39" s="101" t="s">
        <v>5730</v>
      </c>
      <c r="M39" s="62" t="s">
        <v>404</v>
      </c>
      <c r="N39" s="63" t="s">
        <v>405</v>
      </c>
      <c r="O39" s="64" t="s">
        <v>330</v>
      </c>
    </row>
    <row r="40" spans="1:15" x14ac:dyDescent="0.45">
      <c r="A40" s="54"/>
      <c r="B40" s="54"/>
      <c r="C40" s="54"/>
      <c r="D40" s="51" t="s">
        <v>154</v>
      </c>
      <c r="E40" s="51" t="s">
        <v>143</v>
      </c>
      <c r="F40" s="51" t="s">
        <v>156</v>
      </c>
      <c r="G40" s="51" t="str">
        <f t="shared" si="0"/>
        <v>315/80R22,5Ecoforce 2</v>
      </c>
      <c r="H40" s="53">
        <v>20</v>
      </c>
      <c r="I40" s="51" t="s">
        <v>286</v>
      </c>
      <c r="J40" s="100" t="s">
        <v>204</v>
      </c>
      <c r="K40" s="101" t="s">
        <v>5689</v>
      </c>
      <c r="M40" s="73" t="s">
        <v>406</v>
      </c>
      <c r="N40" s="74" t="s">
        <v>407</v>
      </c>
      <c r="O40" s="64" t="s">
        <v>330</v>
      </c>
    </row>
    <row r="41" spans="1:15" x14ac:dyDescent="0.45">
      <c r="A41" s="54"/>
      <c r="B41" s="54"/>
      <c r="C41" s="54"/>
      <c r="D41" s="51" t="s">
        <v>105</v>
      </c>
      <c r="E41" s="51" t="s">
        <v>143</v>
      </c>
      <c r="F41" s="51" t="s">
        <v>157</v>
      </c>
      <c r="G41" s="51" t="str">
        <f t="shared" si="0"/>
        <v>315/80R22,5FUELMAX D</v>
      </c>
      <c r="H41" s="53">
        <v>16</v>
      </c>
      <c r="I41" s="51" t="s">
        <v>287</v>
      </c>
      <c r="J41" s="100" t="s">
        <v>5626</v>
      </c>
      <c r="K41" s="51" t="s">
        <v>176</v>
      </c>
      <c r="M41" s="62" t="s">
        <v>408</v>
      </c>
      <c r="N41" s="63" t="s">
        <v>409</v>
      </c>
      <c r="O41" s="64" t="s">
        <v>330</v>
      </c>
    </row>
    <row r="42" spans="1:15" x14ac:dyDescent="0.45">
      <c r="A42" s="54"/>
      <c r="B42" s="54"/>
      <c r="C42" s="54"/>
      <c r="D42" s="51" t="s">
        <v>105</v>
      </c>
      <c r="E42" s="51" t="s">
        <v>143</v>
      </c>
      <c r="F42" s="51" t="s">
        <v>158</v>
      </c>
      <c r="G42" s="51" t="str">
        <f t="shared" si="0"/>
        <v>315/80R22,5KAMAX D</v>
      </c>
      <c r="H42" s="53">
        <v>23.6</v>
      </c>
      <c r="I42" s="51" t="s">
        <v>289</v>
      </c>
      <c r="J42" s="100" t="s">
        <v>5611</v>
      </c>
      <c r="K42" s="101" t="s">
        <v>5648</v>
      </c>
      <c r="M42" s="62" t="s">
        <v>410</v>
      </c>
      <c r="N42" s="63" t="s">
        <v>411</v>
      </c>
      <c r="O42" s="64" t="s">
        <v>324</v>
      </c>
    </row>
    <row r="43" spans="1:15" x14ac:dyDescent="0.45">
      <c r="A43" s="54"/>
      <c r="B43" s="54"/>
      <c r="C43" s="54"/>
      <c r="D43" s="51" t="s">
        <v>105</v>
      </c>
      <c r="E43" s="51" t="s">
        <v>143</v>
      </c>
      <c r="F43" s="51" t="s">
        <v>159</v>
      </c>
      <c r="G43" s="51" t="str">
        <f t="shared" si="0"/>
        <v>315/80R22,5KAMAX S</v>
      </c>
      <c r="H43" s="53">
        <v>15.6</v>
      </c>
      <c r="I43" s="51" t="s">
        <v>290</v>
      </c>
      <c r="J43" s="100" t="s">
        <v>164</v>
      </c>
      <c r="K43" s="101" t="s">
        <v>5655</v>
      </c>
      <c r="M43" s="62" t="s">
        <v>412</v>
      </c>
      <c r="N43" s="63" t="s">
        <v>413</v>
      </c>
      <c r="O43" s="64" t="s">
        <v>414</v>
      </c>
    </row>
    <row r="44" spans="1:15" x14ac:dyDescent="0.45">
      <c r="A44" s="54"/>
      <c r="B44" s="54"/>
      <c r="C44" s="54"/>
      <c r="D44" s="51" t="s">
        <v>105</v>
      </c>
      <c r="E44" s="51" t="s">
        <v>143</v>
      </c>
      <c r="F44" s="51" t="s">
        <v>160</v>
      </c>
      <c r="G44" s="51" t="str">
        <f t="shared" si="0"/>
        <v>315/80R22,5LHDII</v>
      </c>
      <c r="H44" s="53">
        <v>18.3</v>
      </c>
      <c r="I44" s="51" t="s">
        <v>291</v>
      </c>
      <c r="J44" s="100" t="s">
        <v>5596</v>
      </c>
      <c r="K44" s="101" t="s">
        <v>5742</v>
      </c>
      <c r="M44" s="62" t="s">
        <v>415</v>
      </c>
      <c r="N44" s="63" t="s">
        <v>416</v>
      </c>
      <c r="O44" s="64" t="s">
        <v>417</v>
      </c>
    </row>
    <row r="45" spans="1:15" x14ac:dyDescent="0.45">
      <c r="A45" s="54"/>
      <c r="B45" s="54"/>
      <c r="C45" s="54"/>
      <c r="D45" s="51" t="s">
        <v>105</v>
      </c>
      <c r="E45" s="51" t="s">
        <v>143</v>
      </c>
      <c r="F45" s="51" t="s">
        <v>139</v>
      </c>
      <c r="G45" s="51" t="str">
        <f t="shared" si="0"/>
        <v>315/80R22,5LHSII</v>
      </c>
      <c r="H45" s="53">
        <v>14</v>
      </c>
      <c r="I45" s="51" t="s">
        <v>292</v>
      </c>
      <c r="J45" s="100" t="s">
        <v>5609</v>
      </c>
      <c r="K45" s="51" t="s">
        <v>246</v>
      </c>
      <c r="M45" s="62" t="s">
        <v>418</v>
      </c>
      <c r="N45" s="63" t="s">
        <v>419</v>
      </c>
      <c r="O45" s="64" t="s">
        <v>420</v>
      </c>
    </row>
    <row r="46" spans="1:15" x14ac:dyDescent="0.45">
      <c r="A46" s="54"/>
      <c r="B46" s="54"/>
      <c r="C46" s="54"/>
      <c r="D46" s="51" t="s">
        <v>105</v>
      </c>
      <c r="E46" s="51" t="s">
        <v>143</v>
      </c>
      <c r="F46" s="51" t="s">
        <v>109</v>
      </c>
      <c r="G46" s="51" t="str">
        <f t="shared" si="0"/>
        <v>315/80R22,5MSSII</v>
      </c>
      <c r="H46" s="53">
        <v>18</v>
      </c>
      <c r="I46" s="51" t="s">
        <v>293</v>
      </c>
      <c r="J46" s="100" t="s">
        <v>5606</v>
      </c>
      <c r="K46" s="51" t="s">
        <v>5759</v>
      </c>
      <c r="M46" s="69" t="s">
        <v>421</v>
      </c>
      <c r="N46" s="70" t="s">
        <v>422</v>
      </c>
      <c r="O46" s="63" t="s">
        <v>373</v>
      </c>
    </row>
    <row r="47" spans="1:15" x14ac:dyDescent="0.45">
      <c r="A47" s="54"/>
      <c r="B47" s="54"/>
      <c r="C47" s="54"/>
      <c r="D47" s="51" t="s">
        <v>105</v>
      </c>
      <c r="E47" s="51" t="s">
        <v>143</v>
      </c>
      <c r="F47" s="51" t="s">
        <v>161</v>
      </c>
      <c r="G47" s="51" t="str">
        <f t="shared" si="0"/>
        <v>315/80R22,5RHDII</v>
      </c>
      <c r="H47" s="53">
        <v>21.5</v>
      </c>
      <c r="I47" s="51" t="s">
        <v>294</v>
      </c>
      <c r="J47" s="100" t="s">
        <v>5588</v>
      </c>
      <c r="K47" s="51" t="s">
        <v>5758</v>
      </c>
      <c r="M47" s="62" t="s">
        <v>423</v>
      </c>
      <c r="N47" s="63" t="s">
        <v>424</v>
      </c>
      <c r="O47" s="64" t="s">
        <v>425</v>
      </c>
    </row>
    <row r="48" spans="1:15" x14ac:dyDescent="0.45">
      <c r="A48" s="54"/>
      <c r="B48" s="54"/>
      <c r="C48" s="54"/>
      <c r="D48" s="51" t="s">
        <v>105</v>
      </c>
      <c r="E48" s="51" t="s">
        <v>143</v>
      </c>
      <c r="F48" s="51" t="s">
        <v>162</v>
      </c>
      <c r="G48" s="51" t="str">
        <f t="shared" si="0"/>
        <v>315/80R22,5RHDII+</v>
      </c>
      <c r="H48" s="53">
        <v>21</v>
      </c>
      <c r="I48" s="51" t="s">
        <v>295</v>
      </c>
      <c r="J48" s="100" t="s">
        <v>5629</v>
      </c>
      <c r="K48" s="101" t="s">
        <v>5662</v>
      </c>
      <c r="M48" s="62" t="s">
        <v>426</v>
      </c>
      <c r="N48" s="63" t="s">
        <v>424</v>
      </c>
      <c r="O48" s="64" t="s">
        <v>324</v>
      </c>
    </row>
    <row r="49" spans="1:15" x14ac:dyDescent="0.45">
      <c r="A49" s="54"/>
      <c r="B49" s="54"/>
      <c r="C49" s="54"/>
      <c r="D49" s="51" t="s">
        <v>105</v>
      </c>
      <c r="E49" s="51" t="s">
        <v>143</v>
      </c>
      <c r="F49" s="51" t="s">
        <v>107</v>
      </c>
      <c r="G49" s="51" t="str">
        <f t="shared" si="0"/>
        <v>315/80R22,5RHSII</v>
      </c>
      <c r="H49" s="53">
        <v>15.7</v>
      </c>
      <c r="I49" s="51" t="s">
        <v>296</v>
      </c>
      <c r="J49" s="100" t="s">
        <v>5590</v>
      </c>
      <c r="K49" s="101" t="s">
        <v>5760</v>
      </c>
      <c r="M49" s="62" t="s">
        <v>427</v>
      </c>
      <c r="N49" s="72" t="s">
        <v>428</v>
      </c>
      <c r="O49" s="64" t="s">
        <v>330</v>
      </c>
    </row>
    <row r="50" spans="1:15" x14ac:dyDescent="0.45">
      <c r="A50" s="54"/>
      <c r="B50" s="54"/>
      <c r="C50" s="54"/>
      <c r="D50" s="51" t="s">
        <v>111</v>
      </c>
      <c r="E50" s="51" t="s">
        <v>143</v>
      </c>
      <c r="F50" s="51" t="s">
        <v>163</v>
      </c>
      <c r="G50" s="51" t="str">
        <f t="shared" si="0"/>
        <v>315/80R22,5KDM+</v>
      </c>
      <c r="H50" s="53">
        <v>21.7</v>
      </c>
      <c r="I50" s="51" t="s">
        <v>297</v>
      </c>
      <c r="J50" s="100" t="s">
        <v>178</v>
      </c>
      <c r="K50" s="101" t="s">
        <v>5761</v>
      </c>
      <c r="M50" s="62" t="s">
        <v>429</v>
      </c>
      <c r="N50" s="63" t="s">
        <v>430</v>
      </c>
      <c r="O50" s="64" t="s">
        <v>330</v>
      </c>
    </row>
    <row r="51" spans="1:15" x14ac:dyDescent="0.45">
      <c r="A51" s="54"/>
      <c r="B51" s="54"/>
      <c r="C51" s="54"/>
      <c r="D51" s="51" t="s">
        <v>164</v>
      </c>
      <c r="E51" s="51" t="s">
        <v>143</v>
      </c>
      <c r="F51" s="51" t="s">
        <v>165</v>
      </c>
      <c r="G51" s="51" t="str">
        <f t="shared" si="0"/>
        <v>315/80R22,5XDE</v>
      </c>
      <c r="H51" s="53">
        <v>19.2</v>
      </c>
      <c r="I51" s="51" t="s">
        <v>298</v>
      </c>
      <c r="J51" s="100" t="s">
        <v>230</v>
      </c>
      <c r="K51" s="101" t="s">
        <v>5762</v>
      </c>
      <c r="M51" s="62" t="s">
        <v>431</v>
      </c>
      <c r="N51" s="63" t="s">
        <v>432</v>
      </c>
      <c r="O51" s="64" t="s">
        <v>330</v>
      </c>
    </row>
    <row r="52" spans="1:15" x14ac:dyDescent="0.45">
      <c r="A52" s="54"/>
      <c r="B52" s="54"/>
      <c r="C52" s="54"/>
      <c r="D52" s="51" t="s">
        <v>164</v>
      </c>
      <c r="E52" s="51" t="s">
        <v>143</v>
      </c>
      <c r="F52" s="51" t="s">
        <v>166</v>
      </c>
      <c r="G52" s="51" t="str">
        <f t="shared" si="0"/>
        <v>315/80R22,5XZE</v>
      </c>
      <c r="H52" s="53">
        <v>16.8</v>
      </c>
      <c r="I52" s="51" t="s">
        <v>299</v>
      </c>
      <c r="J52" s="100" t="s">
        <v>5617</v>
      </c>
      <c r="K52" s="101" t="s">
        <v>5763</v>
      </c>
      <c r="M52" s="62" t="s">
        <v>433</v>
      </c>
      <c r="N52" s="63" t="s">
        <v>434</v>
      </c>
      <c r="O52" s="64" t="s">
        <v>330</v>
      </c>
    </row>
    <row r="53" spans="1:15" x14ac:dyDescent="0.45">
      <c r="A53" s="54"/>
      <c r="B53" s="54"/>
      <c r="C53" s="54"/>
      <c r="D53" s="51" t="s">
        <v>118</v>
      </c>
      <c r="E53" s="51" t="s">
        <v>143</v>
      </c>
      <c r="F53" s="51" t="s">
        <v>167</v>
      </c>
      <c r="G53" s="51" t="str">
        <f t="shared" si="0"/>
        <v>315/80R22,5M170</v>
      </c>
      <c r="H53" s="53" t="s">
        <v>168</v>
      </c>
      <c r="I53" s="51" t="s">
        <v>300</v>
      </c>
      <c r="J53" s="100" t="s">
        <v>273</v>
      </c>
      <c r="K53" s="101" t="s">
        <v>5746</v>
      </c>
      <c r="M53" s="62" t="s">
        <v>435</v>
      </c>
      <c r="N53" s="63" t="s">
        <v>436</v>
      </c>
      <c r="O53" s="64" t="s">
        <v>437</v>
      </c>
    </row>
    <row r="54" spans="1:15" x14ac:dyDescent="0.45">
      <c r="A54" s="54"/>
      <c r="B54" s="54"/>
      <c r="C54" s="54"/>
      <c r="D54" s="51" t="s">
        <v>118</v>
      </c>
      <c r="E54" s="51" t="s">
        <v>143</v>
      </c>
      <c r="F54" s="51" t="s">
        <v>169</v>
      </c>
      <c r="G54" s="51" t="str">
        <f t="shared" si="0"/>
        <v>315/80R22,5M632</v>
      </c>
      <c r="H54" s="53" t="s">
        <v>170</v>
      </c>
      <c r="I54" s="51" t="s">
        <v>301</v>
      </c>
      <c r="J54" s="100" t="s">
        <v>5594</v>
      </c>
      <c r="K54" s="101" t="s">
        <v>5710</v>
      </c>
      <c r="M54" s="62" t="s">
        <v>438</v>
      </c>
      <c r="N54" s="63" t="s">
        <v>439</v>
      </c>
      <c r="O54" s="64" t="s">
        <v>318</v>
      </c>
    </row>
    <row r="55" spans="1:15" x14ac:dyDescent="0.45">
      <c r="A55" s="54"/>
      <c r="B55" s="54"/>
      <c r="C55" s="54"/>
      <c r="D55" s="51" t="s">
        <v>136</v>
      </c>
      <c r="E55" s="51" t="s">
        <v>143</v>
      </c>
      <c r="F55" s="51" t="s">
        <v>171</v>
      </c>
      <c r="G55" s="51" t="str">
        <f t="shared" si="0"/>
        <v>315/80R22,5HSC1 ED</v>
      </c>
      <c r="H55" s="53">
        <v>16</v>
      </c>
      <c r="I55" s="51" t="s">
        <v>206</v>
      </c>
      <c r="J55" s="100" t="s">
        <v>245</v>
      </c>
      <c r="K55" s="101" t="s">
        <v>5687</v>
      </c>
      <c r="M55" s="62" t="s">
        <v>440</v>
      </c>
      <c r="N55" s="63" t="s">
        <v>441</v>
      </c>
      <c r="O55" s="64" t="s">
        <v>330</v>
      </c>
    </row>
    <row r="56" spans="1:15" x14ac:dyDescent="0.45">
      <c r="A56" s="54"/>
      <c r="B56" s="54"/>
      <c r="C56" s="54"/>
      <c r="D56" s="51" t="s">
        <v>105</v>
      </c>
      <c r="E56" s="51" t="s">
        <v>172</v>
      </c>
      <c r="F56" s="51" t="s">
        <v>133</v>
      </c>
      <c r="G56" s="51" t="str">
        <f t="shared" si="0"/>
        <v>358/65R22,5RHTII</v>
      </c>
      <c r="H56" s="53">
        <v>17.7</v>
      </c>
      <c r="I56" s="51" t="s">
        <v>208</v>
      </c>
      <c r="J56" s="100" t="s">
        <v>5591</v>
      </c>
      <c r="K56" s="101" t="s">
        <v>157</v>
      </c>
      <c r="M56" s="62" t="s">
        <v>442</v>
      </c>
      <c r="N56" s="63" t="s">
        <v>443</v>
      </c>
      <c r="O56" s="64" t="s">
        <v>327</v>
      </c>
    </row>
    <row r="57" spans="1:15" x14ac:dyDescent="0.45">
      <c r="A57" s="54"/>
      <c r="B57" s="54"/>
      <c r="C57" s="54"/>
      <c r="D57" s="51" t="s">
        <v>115</v>
      </c>
      <c r="E57" s="51" t="s">
        <v>173</v>
      </c>
      <c r="F57" s="51" t="s">
        <v>174</v>
      </c>
      <c r="G57" s="51" t="str">
        <f t="shared" si="0"/>
        <v>385/65R22,5R168</v>
      </c>
      <c r="H57" s="53">
        <v>16.8</v>
      </c>
      <c r="I57" s="51" t="s">
        <v>209</v>
      </c>
      <c r="J57" s="100" t="s">
        <v>5595</v>
      </c>
      <c r="K57" s="101" t="s">
        <v>256</v>
      </c>
      <c r="M57" s="62" t="s">
        <v>444</v>
      </c>
      <c r="N57" s="63" t="s">
        <v>445</v>
      </c>
      <c r="O57" s="64" t="s">
        <v>324</v>
      </c>
    </row>
    <row r="58" spans="1:15" x14ac:dyDescent="0.45">
      <c r="A58" s="54"/>
      <c r="B58" s="54"/>
      <c r="C58" s="54"/>
      <c r="D58" s="51" t="s">
        <v>115</v>
      </c>
      <c r="E58" s="51" t="s">
        <v>173</v>
      </c>
      <c r="F58" s="51" t="s">
        <v>150</v>
      </c>
      <c r="G58" s="51" t="str">
        <f t="shared" si="0"/>
        <v>385/65R22,5R249</v>
      </c>
      <c r="H58" s="53">
        <v>13.5</v>
      </c>
      <c r="I58" s="51" t="s">
        <v>304</v>
      </c>
      <c r="J58" s="100" t="s">
        <v>5601</v>
      </c>
      <c r="K58" s="101" t="s">
        <v>5685</v>
      </c>
      <c r="M58" s="62" t="s">
        <v>446</v>
      </c>
      <c r="N58" s="63" t="s">
        <v>447</v>
      </c>
      <c r="O58" s="64" t="s">
        <v>330</v>
      </c>
    </row>
    <row r="59" spans="1:15" x14ac:dyDescent="0.45">
      <c r="A59" s="54"/>
      <c r="B59" s="54"/>
      <c r="C59" s="54"/>
      <c r="D59" s="51" t="s">
        <v>115</v>
      </c>
      <c r="E59" s="51" t="s">
        <v>173</v>
      </c>
      <c r="F59" s="51" t="s">
        <v>135</v>
      </c>
      <c r="G59" s="51" t="str">
        <f t="shared" si="0"/>
        <v>385/65R22,5R-Steer001</v>
      </c>
      <c r="H59" s="53">
        <v>14</v>
      </c>
      <c r="I59"/>
      <c r="J59" s="101" t="s">
        <v>5605</v>
      </c>
      <c r="K59" s="101" t="s">
        <v>5703</v>
      </c>
      <c r="M59" s="62" t="s">
        <v>448</v>
      </c>
      <c r="N59" s="63" t="s">
        <v>449</v>
      </c>
      <c r="O59" s="64" t="s">
        <v>450</v>
      </c>
    </row>
    <row r="60" spans="1:15" x14ac:dyDescent="0.45">
      <c r="A60" s="54"/>
      <c r="B60" s="54"/>
      <c r="C60" s="54"/>
      <c r="D60" s="51" t="s">
        <v>122</v>
      </c>
      <c r="E60" s="51" t="s">
        <v>173</v>
      </c>
      <c r="F60" s="51" t="s">
        <v>175</v>
      </c>
      <c r="G60" s="51" t="str">
        <f t="shared" si="0"/>
        <v>385/65R22,5SP244</v>
      </c>
      <c r="H60" s="53">
        <v>18</v>
      </c>
      <c r="I60"/>
      <c r="J60" s="101" t="s">
        <v>118</v>
      </c>
      <c r="K60" s="101" t="s">
        <v>5691</v>
      </c>
      <c r="M60" s="62" t="s">
        <v>451</v>
      </c>
      <c r="N60" s="63" t="s">
        <v>452</v>
      </c>
      <c r="O60" s="64" t="s">
        <v>453</v>
      </c>
    </row>
    <row r="61" spans="1:15" x14ac:dyDescent="0.45">
      <c r="A61" s="54"/>
      <c r="B61" s="54"/>
      <c r="C61" s="54"/>
      <c r="D61" s="51" t="s">
        <v>122</v>
      </c>
      <c r="E61" s="51" t="s">
        <v>173</v>
      </c>
      <c r="F61" s="51" t="s">
        <v>175</v>
      </c>
      <c r="G61" s="51" t="str">
        <f t="shared" si="0"/>
        <v>385/65R22,5SP244</v>
      </c>
      <c r="H61" s="53">
        <v>16.5</v>
      </c>
      <c r="I61"/>
      <c r="J61" s="100" t="s">
        <v>5612</v>
      </c>
      <c r="K61" s="101" t="s">
        <v>219</v>
      </c>
      <c r="M61" s="62" t="s">
        <v>454</v>
      </c>
      <c r="N61" s="63" t="s">
        <v>455</v>
      </c>
      <c r="O61" s="64" t="s">
        <v>330</v>
      </c>
    </row>
    <row r="62" spans="1:15" x14ac:dyDescent="0.45">
      <c r="A62" s="54"/>
      <c r="B62" s="54"/>
      <c r="C62" s="54"/>
      <c r="D62" s="51" t="s">
        <v>154</v>
      </c>
      <c r="E62" s="51" t="s">
        <v>173</v>
      </c>
      <c r="F62" s="51" t="s">
        <v>176</v>
      </c>
      <c r="G62" s="51" t="str">
        <f t="shared" si="0"/>
        <v>385/65R22,5Ecotonn+</v>
      </c>
      <c r="H62" s="53">
        <v>15</v>
      </c>
      <c r="I62"/>
      <c r="J62" s="101" t="s">
        <v>241</v>
      </c>
      <c r="K62" s="101" t="s">
        <v>5680</v>
      </c>
      <c r="M62" s="62" t="s">
        <v>456</v>
      </c>
      <c r="N62" s="63" t="s">
        <v>457</v>
      </c>
      <c r="O62" s="64" t="s">
        <v>330</v>
      </c>
    </row>
    <row r="63" spans="1:15" x14ac:dyDescent="0.45">
      <c r="A63" s="54"/>
      <c r="B63" s="54"/>
      <c r="C63" s="54"/>
      <c r="D63" s="51" t="s">
        <v>111</v>
      </c>
      <c r="E63" s="51" t="s">
        <v>173</v>
      </c>
      <c r="F63" s="51" t="s">
        <v>177</v>
      </c>
      <c r="G63" s="51" t="str">
        <f t="shared" si="0"/>
        <v>385/65R22,5KTR</v>
      </c>
      <c r="H63" s="53">
        <v>14.3</v>
      </c>
      <c r="I63"/>
      <c r="J63" s="101" t="s">
        <v>5604</v>
      </c>
      <c r="K63" s="101" t="s">
        <v>5643</v>
      </c>
      <c r="M63" s="62" t="s">
        <v>458</v>
      </c>
      <c r="N63" s="63" t="s">
        <v>459</v>
      </c>
      <c r="O63" s="64" t="s">
        <v>330</v>
      </c>
    </row>
    <row r="64" spans="1:15" x14ac:dyDescent="0.45">
      <c r="A64" s="54"/>
      <c r="B64" s="54"/>
      <c r="C64" s="54"/>
      <c r="D64" s="51" t="s">
        <v>178</v>
      </c>
      <c r="E64" s="51" t="s">
        <v>173</v>
      </c>
      <c r="F64" s="51" t="s">
        <v>179</v>
      </c>
      <c r="G64" s="51" t="str">
        <f t="shared" si="0"/>
        <v>385/65R22,5CARGOC3</v>
      </c>
      <c r="H64" s="53">
        <v>16.5</v>
      </c>
      <c r="I64"/>
      <c r="J64" s="100" t="s">
        <v>5625</v>
      </c>
      <c r="K64" s="101" t="s">
        <v>5726</v>
      </c>
      <c r="M64" s="62" t="s">
        <v>460</v>
      </c>
      <c r="N64" s="63" t="s">
        <v>461</v>
      </c>
      <c r="O64" s="64" t="s">
        <v>341</v>
      </c>
    </row>
    <row r="65" spans="1:15" x14ac:dyDescent="0.45">
      <c r="A65" s="54"/>
      <c r="B65" s="54"/>
      <c r="C65" s="54"/>
      <c r="D65" s="51" t="s">
        <v>180</v>
      </c>
      <c r="E65" s="51" t="s">
        <v>181</v>
      </c>
      <c r="F65" s="51" t="s">
        <v>182</v>
      </c>
      <c r="G65" s="51" t="str">
        <f t="shared" si="0"/>
        <v>8.5R17,5LSR</v>
      </c>
      <c r="H65" s="53">
        <v>12</v>
      </c>
      <c r="I65"/>
      <c r="J65" s="100" t="s">
        <v>5620</v>
      </c>
      <c r="K65" s="51" t="s">
        <v>137</v>
      </c>
      <c r="M65" s="62" t="s">
        <v>462</v>
      </c>
      <c r="N65" s="63" t="s">
        <v>463</v>
      </c>
      <c r="O65" s="64" t="s">
        <v>464</v>
      </c>
    </row>
    <row r="66" spans="1:15" x14ac:dyDescent="0.45">
      <c r="A66" s="54"/>
      <c r="B66" s="54"/>
      <c r="C66" s="54"/>
      <c r="D66" s="51" t="s">
        <v>115</v>
      </c>
      <c r="E66" s="51" t="s">
        <v>183</v>
      </c>
      <c r="F66" s="51" t="s">
        <v>174</v>
      </c>
      <c r="G66" s="51" t="str">
        <f t="shared" si="0"/>
        <v>9,5R17,5R168</v>
      </c>
      <c r="H66" s="53">
        <v>13.6</v>
      </c>
      <c r="I66"/>
      <c r="J66"/>
      <c r="K66" s="51" t="s">
        <v>171</v>
      </c>
      <c r="M66" s="62" t="s">
        <v>465</v>
      </c>
      <c r="N66" s="63" t="s">
        <v>466</v>
      </c>
      <c r="O66" s="64" t="s">
        <v>341</v>
      </c>
    </row>
    <row r="67" spans="1:15" x14ac:dyDescent="0.45">
      <c r="A67" s="54"/>
      <c r="B67" s="54"/>
      <c r="C67" s="54"/>
      <c r="D67" s="51" t="s">
        <v>105</v>
      </c>
      <c r="E67" s="51" t="s">
        <v>183</v>
      </c>
      <c r="F67" s="51" t="s">
        <v>107</v>
      </c>
      <c r="G67" s="51" t="str">
        <f t="shared" ref="G67:G130" si="1">E67&amp;F67</f>
        <v>9,5R17,5RHSII</v>
      </c>
      <c r="H67" s="53">
        <v>13.6</v>
      </c>
      <c r="I67"/>
      <c r="J67"/>
      <c r="K67" s="101" t="s">
        <v>5705</v>
      </c>
      <c r="M67" s="62" t="s">
        <v>467</v>
      </c>
      <c r="N67" s="63" t="s">
        <v>468</v>
      </c>
      <c r="O67" s="64" t="s">
        <v>330</v>
      </c>
    </row>
    <row r="68" spans="1:15" x14ac:dyDescent="0.45">
      <c r="A68" s="54"/>
      <c r="B68" s="54"/>
      <c r="C68" s="54"/>
      <c r="D68" s="51" t="s">
        <v>282</v>
      </c>
      <c r="E68" s="51" t="s">
        <v>283</v>
      </c>
      <c r="F68" s="51" t="s">
        <v>186</v>
      </c>
      <c r="G68" s="51" t="str">
        <f t="shared" si="1"/>
        <v>10,00R20SP320</v>
      </c>
      <c r="H68" s="53">
        <v>15.5</v>
      </c>
      <c r="I68"/>
      <c r="J68"/>
      <c r="K68" s="101" t="s">
        <v>220</v>
      </c>
      <c r="M68" s="62" t="s">
        <v>469</v>
      </c>
      <c r="N68" s="63" t="s">
        <v>470</v>
      </c>
      <c r="O68" s="64" t="s">
        <v>318</v>
      </c>
    </row>
    <row r="69" spans="1:15" x14ac:dyDescent="0.45">
      <c r="A69" s="54"/>
      <c r="B69" s="54"/>
      <c r="C69" s="54"/>
      <c r="D69" s="51" t="s">
        <v>282</v>
      </c>
      <c r="E69" s="51" t="s">
        <v>106</v>
      </c>
      <c r="F69" s="51" t="s">
        <v>186</v>
      </c>
      <c r="G69" s="51" t="str">
        <f t="shared" si="1"/>
        <v>11R22,5SP320</v>
      </c>
      <c r="H69" s="53">
        <v>15.5</v>
      </c>
      <c r="I69"/>
      <c r="J69"/>
      <c r="K69" s="101" t="s">
        <v>5671</v>
      </c>
      <c r="M69" s="65" t="s">
        <v>471</v>
      </c>
      <c r="N69" s="66" t="s">
        <v>472</v>
      </c>
      <c r="O69" s="64" t="s">
        <v>330</v>
      </c>
    </row>
    <row r="70" spans="1:15" x14ac:dyDescent="0.45">
      <c r="A70" s="54"/>
      <c r="B70" s="54"/>
      <c r="C70" s="54"/>
      <c r="D70" s="51" t="s">
        <v>282</v>
      </c>
      <c r="E70" s="51" t="s">
        <v>116</v>
      </c>
      <c r="F70" s="51" t="s">
        <v>186</v>
      </c>
      <c r="G70" s="51" t="str">
        <f t="shared" si="1"/>
        <v>12R22,5SP320</v>
      </c>
      <c r="H70" s="53">
        <v>15</v>
      </c>
      <c r="I70"/>
      <c r="J70"/>
      <c r="K70" s="51" t="s">
        <v>216</v>
      </c>
      <c r="M70" s="75" t="s">
        <v>473</v>
      </c>
      <c r="N70" s="76" t="s">
        <v>474</v>
      </c>
      <c r="O70" s="77" t="s">
        <v>475</v>
      </c>
    </row>
    <row r="71" spans="1:15" x14ac:dyDescent="0.45">
      <c r="A71" s="54"/>
      <c r="B71" s="54"/>
      <c r="C71" s="54"/>
      <c r="D71" s="51" t="s">
        <v>282</v>
      </c>
      <c r="E71" s="51" t="s">
        <v>130</v>
      </c>
      <c r="F71" s="51" t="s">
        <v>186</v>
      </c>
      <c r="G71" s="51" t="str">
        <f t="shared" si="1"/>
        <v>215/75R17,5SP320</v>
      </c>
      <c r="H71" s="53">
        <v>13</v>
      </c>
      <c r="I71"/>
      <c r="J71"/>
      <c r="K71" s="101" t="s">
        <v>254</v>
      </c>
      <c r="M71" s="62" t="s">
        <v>476</v>
      </c>
      <c r="N71" s="63" t="s">
        <v>477</v>
      </c>
      <c r="O71" s="64" t="s">
        <v>330</v>
      </c>
    </row>
    <row r="72" spans="1:15" x14ac:dyDescent="0.45">
      <c r="A72" s="54"/>
      <c r="B72" s="54"/>
      <c r="C72" s="54"/>
      <c r="D72" s="51" t="s">
        <v>282</v>
      </c>
      <c r="E72" s="51" t="s">
        <v>284</v>
      </c>
      <c r="F72" s="51" t="s">
        <v>186</v>
      </c>
      <c r="G72" s="51" t="str">
        <f t="shared" si="1"/>
        <v>235/75R17,5SP320</v>
      </c>
      <c r="H72" s="53">
        <v>13.4</v>
      </c>
      <c r="I72"/>
      <c r="J72"/>
      <c r="K72" s="101" t="s">
        <v>5747</v>
      </c>
      <c r="M72" s="62" t="s">
        <v>478</v>
      </c>
      <c r="N72" s="63" t="s">
        <v>479</v>
      </c>
      <c r="O72" s="64" t="s">
        <v>480</v>
      </c>
    </row>
    <row r="73" spans="1:15" x14ac:dyDescent="0.45">
      <c r="A73" s="54"/>
      <c r="B73" s="54"/>
      <c r="C73" s="54"/>
      <c r="D73" s="51" t="s">
        <v>282</v>
      </c>
      <c r="E73" s="51" t="s">
        <v>173</v>
      </c>
      <c r="F73" s="51" t="s">
        <v>186</v>
      </c>
      <c r="G73" s="51" t="str">
        <f t="shared" si="1"/>
        <v>385/65R22,5SP320</v>
      </c>
      <c r="H73" s="53">
        <v>15.4</v>
      </c>
      <c r="I73"/>
      <c r="J73"/>
      <c r="K73" s="51" t="s">
        <v>221</v>
      </c>
      <c r="M73" s="62" t="s">
        <v>481</v>
      </c>
      <c r="N73" s="63" t="s">
        <v>482</v>
      </c>
      <c r="O73" s="64" t="s">
        <v>330</v>
      </c>
    </row>
    <row r="74" spans="1:15" x14ac:dyDescent="0.45">
      <c r="A74" s="54"/>
      <c r="B74" s="54"/>
      <c r="C74" s="54"/>
      <c r="D74" s="51" t="s">
        <v>282</v>
      </c>
      <c r="E74" s="51" t="s">
        <v>185</v>
      </c>
      <c r="F74" s="51" t="s">
        <v>186</v>
      </c>
      <c r="G74" s="51" t="str">
        <f t="shared" si="1"/>
        <v>385/55R22,5SP320</v>
      </c>
      <c r="H74" s="53">
        <v>14.5</v>
      </c>
      <c r="I74"/>
      <c r="J74"/>
      <c r="K74" s="101" t="s">
        <v>5692</v>
      </c>
      <c r="M74" s="62" t="s">
        <v>483</v>
      </c>
      <c r="N74" s="63" t="s">
        <v>484</v>
      </c>
      <c r="O74" s="64" t="s">
        <v>330</v>
      </c>
    </row>
    <row r="75" spans="1:15" x14ac:dyDescent="0.45">
      <c r="A75" s="54"/>
      <c r="B75" s="54"/>
      <c r="C75" s="54"/>
      <c r="D75" s="51" t="s">
        <v>282</v>
      </c>
      <c r="E75" s="51" t="s">
        <v>285</v>
      </c>
      <c r="F75" s="51" t="s">
        <v>186</v>
      </c>
      <c r="G75" s="51" t="str">
        <f t="shared" si="1"/>
        <v>275/80R22,5SP320</v>
      </c>
      <c r="H75" s="53">
        <v>15.5</v>
      </c>
      <c r="I75"/>
      <c r="J75"/>
      <c r="K75" s="101" t="s">
        <v>5646</v>
      </c>
      <c r="M75" s="62" t="s">
        <v>485</v>
      </c>
      <c r="N75" s="63" t="s">
        <v>486</v>
      </c>
      <c r="O75" s="64" t="s">
        <v>330</v>
      </c>
    </row>
    <row r="76" spans="1:15" x14ac:dyDescent="0.45">
      <c r="A76" s="54"/>
      <c r="B76" s="54"/>
      <c r="C76" s="54"/>
      <c r="D76" s="51" t="s">
        <v>282</v>
      </c>
      <c r="E76" s="51" t="s">
        <v>134</v>
      </c>
      <c r="F76" s="51" t="s">
        <v>186</v>
      </c>
      <c r="G76" s="51" t="str">
        <f t="shared" si="1"/>
        <v>295/80R22,5SP320</v>
      </c>
      <c r="H76" s="53">
        <v>15</v>
      </c>
      <c r="I76"/>
      <c r="J76"/>
      <c r="K76" s="101" t="s">
        <v>5698</v>
      </c>
      <c r="M76" s="62" t="s">
        <v>487</v>
      </c>
      <c r="N76" s="63" t="s">
        <v>488</v>
      </c>
      <c r="O76" s="64" t="s">
        <v>489</v>
      </c>
    </row>
    <row r="77" spans="1:15" x14ac:dyDescent="0.45">
      <c r="A77" s="54"/>
      <c r="B77" s="54"/>
      <c r="C77" s="54"/>
      <c r="D77" s="51" t="s">
        <v>282</v>
      </c>
      <c r="E77" s="51" t="s">
        <v>143</v>
      </c>
      <c r="F77" s="51" t="s">
        <v>186</v>
      </c>
      <c r="G77" s="51" t="str">
        <f t="shared" si="1"/>
        <v>315/80R22,5SP320</v>
      </c>
      <c r="H77" s="53">
        <v>15</v>
      </c>
      <c r="I77"/>
      <c r="J77"/>
      <c r="K77" s="51" t="s">
        <v>163</v>
      </c>
      <c r="M77" s="62" t="s">
        <v>490</v>
      </c>
      <c r="N77" s="63" t="s">
        <v>491</v>
      </c>
      <c r="O77" s="64" t="s">
        <v>318</v>
      </c>
    </row>
    <row r="78" spans="1:15" x14ac:dyDescent="0.45">
      <c r="A78" s="54"/>
      <c r="B78" s="54"/>
      <c r="C78" s="54"/>
      <c r="D78" s="51" t="s">
        <v>282</v>
      </c>
      <c r="E78" s="51" t="s">
        <v>134</v>
      </c>
      <c r="F78" s="51" t="s">
        <v>187</v>
      </c>
      <c r="G78" s="51" t="str">
        <f t="shared" si="1"/>
        <v>295/80R22,5SP350A</v>
      </c>
      <c r="H78" s="53">
        <v>15.3</v>
      </c>
      <c r="I78"/>
      <c r="J78"/>
      <c r="K78" s="101" t="s">
        <v>5674</v>
      </c>
      <c r="M78" s="62" t="s">
        <v>492</v>
      </c>
      <c r="N78" s="63" t="s">
        <v>493</v>
      </c>
      <c r="O78" s="64" t="s">
        <v>324</v>
      </c>
    </row>
    <row r="79" spans="1:15" x14ac:dyDescent="0.45">
      <c r="A79" s="54"/>
      <c r="B79" s="54"/>
      <c r="C79" s="54"/>
      <c r="D79" s="51" t="s">
        <v>282</v>
      </c>
      <c r="E79" s="51" t="s">
        <v>143</v>
      </c>
      <c r="F79" s="51" t="s">
        <v>187</v>
      </c>
      <c r="G79" s="51" t="str">
        <f t="shared" si="1"/>
        <v>315/80R22,5SP350A</v>
      </c>
      <c r="H79" s="53">
        <v>16.5</v>
      </c>
      <c r="I79"/>
      <c r="J79"/>
      <c r="K79" s="101" t="s">
        <v>5653</v>
      </c>
      <c r="M79" s="62" t="s">
        <v>494</v>
      </c>
      <c r="N79" s="63" t="s">
        <v>495</v>
      </c>
      <c r="O79" s="64" t="s">
        <v>425</v>
      </c>
    </row>
    <row r="80" spans="1:15" x14ac:dyDescent="0.45">
      <c r="A80" s="54"/>
      <c r="B80" s="54"/>
      <c r="C80" s="54"/>
      <c r="D80" s="51" t="s">
        <v>282</v>
      </c>
      <c r="E80" s="51" t="s">
        <v>106</v>
      </c>
      <c r="F80" s="51" t="s">
        <v>187</v>
      </c>
      <c r="G80" s="51" t="str">
        <f t="shared" si="1"/>
        <v>11R22,5SP350A</v>
      </c>
      <c r="H80" s="53">
        <v>15.1</v>
      </c>
      <c r="I80"/>
      <c r="J80"/>
      <c r="K80" s="101" t="s">
        <v>5737</v>
      </c>
      <c r="M80" s="62" t="s">
        <v>496</v>
      </c>
      <c r="N80" s="63" t="s">
        <v>497</v>
      </c>
      <c r="O80" s="64" t="s">
        <v>330</v>
      </c>
    </row>
    <row r="81" spans="1:15" x14ac:dyDescent="0.45">
      <c r="A81" s="54"/>
      <c r="B81" s="54"/>
      <c r="C81" s="54"/>
      <c r="D81" s="51" t="s">
        <v>282</v>
      </c>
      <c r="E81" s="51" t="s">
        <v>116</v>
      </c>
      <c r="F81" s="51" t="s">
        <v>187</v>
      </c>
      <c r="G81" s="51" t="str">
        <f t="shared" si="1"/>
        <v>12R22,5SP350A</v>
      </c>
      <c r="H81" s="53">
        <v>15.1</v>
      </c>
      <c r="I81"/>
      <c r="J81"/>
      <c r="K81" s="101" t="s">
        <v>5704</v>
      </c>
      <c r="M81" s="62" t="s">
        <v>498</v>
      </c>
      <c r="N81" s="63" t="s">
        <v>499</v>
      </c>
      <c r="O81" s="64" t="s">
        <v>330</v>
      </c>
    </row>
    <row r="82" spans="1:15" x14ac:dyDescent="0.45">
      <c r="A82" s="54"/>
      <c r="B82" s="54"/>
      <c r="C82" s="54"/>
      <c r="D82" s="51" t="s">
        <v>282</v>
      </c>
      <c r="E82" s="51" t="s">
        <v>286</v>
      </c>
      <c r="F82" s="51" t="s">
        <v>187</v>
      </c>
      <c r="G82" s="51" t="str">
        <f t="shared" si="1"/>
        <v>11,00R22SP350A</v>
      </c>
      <c r="H82" s="53">
        <v>14.9</v>
      </c>
      <c r="I82"/>
      <c r="J82"/>
      <c r="K82" s="51" t="s">
        <v>112</v>
      </c>
      <c r="M82" s="62" t="s">
        <v>500</v>
      </c>
      <c r="N82" s="63" t="s">
        <v>501</v>
      </c>
      <c r="O82" s="64" t="s">
        <v>502</v>
      </c>
    </row>
    <row r="83" spans="1:15" x14ac:dyDescent="0.45">
      <c r="A83" s="54"/>
      <c r="B83" s="54"/>
      <c r="C83" s="54"/>
      <c r="D83" s="51" t="s">
        <v>282</v>
      </c>
      <c r="E83" s="51" t="s">
        <v>283</v>
      </c>
      <c r="F83" s="51" t="s">
        <v>187</v>
      </c>
      <c r="G83" s="51" t="str">
        <f t="shared" si="1"/>
        <v>10,00R20SP350A</v>
      </c>
      <c r="H83" s="53">
        <v>15.1</v>
      </c>
      <c r="I83"/>
      <c r="J83"/>
      <c r="K83" s="101" t="s">
        <v>5647</v>
      </c>
      <c r="M83" s="62" t="s">
        <v>503</v>
      </c>
      <c r="N83" s="63" t="s">
        <v>504</v>
      </c>
      <c r="O83" s="64" t="s">
        <v>330</v>
      </c>
    </row>
    <row r="84" spans="1:15" x14ac:dyDescent="0.45">
      <c r="A84" s="54"/>
      <c r="B84" s="54"/>
      <c r="C84" s="54"/>
      <c r="D84" s="51" t="s">
        <v>282</v>
      </c>
      <c r="E84" s="51" t="s">
        <v>287</v>
      </c>
      <c r="F84" s="51" t="s">
        <v>187</v>
      </c>
      <c r="G84" s="51" t="str">
        <f t="shared" si="1"/>
        <v>11,00R20SP350A</v>
      </c>
      <c r="H84" s="53">
        <v>15.1</v>
      </c>
      <c r="I84"/>
      <c r="J84"/>
      <c r="K84" s="51" t="s">
        <v>177</v>
      </c>
      <c r="M84" s="62" t="s">
        <v>505</v>
      </c>
      <c r="N84" s="63" t="s">
        <v>506</v>
      </c>
      <c r="O84" s="64" t="s">
        <v>321</v>
      </c>
    </row>
    <row r="85" spans="1:15" x14ac:dyDescent="0.45">
      <c r="A85" s="54"/>
      <c r="B85" s="54"/>
      <c r="C85" s="54"/>
      <c r="D85" s="51" t="s">
        <v>282</v>
      </c>
      <c r="E85" s="51" t="s">
        <v>134</v>
      </c>
      <c r="F85" s="51" t="s">
        <v>288</v>
      </c>
      <c r="G85" s="51" t="str">
        <f t="shared" si="1"/>
        <v>295/80R22,5SP350</v>
      </c>
      <c r="H85" s="53">
        <v>15.3</v>
      </c>
      <c r="I85"/>
      <c r="J85"/>
      <c r="K85" s="101" t="s">
        <v>5699</v>
      </c>
      <c r="M85" s="62" t="s">
        <v>507</v>
      </c>
      <c r="N85" s="63" t="s">
        <v>508</v>
      </c>
      <c r="O85" s="64" t="s">
        <v>509</v>
      </c>
    </row>
    <row r="86" spans="1:15" x14ac:dyDescent="0.45">
      <c r="A86" s="54"/>
      <c r="B86" s="54"/>
      <c r="C86" s="54"/>
      <c r="D86" s="51" t="s">
        <v>282</v>
      </c>
      <c r="E86" s="51" t="s">
        <v>143</v>
      </c>
      <c r="F86" s="51" t="s">
        <v>288</v>
      </c>
      <c r="G86" s="51" t="str">
        <f t="shared" si="1"/>
        <v>315/80R22,5SP350</v>
      </c>
      <c r="H86" s="53">
        <v>16.5</v>
      </c>
      <c r="I86"/>
      <c r="J86"/>
      <c r="K86" s="51" t="s">
        <v>247</v>
      </c>
      <c r="M86" s="62" t="s">
        <v>510</v>
      </c>
      <c r="N86" s="63" t="s">
        <v>511</v>
      </c>
      <c r="O86" s="64" t="s">
        <v>512</v>
      </c>
    </row>
    <row r="87" spans="1:15" x14ac:dyDescent="0.45">
      <c r="A87" s="54"/>
      <c r="B87" s="54"/>
      <c r="C87" s="54"/>
      <c r="D87" s="51" t="s">
        <v>282</v>
      </c>
      <c r="E87" s="51" t="s">
        <v>106</v>
      </c>
      <c r="F87" s="51" t="s">
        <v>288</v>
      </c>
      <c r="G87" s="51" t="str">
        <f t="shared" si="1"/>
        <v>11R22,5SP350</v>
      </c>
      <c r="H87" s="53">
        <v>15.1</v>
      </c>
      <c r="I87"/>
      <c r="J87"/>
      <c r="K87" s="51" t="s">
        <v>251</v>
      </c>
      <c r="M87" s="62" t="s">
        <v>513</v>
      </c>
      <c r="N87" s="63" t="s">
        <v>514</v>
      </c>
      <c r="O87" s="64" t="s">
        <v>515</v>
      </c>
    </row>
    <row r="88" spans="1:15" x14ac:dyDescent="0.45">
      <c r="A88" s="54"/>
      <c r="B88" s="54"/>
      <c r="C88" s="54"/>
      <c r="D88" s="51" t="s">
        <v>282</v>
      </c>
      <c r="E88" s="51" t="s">
        <v>116</v>
      </c>
      <c r="F88" s="51" t="s">
        <v>288</v>
      </c>
      <c r="G88" s="51" t="str">
        <f t="shared" si="1"/>
        <v>12R22,5SP350</v>
      </c>
      <c r="H88" s="53">
        <v>15.1</v>
      </c>
      <c r="I88"/>
      <c r="J88"/>
      <c r="K88" s="51" t="s">
        <v>160</v>
      </c>
      <c r="M88" s="62" t="s">
        <v>516</v>
      </c>
      <c r="N88" s="63" t="s">
        <v>517</v>
      </c>
      <c r="O88" s="64" t="s">
        <v>518</v>
      </c>
    </row>
    <row r="89" spans="1:15" x14ac:dyDescent="0.45">
      <c r="A89" s="54"/>
      <c r="B89" s="54"/>
      <c r="C89" s="54"/>
      <c r="D89" s="51" t="s">
        <v>282</v>
      </c>
      <c r="E89" s="51" t="s">
        <v>286</v>
      </c>
      <c r="F89" s="51" t="s">
        <v>288</v>
      </c>
      <c r="G89" s="51" t="str">
        <f t="shared" si="1"/>
        <v>11,00R22SP350</v>
      </c>
      <c r="H89" s="53">
        <v>14.9</v>
      </c>
      <c r="I89"/>
      <c r="J89"/>
      <c r="K89" s="51" t="s">
        <v>197</v>
      </c>
      <c r="M89" s="62" t="s">
        <v>519</v>
      </c>
      <c r="N89" s="63" t="s">
        <v>520</v>
      </c>
      <c r="O89" s="64" t="s">
        <v>521</v>
      </c>
    </row>
    <row r="90" spans="1:15" x14ac:dyDescent="0.45">
      <c r="A90" s="54"/>
      <c r="B90" s="54"/>
      <c r="C90" s="54"/>
      <c r="D90" s="51" t="s">
        <v>282</v>
      </c>
      <c r="E90" s="51" t="s">
        <v>287</v>
      </c>
      <c r="F90" s="51" t="s">
        <v>288</v>
      </c>
      <c r="G90" s="51" t="str">
        <f t="shared" si="1"/>
        <v>11,00R20SP350</v>
      </c>
      <c r="H90" s="53">
        <v>15.1</v>
      </c>
      <c r="I90"/>
      <c r="J90"/>
      <c r="K90" s="101" t="s">
        <v>139</v>
      </c>
      <c r="M90" s="62" t="s">
        <v>522</v>
      </c>
      <c r="N90" s="63" t="s">
        <v>523</v>
      </c>
      <c r="O90" s="64" t="s">
        <v>330</v>
      </c>
    </row>
    <row r="91" spans="1:15" x14ac:dyDescent="0.45">
      <c r="A91" s="54"/>
      <c r="B91" s="54"/>
      <c r="C91" s="54"/>
      <c r="D91" s="51" t="s">
        <v>282</v>
      </c>
      <c r="E91" s="51" t="s">
        <v>183</v>
      </c>
      <c r="F91" s="51" t="s">
        <v>189</v>
      </c>
      <c r="G91" s="51" t="str">
        <f t="shared" si="1"/>
        <v>9,5R17,5SP442</v>
      </c>
      <c r="H91" s="53">
        <v>16.399999999999999</v>
      </c>
      <c r="I91"/>
      <c r="J91"/>
      <c r="K91" s="101" t="s">
        <v>140</v>
      </c>
      <c r="M91" s="62" t="s">
        <v>524</v>
      </c>
      <c r="N91" s="63" t="s">
        <v>525</v>
      </c>
      <c r="O91" s="64" t="s">
        <v>344</v>
      </c>
    </row>
    <row r="92" spans="1:15" x14ac:dyDescent="0.45">
      <c r="A92" s="54"/>
      <c r="B92" s="54"/>
      <c r="C92" s="54"/>
      <c r="D92" s="51" t="s">
        <v>282</v>
      </c>
      <c r="E92" s="51" t="s">
        <v>130</v>
      </c>
      <c r="F92" s="51" t="s">
        <v>189</v>
      </c>
      <c r="G92" s="51" t="str">
        <f t="shared" si="1"/>
        <v>215/75R17,5SP442</v>
      </c>
      <c r="H92" s="53">
        <v>14.7</v>
      </c>
      <c r="I92"/>
      <c r="J92"/>
      <c r="K92" s="51" t="s">
        <v>229</v>
      </c>
      <c r="M92" s="62" t="s">
        <v>526</v>
      </c>
      <c r="N92" s="63" t="s">
        <v>527</v>
      </c>
      <c r="O92" s="64" t="s">
        <v>330</v>
      </c>
    </row>
    <row r="93" spans="1:15" x14ac:dyDescent="0.45">
      <c r="A93" s="54"/>
      <c r="B93" s="54"/>
      <c r="C93" s="54"/>
      <c r="D93" s="51" t="s">
        <v>282</v>
      </c>
      <c r="E93" s="51" t="s">
        <v>284</v>
      </c>
      <c r="F93" s="51" t="s">
        <v>189</v>
      </c>
      <c r="G93" s="51" t="str">
        <f t="shared" si="1"/>
        <v>235/75R17,5SP442</v>
      </c>
      <c r="H93" s="53">
        <v>16.5</v>
      </c>
      <c r="I93"/>
      <c r="J93"/>
      <c r="K93" s="51" t="s">
        <v>250</v>
      </c>
      <c r="M93" s="62" t="s">
        <v>528</v>
      </c>
      <c r="N93" s="63" t="s">
        <v>529</v>
      </c>
      <c r="O93" s="64" t="s">
        <v>330</v>
      </c>
    </row>
    <row r="94" spans="1:15" x14ac:dyDescent="0.45">
      <c r="A94" s="54"/>
      <c r="B94" s="54"/>
      <c r="C94" s="54"/>
      <c r="D94" s="51" t="s">
        <v>282</v>
      </c>
      <c r="E94" s="51" t="s">
        <v>143</v>
      </c>
      <c r="F94" s="51" t="s">
        <v>189</v>
      </c>
      <c r="G94" s="51" t="str">
        <f t="shared" si="1"/>
        <v>315/80R22,5SP442</v>
      </c>
      <c r="H94" s="53">
        <v>23.4</v>
      </c>
      <c r="I94"/>
      <c r="J94"/>
      <c r="K94" s="51" t="s">
        <v>265</v>
      </c>
      <c r="M94" s="62" t="s">
        <v>530</v>
      </c>
      <c r="N94" s="63" t="s">
        <v>531</v>
      </c>
      <c r="O94" s="64" t="s">
        <v>532</v>
      </c>
    </row>
    <row r="95" spans="1:15" x14ac:dyDescent="0.45">
      <c r="A95" s="54"/>
      <c r="B95" s="54"/>
      <c r="C95" s="54"/>
      <c r="D95" s="51" t="s">
        <v>282</v>
      </c>
      <c r="E95" s="51" t="s">
        <v>196</v>
      </c>
      <c r="F95" s="51" t="s">
        <v>195</v>
      </c>
      <c r="G95" s="51" t="str">
        <f t="shared" si="1"/>
        <v>325/95R24SP925</v>
      </c>
      <c r="H95" s="53">
        <v>21.4</v>
      </c>
      <c r="I95"/>
      <c r="J95"/>
      <c r="K95" s="101" t="s">
        <v>5749</v>
      </c>
      <c r="M95" s="62" t="s">
        <v>533</v>
      </c>
      <c r="N95" s="63" t="s">
        <v>534</v>
      </c>
      <c r="O95" s="64" t="s">
        <v>330</v>
      </c>
    </row>
    <row r="96" spans="1:15" x14ac:dyDescent="0.45">
      <c r="A96" s="54"/>
      <c r="B96" s="54"/>
      <c r="C96" s="54"/>
      <c r="D96" s="51" t="s">
        <v>282</v>
      </c>
      <c r="E96" s="51" t="s">
        <v>285</v>
      </c>
      <c r="F96" s="51" t="s">
        <v>195</v>
      </c>
      <c r="G96" s="51" t="str">
        <f t="shared" si="1"/>
        <v>275/80R22,5SP925</v>
      </c>
      <c r="H96" s="53">
        <v>19.399999999999999</v>
      </c>
      <c r="I96"/>
      <c r="J96"/>
      <c r="K96" s="51" t="s">
        <v>127</v>
      </c>
      <c r="M96" s="62" t="s">
        <v>535</v>
      </c>
      <c r="N96" s="63" t="s">
        <v>536</v>
      </c>
      <c r="O96" s="64" t="s">
        <v>330</v>
      </c>
    </row>
    <row r="97" spans="1:15" x14ac:dyDescent="0.45">
      <c r="A97" s="54"/>
      <c r="B97" s="54"/>
      <c r="C97" s="54"/>
      <c r="D97" s="51" t="s">
        <v>282</v>
      </c>
      <c r="E97" s="51" t="s">
        <v>134</v>
      </c>
      <c r="F97" s="51" t="s">
        <v>195</v>
      </c>
      <c r="G97" s="51" t="str">
        <f t="shared" si="1"/>
        <v>295/80R22,5SP925</v>
      </c>
      <c r="H97" s="53">
        <v>20</v>
      </c>
      <c r="I97"/>
      <c r="J97"/>
      <c r="K97" s="51" t="s">
        <v>182</v>
      </c>
      <c r="M97" s="62" t="s">
        <v>537</v>
      </c>
      <c r="N97" s="63" t="s">
        <v>538</v>
      </c>
      <c r="O97" s="64" t="s">
        <v>330</v>
      </c>
    </row>
    <row r="98" spans="1:15" x14ac:dyDescent="0.45">
      <c r="A98" s="54"/>
      <c r="B98" s="54"/>
      <c r="C98" s="54"/>
      <c r="D98" s="51" t="s">
        <v>282</v>
      </c>
      <c r="E98" s="51" t="s">
        <v>143</v>
      </c>
      <c r="F98" s="51" t="s">
        <v>195</v>
      </c>
      <c r="G98" s="51" t="str">
        <f t="shared" si="1"/>
        <v>315/80R22,5SP925</v>
      </c>
      <c r="H98" s="53">
        <v>24.2</v>
      </c>
      <c r="I98"/>
      <c r="J98"/>
      <c r="K98" s="101" t="s">
        <v>5738</v>
      </c>
      <c r="M98" s="62" t="s">
        <v>539</v>
      </c>
      <c r="N98" s="63" t="s">
        <v>540</v>
      </c>
      <c r="O98" s="64" t="s">
        <v>330</v>
      </c>
    </row>
    <row r="99" spans="1:15" x14ac:dyDescent="0.45">
      <c r="A99" s="54"/>
      <c r="B99" s="54"/>
      <c r="C99" s="54"/>
      <c r="D99" s="51" t="s">
        <v>282</v>
      </c>
      <c r="E99" s="51" t="s">
        <v>123</v>
      </c>
      <c r="F99" s="51" t="s">
        <v>195</v>
      </c>
      <c r="G99" s="51" t="str">
        <f t="shared" si="1"/>
        <v>13R22,5SP925</v>
      </c>
      <c r="H99" s="53">
        <v>24.1</v>
      </c>
      <c r="I99"/>
      <c r="J99"/>
      <c r="K99" s="51" t="s">
        <v>119</v>
      </c>
      <c r="M99" s="62" t="s">
        <v>541</v>
      </c>
      <c r="N99" s="63" t="s">
        <v>542</v>
      </c>
      <c r="O99" s="64" t="s">
        <v>330</v>
      </c>
    </row>
    <row r="100" spans="1:15" x14ac:dyDescent="0.45">
      <c r="A100" s="54"/>
      <c r="B100" s="54"/>
      <c r="C100" s="54"/>
      <c r="D100" s="51" t="s">
        <v>282</v>
      </c>
      <c r="E100" s="51" t="s">
        <v>106</v>
      </c>
      <c r="F100" s="51" t="s">
        <v>193</v>
      </c>
      <c r="G100" s="51" t="str">
        <f t="shared" si="1"/>
        <v>11R22,5SP931</v>
      </c>
      <c r="H100" s="53">
        <v>24.8</v>
      </c>
      <c r="I100"/>
      <c r="J100"/>
      <c r="K100" s="51" t="s">
        <v>131</v>
      </c>
      <c r="M100" s="62" t="s">
        <v>543</v>
      </c>
      <c r="N100" s="63" t="s">
        <v>544</v>
      </c>
      <c r="O100" s="64" t="s">
        <v>336</v>
      </c>
    </row>
    <row r="101" spans="1:15" x14ac:dyDescent="0.45">
      <c r="A101" s="54"/>
      <c r="B101" s="54"/>
      <c r="C101" s="54"/>
      <c r="D101" s="51" t="s">
        <v>282</v>
      </c>
      <c r="E101" s="51" t="s">
        <v>106</v>
      </c>
      <c r="F101" s="51" t="s">
        <v>193</v>
      </c>
      <c r="G101" s="51" t="str">
        <f t="shared" si="1"/>
        <v>11R22,5SP931</v>
      </c>
      <c r="H101" s="53">
        <v>24.8</v>
      </c>
      <c r="I101"/>
      <c r="J101"/>
      <c r="K101" s="51" t="s">
        <v>167</v>
      </c>
      <c r="M101" s="62" t="s">
        <v>545</v>
      </c>
      <c r="N101" s="63" t="s">
        <v>546</v>
      </c>
      <c r="O101" s="64" t="s">
        <v>330</v>
      </c>
    </row>
    <row r="102" spans="1:15" x14ac:dyDescent="0.45">
      <c r="A102" s="54"/>
      <c r="B102" s="54"/>
      <c r="C102" s="54"/>
      <c r="D102" s="51" t="s">
        <v>282</v>
      </c>
      <c r="E102" s="51" t="s">
        <v>116</v>
      </c>
      <c r="F102" s="51" t="s">
        <v>193</v>
      </c>
      <c r="G102" s="51" t="str">
        <f t="shared" si="1"/>
        <v>12R22,5SP931</v>
      </c>
      <c r="H102" s="53">
        <v>24.8</v>
      </c>
      <c r="I102"/>
      <c r="J102"/>
      <c r="K102" s="51" t="s">
        <v>231</v>
      </c>
      <c r="M102" s="62" t="s">
        <v>547</v>
      </c>
      <c r="N102" s="63" t="s">
        <v>548</v>
      </c>
      <c r="O102" s="64" t="s">
        <v>549</v>
      </c>
    </row>
    <row r="103" spans="1:15" x14ac:dyDescent="0.45">
      <c r="A103" s="54"/>
      <c r="B103" s="54"/>
      <c r="C103" s="54"/>
      <c r="D103" s="51" t="s">
        <v>282</v>
      </c>
      <c r="E103" s="51" t="s">
        <v>123</v>
      </c>
      <c r="F103" s="51" t="s">
        <v>193</v>
      </c>
      <c r="G103" s="51" t="str">
        <f t="shared" si="1"/>
        <v>13R22,5SP931</v>
      </c>
      <c r="H103" s="53">
        <v>24.8</v>
      </c>
      <c r="I103"/>
      <c r="J103"/>
      <c r="K103" s="51" t="s">
        <v>253</v>
      </c>
      <c r="M103" s="62" t="s">
        <v>550</v>
      </c>
      <c r="N103" s="63" t="s">
        <v>551</v>
      </c>
      <c r="O103" s="64" t="s">
        <v>330</v>
      </c>
    </row>
    <row r="104" spans="1:15" x14ac:dyDescent="0.45">
      <c r="A104" s="54"/>
      <c r="B104" s="54"/>
      <c r="C104" s="54"/>
      <c r="D104" s="51" t="s">
        <v>282</v>
      </c>
      <c r="E104" s="51" t="s">
        <v>283</v>
      </c>
      <c r="F104" s="51" t="s">
        <v>193</v>
      </c>
      <c r="G104" s="51" t="str">
        <f t="shared" si="1"/>
        <v>10,00R20SP931</v>
      </c>
      <c r="H104" s="53">
        <v>24.8</v>
      </c>
      <c r="I104"/>
      <c r="J104"/>
      <c r="K104" s="51" t="s">
        <v>199</v>
      </c>
      <c r="M104" s="62" t="s">
        <v>552</v>
      </c>
      <c r="N104" s="63" t="s">
        <v>553</v>
      </c>
      <c r="O104" s="64" t="s">
        <v>330</v>
      </c>
    </row>
    <row r="105" spans="1:15" x14ac:dyDescent="0.45">
      <c r="A105" s="54"/>
      <c r="B105" s="54"/>
      <c r="C105" s="54"/>
      <c r="D105" s="51" t="s">
        <v>282</v>
      </c>
      <c r="E105" s="51" t="s">
        <v>287</v>
      </c>
      <c r="F105" s="51" t="s">
        <v>193</v>
      </c>
      <c r="G105" s="51" t="str">
        <f t="shared" si="1"/>
        <v>11,00R20SP931</v>
      </c>
      <c r="H105" s="53">
        <v>24.8</v>
      </c>
      <c r="I105"/>
      <c r="J105"/>
      <c r="K105" s="51" t="s">
        <v>169</v>
      </c>
      <c r="M105" s="62" t="s">
        <v>554</v>
      </c>
      <c r="N105" s="63" t="s">
        <v>555</v>
      </c>
      <c r="O105" s="64" t="s">
        <v>480</v>
      </c>
    </row>
    <row r="106" spans="1:15" x14ac:dyDescent="0.45">
      <c r="A106" s="54"/>
      <c r="B106" s="54"/>
      <c r="C106" s="54"/>
      <c r="D106" s="51" t="s">
        <v>282</v>
      </c>
      <c r="E106" s="51" t="s">
        <v>289</v>
      </c>
      <c r="F106" s="51" t="s">
        <v>194</v>
      </c>
      <c r="G106" s="51" t="str">
        <f t="shared" si="1"/>
        <v>325/95R22,5SP571</v>
      </c>
      <c r="H106" s="53">
        <v>16.7</v>
      </c>
      <c r="I106"/>
      <c r="J106"/>
      <c r="K106" s="101" t="s">
        <v>5673</v>
      </c>
      <c r="M106" s="62" t="s">
        <v>556</v>
      </c>
      <c r="N106" s="63" t="s">
        <v>557</v>
      </c>
      <c r="O106" s="64" t="s">
        <v>359</v>
      </c>
    </row>
    <row r="107" spans="1:15" x14ac:dyDescent="0.45">
      <c r="A107" s="54"/>
      <c r="B107" s="54"/>
      <c r="C107" s="54"/>
      <c r="D107" s="51" t="s">
        <v>282</v>
      </c>
      <c r="E107" s="51" t="s">
        <v>290</v>
      </c>
      <c r="F107" s="51" t="s">
        <v>194</v>
      </c>
      <c r="G107" s="51" t="str">
        <f t="shared" si="1"/>
        <v>12,00R24SP571</v>
      </c>
      <c r="H107" s="53">
        <v>16.7</v>
      </c>
      <c r="I107"/>
      <c r="J107"/>
      <c r="K107" s="101" t="s">
        <v>5675</v>
      </c>
      <c r="M107" s="62" t="s">
        <v>558</v>
      </c>
      <c r="N107" s="63" t="s">
        <v>559</v>
      </c>
      <c r="O107" s="64" t="s">
        <v>515</v>
      </c>
    </row>
    <row r="108" spans="1:15" x14ac:dyDescent="0.45">
      <c r="A108" s="54"/>
      <c r="B108" s="54"/>
      <c r="C108" s="54"/>
      <c r="D108" s="51" t="s">
        <v>282</v>
      </c>
      <c r="E108" s="51" t="s">
        <v>285</v>
      </c>
      <c r="F108" s="51" t="s">
        <v>194</v>
      </c>
      <c r="G108" s="51" t="str">
        <f t="shared" si="1"/>
        <v>275/80R22,5SP571</v>
      </c>
      <c r="H108" s="53">
        <v>17.399999999999999</v>
      </c>
      <c r="I108"/>
      <c r="J108"/>
      <c r="K108" s="51" t="s">
        <v>145</v>
      </c>
      <c r="M108" s="62" t="s">
        <v>560</v>
      </c>
      <c r="N108" s="63" t="s">
        <v>561</v>
      </c>
      <c r="O108" s="64" t="s">
        <v>321</v>
      </c>
    </row>
    <row r="109" spans="1:15" x14ac:dyDescent="0.45">
      <c r="A109" s="54"/>
      <c r="B109" s="54"/>
      <c r="C109" s="54"/>
      <c r="D109" s="51" t="s">
        <v>282</v>
      </c>
      <c r="E109" s="51" t="s">
        <v>134</v>
      </c>
      <c r="F109" s="51" t="s">
        <v>194</v>
      </c>
      <c r="G109" s="51" t="str">
        <f t="shared" si="1"/>
        <v>295/80R22,5SP571</v>
      </c>
      <c r="H109" s="53">
        <v>18.8</v>
      </c>
      <c r="I109"/>
      <c r="J109"/>
      <c r="K109" s="51" t="s">
        <v>146</v>
      </c>
      <c r="M109" s="62" t="s">
        <v>562</v>
      </c>
      <c r="N109" s="63" t="s">
        <v>563</v>
      </c>
      <c r="O109" s="64" t="s">
        <v>344</v>
      </c>
    </row>
    <row r="110" spans="1:15" x14ac:dyDescent="0.45">
      <c r="A110" s="54"/>
      <c r="B110" s="54"/>
      <c r="C110" s="54"/>
      <c r="D110" s="51" t="s">
        <v>282</v>
      </c>
      <c r="E110" s="51" t="s">
        <v>134</v>
      </c>
      <c r="F110" s="51" t="s">
        <v>194</v>
      </c>
      <c r="G110" s="51" t="str">
        <f t="shared" si="1"/>
        <v>295/80R22,5SP571</v>
      </c>
      <c r="H110" s="53">
        <v>16.100000000000001</v>
      </c>
      <c r="I110"/>
      <c r="J110"/>
      <c r="K110" s="101" t="s">
        <v>5684</v>
      </c>
      <c r="M110" s="62" t="s">
        <v>564</v>
      </c>
      <c r="N110" s="63" t="s">
        <v>565</v>
      </c>
      <c r="O110" s="64" t="s">
        <v>330</v>
      </c>
    </row>
    <row r="111" spans="1:15" x14ac:dyDescent="0.45">
      <c r="A111" s="54"/>
      <c r="B111" s="54"/>
      <c r="C111" s="54"/>
      <c r="D111" s="51" t="s">
        <v>282</v>
      </c>
      <c r="E111" s="51" t="s">
        <v>106</v>
      </c>
      <c r="F111" s="51" t="s">
        <v>194</v>
      </c>
      <c r="G111" s="51" t="str">
        <f t="shared" si="1"/>
        <v>11R22,5SP571</v>
      </c>
      <c r="H111" s="53">
        <v>17.5</v>
      </c>
      <c r="I111"/>
      <c r="J111"/>
      <c r="K111" s="101" t="s">
        <v>5694</v>
      </c>
      <c r="M111" s="62" t="s">
        <v>566</v>
      </c>
      <c r="N111" s="63" t="s">
        <v>567</v>
      </c>
      <c r="O111" s="64" t="s">
        <v>420</v>
      </c>
    </row>
    <row r="112" spans="1:15" x14ac:dyDescent="0.45">
      <c r="A112" s="54"/>
      <c r="B112" s="54"/>
      <c r="C112" s="54"/>
      <c r="D112" s="51" t="s">
        <v>282</v>
      </c>
      <c r="E112" s="51" t="s">
        <v>116</v>
      </c>
      <c r="F112" s="51" t="s">
        <v>194</v>
      </c>
      <c r="G112" s="51" t="str">
        <f t="shared" si="1"/>
        <v>12R22,5SP571</v>
      </c>
      <c r="H112" s="53">
        <v>18.3</v>
      </c>
      <c r="I112"/>
      <c r="J112"/>
      <c r="K112" s="51" t="s">
        <v>147</v>
      </c>
      <c r="M112" s="62" t="s">
        <v>568</v>
      </c>
      <c r="N112" s="63" t="s">
        <v>569</v>
      </c>
      <c r="O112" s="64" t="s">
        <v>330</v>
      </c>
    </row>
    <row r="113" spans="1:15" x14ac:dyDescent="0.45">
      <c r="A113" s="54"/>
      <c r="B113" s="54"/>
      <c r="C113" s="54"/>
      <c r="D113" s="51" t="s">
        <v>282</v>
      </c>
      <c r="E113" s="51" t="s">
        <v>291</v>
      </c>
      <c r="F113" s="51" t="s">
        <v>194</v>
      </c>
      <c r="G113" s="51" t="str">
        <f t="shared" si="1"/>
        <v>13R20SP571</v>
      </c>
      <c r="H113" s="53">
        <v>17.8</v>
      </c>
      <c r="I113"/>
      <c r="J113"/>
      <c r="K113" s="51" t="s">
        <v>121</v>
      </c>
      <c r="M113" s="62" t="s">
        <v>570</v>
      </c>
      <c r="N113" s="63" t="s">
        <v>571</v>
      </c>
      <c r="O113" s="64" t="s">
        <v>572</v>
      </c>
    </row>
    <row r="114" spans="1:15" x14ac:dyDescent="0.45">
      <c r="A114" s="54"/>
      <c r="B114" s="54"/>
      <c r="C114" s="54"/>
      <c r="D114" s="51" t="s">
        <v>282</v>
      </c>
      <c r="E114" s="51" t="s">
        <v>283</v>
      </c>
      <c r="F114" s="51" t="s">
        <v>194</v>
      </c>
      <c r="G114" s="51" t="str">
        <f t="shared" si="1"/>
        <v>10,00R20SP571</v>
      </c>
      <c r="H114" s="53">
        <v>17.5</v>
      </c>
      <c r="I114"/>
      <c r="J114"/>
      <c r="K114" s="101" t="s">
        <v>5688</v>
      </c>
      <c r="M114" s="62" t="s">
        <v>573</v>
      </c>
      <c r="N114" s="74" t="s">
        <v>574</v>
      </c>
      <c r="O114" s="64" t="s">
        <v>330</v>
      </c>
    </row>
    <row r="115" spans="1:15" x14ac:dyDescent="0.45">
      <c r="A115" s="54"/>
      <c r="B115" s="54"/>
      <c r="C115" s="54"/>
      <c r="D115" s="51" t="s">
        <v>282</v>
      </c>
      <c r="E115" s="51" t="s">
        <v>287</v>
      </c>
      <c r="F115" s="51" t="s">
        <v>194</v>
      </c>
      <c r="G115" s="51" t="str">
        <f t="shared" si="1"/>
        <v>11,00R20SP571</v>
      </c>
      <c r="H115" s="53">
        <v>18.3</v>
      </c>
      <c r="I115"/>
      <c r="J115"/>
      <c r="K115" s="51" t="s">
        <v>114</v>
      </c>
      <c r="M115" s="62" t="s">
        <v>575</v>
      </c>
      <c r="N115" s="63" t="s">
        <v>576</v>
      </c>
      <c r="O115" s="64" t="s">
        <v>344</v>
      </c>
    </row>
    <row r="116" spans="1:15" x14ac:dyDescent="0.45">
      <c r="A116" s="54"/>
      <c r="B116" s="54"/>
      <c r="C116" s="54"/>
      <c r="D116" s="51" t="s">
        <v>282</v>
      </c>
      <c r="E116" s="51" t="s">
        <v>292</v>
      </c>
      <c r="F116" s="51" t="s">
        <v>194</v>
      </c>
      <c r="G116" s="51" t="str">
        <f t="shared" si="1"/>
        <v>12,00R22,5SP571</v>
      </c>
      <c r="H116" s="53">
        <v>16.7</v>
      </c>
      <c r="I116"/>
      <c r="J116"/>
      <c r="K116" s="51" t="s">
        <v>125</v>
      </c>
      <c r="M116" s="62" t="s">
        <v>577</v>
      </c>
      <c r="N116" s="72" t="s">
        <v>578</v>
      </c>
      <c r="O116" s="64" t="s">
        <v>330</v>
      </c>
    </row>
    <row r="117" spans="1:15" x14ac:dyDescent="0.45">
      <c r="A117" s="54"/>
      <c r="B117" s="54"/>
      <c r="C117" s="54"/>
      <c r="D117" s="51" t="s">
        <v>282</v>
      </c>
      <c r="E117" s="51" t="s">
        <v>130</v>
      </c>
      <c r="F117" s="51" t="s">
        <v>194</v>
      </c>
      <c r="G117" s="51" t="str">
        <f t="shared" si="1"/>
        <v>215/75R17,5SP571</v>
      </c>
      <c r="H117" s="53">
        <v>14.4</v>
      </c>
      <c r="I117"/>
      <c r="J117"/>
      <c r="K117" s="51" t="s">
        <v>109</v>
      </c>
      <c r="M117" s="62" t="s">
        <v>579</v>
      </c>
      <c r="N117" s="63" t="s">
        <v>580</v>
      </c>
      <c r="O117" s="64" t="s">
        <v>344</v>
      </c>
    </row>
    <row r="118" spans="1:15" x14ac:dyDescent="0.45">
      <c r="A118" s="54"/>
      <c r="B118" s="54"/>
      <c r="C118" s="54"/>
      <c r="D118" s="51" t="s">
        <v>282</v>
      </c>
      <c r="E118" s="51" t="s">
        <v>293</v>
      </c>
      <c r="F118" s="51" t="s">
        <v>194</v>
      </c>
      <c r="G118" s="51" t="str">
        <f t="shared" si="1"/>
        <v>225/80R17,5SP571</v>
      </c>
      <c r="H118" s="53">
        <v>13.2</v>
      </c>
      <c r="I118"/>
      <c r="J118"/>
      <c r="K118" s="101" t="s">
        <v>5701</v>
      </c>
      <c r="M118" s="62" t="s">
        <v>581</v>
      </c>
      <c r="N118" s="63" t="s">
        <v>580</v>
      </c>
      <c r="O118" s="64" t="s">
        <v>344</v>
      </c>
    </row>
    <row r="119" spans="1:15" x14ac:dyDescent="0.45">
      <c r="A119" s="54"/>
      <c r="B119" s="54"/>
      <c r="C119" s="54"/>
      <c r="D119" s="51" t="s">
        <v>282</v>
      </c>
      <c r="E119" s="51" t="s">
        <v>294</v>
      </c>
      <c r="F119" s="51" t="s">
        <v>194</v>
      </c>
      <c r="G119" s="51" t="str">
        <f t="shared" si="1"/>
        <v>7,50R16SP571</v>
      </c>
      <c r="H119" s="53">
        <v>13.2</v>
      </c>
      <c r="I119"/>
      <c r="J119"/>
      <c r="K119" s="101" t="s">
        <v>5715</v>
      </c>
      <c r="M119" s="62" t="s">
        <v>582</v>
      </c>
      <c r="N119" s="72" t="s">
        <v>583</v>
      </c>
      <c r="O119" s="64" t="s">
        <v>330</v>
      </c>
    </row>
    <row r="120" spans="1:15" x14ac:dyDescent="0.45">
      <c r="A120" s="54"/>
      <c r="B120" s="54"/>
      <c r="C120" s="54"/>
      <c r="D120" s="51" t="s">
        <v>282</v>
      </c>
      <c r="E120" s="51" t="s">
        <v>188</v>
      </c>
      <c r="F120" s="51" t="s">
        <v>190</v>
      </c>
      <c r="G120" s="51" t="str">
        <f t="shared" si="1"/>
        <v>315/70R22,5SP835</v>
      </c>
      <c r="H120" s="53">
        <v>22</v>
      </c>
      <c r="I120"/>
      <c r="J120"/>
      <c r="K120" s="101" t="s">
        <v>5718</v>
      </c>
      <c r="M120" s="62" t="s">
        <v>584</v>
      </c>
      <c r="N120" s="72" t="s">
        <v>585</v>
      </c>
      <c r="O120" s="64" t="s">
        <v>327</v>
      </c>
    </row>
    <row r="121" spans="1:15" x14ac:dyDescent="0.45">
      <c r="A121" s="54"/>
      <c r="B121" s="54"/>
      <c r="C121" s="54"/>
      <c r="D121" s="51" t="s">
        <v>282</v>
      </c>
      <c r="E121" s="51" t="s">
        <v>285</v>
      </c>
      <c r="F121" s="51" t="s">
        <v>190</v>
      </c>
      <c r="G121" s="51" t="str">
        <f t="shared" si="1"/>
        <v>275/80R22,5SP835</v>
      </c>
      <c r="H121" s="53">
        <v>21.4</v>
      </c>
      <c r="I121"/>
      <c r="J121"/>
      <c r="K121" s="51" t="s">
        <v>210</v>
      </c>
      <c r="M121" s="62" t="s">
        <v>586</v>
      </c>
      <c r="N121" s="63" t="s">
        <v>587</v>
      </c>
      <c r="O121" s="64" t="s">
        <v>318</v>
      </c>
    </row>
    <row r="122" spans="1:15" x14ac:dyDescent="0.45">
      <c r="A122" s="54"/>
      <c r="B122" s="54"/>
      <c r="C122" s="54"/>
      <c r="D122" s="51" t="s">
        <v>282</v>
      </c>
      <c r="E122" s="51" t="s">
        <v>134</v>
      </c>
      <c r="F122" s="51" t="s">
        <v>190</v>
      </c>
      <c r="G122" s="51" t="str">
        <f t="shared" si="1"/>
        <v>295/80R22,5SP835</v>
      </c>
      <c r="H122" s="53">
        <v>21.4</v>
      </c>
      <c r="I122"/>
      <c r="J122"/>
      <c r="K122" s="101" t="s">
        <v>5706</v>
      </c>
      <c r="M122" s="62" t="s">
        <v>588</v>
      </c>
      <c r="N122" s="72" t="s">
        <v>589</v>
      </c>
      <c r="O122" s="64" t="s">
        <v>330</v>
      </c>
    </row>
    <row r="123" spans="1:15" x14ac:dyDescent="0.45">
      <c r="A123" s="54"/>
      <c r="B123" s="54"/>
      <c r="C123" s="54"/>
      <c r="D123" s="51" t="s">
        <v>282</v>
      </c>
      <c r="E123" s="51" t="s">
        <v>143</v>
      </c>
      <c r="F123" s="51" t="s">
        <v>190</v>
      </c>
      <c r="G123" s="51" t="str">
        <f t="shared" si="1"/>
        <v>315/80R22,5SP835</v>
      </c>
      <c r="H123" s="53">
        <v>23</v>
      </c>
      <c r="I123"/>
      <c r="J123"/>
      <c r="K123" s="101" t="s">
        <v>5724</v>
      </c>
      <c r="M123" s="62" t="s">
        <v>590</v>
      </c>
      <c r="N123" s="63" t="s">
        <v>591</v>
      </c>
      <c r="O123" s="64" t="s">
        <v>330</v>
      </c>
    </row>
    <row r="124" spans="1:15" x14ac:dyDescent="0.45">
      <c r="A124" s="54"/>
      <c r="B124" s="54"/>
      <c r="C124" s="54"/>
      <c r="D124" s="51" t="s">
        <v>282</v>
      </c>
      <c r="E124" s="51" t="s">
        <v>106</v>
      </c>
      <c r="F124" s="51" t="s">
        <v>190</v>
      </c>
      <c r="G124" s="51" t="str">
        <f t="shared" si="1"/>
        <v>11R22,5SP835</v>
      </c>
      <c r="H124" s="53">
        <v>22.2</v>
      </c>
      <c r="I124"/>
      <c r="J124"/>
      <c r="K124" s="101" t="s">
        <v>5631</v>
      </c>
      <c r="M124" s="62" t="s">
        <v>592</v>
      </c>
      <c r="N124" s="63" t="s">
        <v>593</v>
      </c>
      <c r="O124" s="64" t="s">
        <v>330</v>
      </c>
    </row>
    <row r="125" spans="1:15" x14ac:dyDescent="0.45">
      <c r="A125" s="54"/>
      <c r="B125" s="54"/>
      <c r="C125" s="54"/>
      <c r="D125" s="51" t="s">
        <v>282</v>
      </c>
      <c r="E125" s="51" t="s">
        <v>116</v>
      </c>
      <c r="F125" s="51" t="s">
        <v>190</v>
      </c>
      <c r="G125" s="51" t="str">
        <f t="shared" si="1"/>
        <v>12R22,5SP835</v>
      </c>
      <c r="H125" s="53">
        <v>22.5</v>
      </c>
      <c r="I125"/>
      <c r="J125"/>
      <c r="K125" s="51" t="s">
        <v>148</v>
      </c>
      <c r="M125" s="62" t="s">
        <v>594</v>
      </c>
      <c r="N125" s="63" t="s">
        <v>595</v>
      </c>
      <c r="O125" s="64" t="s">
        <v>596</v>
      </c>
    </row>
    <row r="126" spans="1:15" x14ac:dyDescent="0.45">
      <c r="A126" s="54"/>
      <c r="B126" s="54"/>
      <c r="C126" s="54"/>
      <c r="D126" s="51" t="s">
        <v>282</v>
      </c>
      <c r="E126" s="51" t="s">
        <v>198</v>
      </c>
      <c r="F126" s="51" t="s">
        <v>190</v>
      </c>
      <c r="G126" s="51" t="str">
        <f t="shared" si="1"/>
        <v>265/70R19,5SP835</v>
      </c>
      <c r="H126" s="53">
        <v>15.9</v>
      </c>
      <c r="I126"/>
      <c r="J126"/>
      <c r="K126" s="101" t="s">
        <v>5669</v>
      </c>
      <c r="M126" s="62" t="s">
        <v>597</v>
      </c>
      <c r="N126" s="63" t="s">
        <v>598</v>
      </c>
      <c r="O126" s="64" t="s">
        <v>344</v>
      </c>
    </row>
    <row r="127" spans="1:15" x14ac:dyDescent="0.45">
      <c r="A127" s="54"/>
      <c r="B127" s="54"/>
      <c r="C127" s="54"/>
      <c r="D127" s="51" t="s">
        <v>282</v>
      </c>
      <c r="E127" s="51" t="s">
        <v>130</v>
      </c>
      <c r="F127" s="51" t="s">
        <v>190</v>
      </c>
      <c r="G127" s="51" t="str">
        <f t="shared" si="1"/>
        <v>215/75R17,5SP835</v>
      </c>
      <c r="H127" s="53">
        <v>14.6</v>
      </c>
      <c r="I127"/>
      <c r="J127"/>
      <c r="K127" s="101" t="s">
        <v>174</v>
      </c>
      <c r="M127" s="62" t="s">
        <v>599</v>
      </c>
      <c r="N127" s="63" t="s">
        <v>600</v>
      </c>
      <c r="O127" s="64" t="s">
        <v>344</v>
      </c>
    </row>
    <row r="128" spans="1:15" x14ac:dyDescent="0.45">
      <c r="A128" s="54"/>
      <c r="B128" s="54"/>
      <c r="C128" s="54"/>
      <c r="D128" s="51" t="s">
        <v>282</v>
      </c>
      <c r="E128" s="51" t="s">
        <v>284</v>
      </c>
      <c r="F128" s="51" t="s">
        <v>190</v>
      </c>
      <c r="G128" s="51" t="str">
        <f t="shared" si="1"/>
        <v>235/75R17,5SP835</v>
      </c>
      <c r="H128" s="53">
        <v>15.3</v>
      </c>
      <c r="I128"/>
      <c r="J128"/>
      <c r="K128" s="101" t="s">
        <v>149</v>
      </c>
      <c r="M128" s="62" t="s">
        <v>601</v>
      </c>
      <c r="N128" s="63" t="s">
        <v>602</v>
      </c>
      <c r="O128" s="64" t="s">
        <v>318</v>
      </c>
    </row>
    <row r="129" spans="1:15" x14ac:dyDescent="0.45">
      <c r="A129" s="54"/>
      <c r="B129" s="54"/>
      <c r="C129" s="54"/>
      <c r="D129" s="51" t="s">
        <v>282</v>
      </c>
      <c r="E129" s="51" t="s">
        <v>185</v>
      </c>
      <c r="F129" s="51" t="s">
        <v>184</v>
      </c>
      <c r="G129" s="51" t="str">
        <f t="shared" si="1"/>
        <v>385/55R22,5SP261</v>
      </c>
      <c r="H129" s="53">
        <v>16</v>
      </c>
      <c r="I129"/>
      <c r="J129"/>
      <c r="K129" s="101" t="s">
        <v>5652</v>
      </c>
      <c r="M129" s="62" t="s">
        <v>603</v>
      </c>
      <c r="N129" s="63" t="s">
        <v>604</v>
      </c>
      <c r="O129" s="64" t="s">
        <v>330</v>
      </c>
    </row>
    <row r="130" spans="1:15" x14ac:dyDescent="0.45">
      <c r="A130" s="54"/>
      <c r="B130" s="54"/>
      <c r="C130" s="54"/>
      <c r="D130" s="51" t="s">
        <v>282</v>
      </c>
      <c r="E130" s="51" t="s">
        <v>173</v>
      </c>
      <c r="F130" s="51" t="s">
        <v>184</v>
      </c>
      <c r="G130" s="51" t="str">
        <f t="shared" si="1"/>
        <v>385/65R22,5SP261</v>
      </c>
      <c r="H130" s="53">
        <v>16.5</v>
      </c>
      <c r="I130"/>
      <c r="J130"/>
      <c r="K130" s="51" t="s">
        <v>150</v>
      </c>
      <c r="M130" s="62" t="s">
        <v>605</v>
      </c>
      <c r="N130" s="63" t="s">
        <v>606</v>
      </c>
      <c r="O130" s="64" t="s">
        <v>330</v>
      </c>
    </row>
    <row r="131" spans="1:15" x14ac:dyDescent="0.45">
      <c r="A131" s="54"/>
      <c r="B131" s="54"/>
      <c r="C131" s="54"/>
      <c r="D131" s="51" t="s">
        <v>282</v>
      </c>
      <c r="E131" s="51" t="s">
        <v>295</v>
      </c>
      <c r="F131" s="51" t="s">
        <v>192</v>
      </c>
      <c r="G131" s="51" t="str">
        <f t="shared" ref="G131:G194" si="2">E131&amp;F131</f>
        <v>275/70R22,5SP160</v>
      </c>
      <c r="H131" s="53">
        <v>13.4</v>
      </c>
      <c r="I131"/>
      <c r="J131"/>
      <c r="K131" s="51" t="s">
        <v>117</v>
      </c>
      <c r="M131" s="62" t="s">
        <v>607</v>
      </c>
      <c r="N131" s="63" t="s">
        <v>608</v>
      </c>
      <c r="O131" s="64" t="s">
        <v>330</v>
      </c>
    </row>
    <row r="132" spans="1:15" x14ac:dyDescent="0.45">
      <c r="A132" s="54"/>
      <c r="B132" s="54"/>
      <c r="C132" s="54"/>
      <c r="D132" s="51" t="s">
        <v>282</v>
      </c>
      <c r="E132" s="51" t="s">
        <v>285</v>
      </c>
      <c r="F132" s="51" t="s">
        <v>192</v>
      </c>
      <c r="G132" s="51" t="str">
        <f t="shared" si="2"/>
        <v>275/80R22,5SP160</v>
      </c>
      <c r="H132" s="53">
        <v>13.4</v>
      </c>
      <c r="I132"/>
      <c r="J132"/>
      <c r="K132" s="101" t="s">
        <v>5659</v>
      </c>
      <c r="M132" s="62" t="s">
        <v>609</v>
      </c>
      <c r="N132" s="63" t="s">
        <v>610</v>
      </c>
      <c r="O132" s="64" t="s">
        <v>330</v>
      </c>
    </row>
    <row r="133" spans="1:15" x14ac:dyDescent="0.45">
      <c r="A133" s="54"/>
      <c r="B133" s="54"/>
      <c r="C133" s="54"/>
      <c r="D133" s="51" t="s">
        <v>282</v>
      </c>
      <c r="E133" s="51" t="s">
        <v>296</v>
      </c>
      <c r="F133" s="51" t="s">
        <v>192</v>
      </c>
      <c r="G133" s="51" t="str">
        <f t="shared" si="2"/>
        <v>9R22,5SP160</v>
      </c>
      <c r="H133" s="53">
        <v>12.5</v>
      </c>
      <c r="I133"/>
      <c r="J133"/>
      <c r="K133" s="51" t="s">
        <v>151</v>
      </c>
      <c r="M133" s="62" t="s">
        <v>611</v>
      </c>
      <c r="N133" s="63" t="s">
        <v>612</v>
      </c>
      <c r="O133" s="64" t="s">
        <v>613</v>
      </c>
    </row>
    <row r="134" spans="1:15" x14ac:dyDescent="0.45">
      <c r="A134" s="54"/>
      <c r="B134" s="54"/>
      <c r="C134" s="54"/>
      <c r="D134" s="51" t="s">
        <v>282</v>
      </c>
      <c r="E134" s="51" t="s">
        <v>191</v>
      </c>
      <c r="F134" s="51" t="s">
        <v>192</v>
      </c>
      <c r="G134" s="51" t="str">
        <f t="shared" si="2"/>
        <v>10R22,5SP160</v>
      </c>
      <c r="H134" s="53">
        <v>13</v>
      </c>
      <c r="I134"/>
      <c r="J134"/>
      <c r="K134" s="101" t="s">
        <v>5695</v>
      </c>
      <c r="M134" s="62" t="s">
        <v>614</v>
      </c>
      <c r="N134" s="63" t="s">
        <v>615</v>
      </c>
      <c r="O134" s="64" t="s">
        <v>616</v>
      </c>
    </row>
    <row r="135" spans="1:15" x14ac:dyDescent="0.45">
      <c r="A135" s="54"/>
      <c r="B135" s="54"/>
      <c r="C135" s="54"/>
      <c r="D135" s="51" t="s">
        <v>282</v>
      </c>
      <c r="E135" s="51" t="s">
        <v>106</v>
      </c>
      <c r="F135" s="51" t="s">
        <v>192</v>
      </c>
      <c r="G135" s="51" t="str">
        <f t="shared" si="2"/>
        <v>11R22,5SP160</v>
      </c>
      <c r="H135" s="53">
        <v>13.4</v>
      </c>
      <c r="I135"/>
      <c r="J135"/>
      <c r="K135" s="101" t="s">
        <v>5683</v>
      </c>
      <c r="M135" s="62" t="s">
        <v>617</v>
      </c>
      <c r="N135" s="63" t="s">
        <v>618</v>
      </c>
      <c r="O135" s="64" t="s">
        <v>321</v>
      </c>
    </row>
    <row r="136" spans="1:15" x14ac:dyDescent="0.45">
      <c r="A136" s="54"/>
      <c r="B136" s="54"/>
      <c r="C136" s="54"/>
      <c r="D136" s="51" t="s">
        <v>282</v>
      </c>
      <c r="E136" s="51" t="s">
        <v>116</v>
      </c>
      <c r="F136" s="51" t="s">
        <v>192</v>
      </c>
      <c r="G136" s="51" t="str">
        <f t="shared" si="2"/>
        <v>12R22,5SP160</v>
      </c>
      <c r="H136" s="53">
        <v>13.9</v>
      </c>
      <c r="I136"/>
      <c r="J136"/>
      <c r="K136" s="101" t="s">
        <v>161</v>
      </c>
      <c r="M136" s="62" t="s">
        <v>619</v>
      </c>
      <c r="N136" s="63" t="s">
        <v>620</v>
      </c>
      <c r="O136" s="64" t="s">
        <v>327</v>
      </c>
    </row>
    <row r="137" spans="1:15" x14ac:dyDescent="0.45">
      <c r="A137" s="54"/>
      <c r="B137" s="54"/>
      <c r="C137" s="54"/>
      <c r="D137" s="51" t="s">
        <v>282</v>
      </c>
      <c r="E137" s="51" t="s">
        <v>143</v>
      </c>
      <c r="F137" s="51" t="s">
        <v>192</v>
      </c>
      <c r="G137" s="51" t="str">
        <f t="shared" si="2"/>
        <v>315/80R22,5SP160</v>
      </c>
      <c r="H137" s="53">
        <v>14.7</v>
      </c>
      <c r="I137"/>
      <c r="J137"/>
      <c r="K137" s="51" t="s">
        <v>162</v>
      </c>
      <c r="M137" s="62" t="s">
        <v>621</v>
      </c>
      <c r="N137" s="63" t="s">
        <v>622</v>
      </c>
      <c r="O137" s="64" t="s">
        <v>549</v>
      </c>
    </row>
    <row r="138" spans="1:15" x14ac:dyDescent="0.45">
      <c r="A138" s="54"/>
      <c r="B138" s="54"/>
      <c r="C138" s="54"/>
      <c r="D138" s="51" t="s">
        <v>282</v>
      </c>
      <c r="E138" s="51" t="s">
        <v>297</v>
      </c>
      <c r="F138" s="51" t="s">
        <v>192</v>
      </c>
      <c r="G138" s="51" t="str">
        <f t="shared" si="2"/>
        <v>9,00R20SP160</v>
      </c>
      <c r="H138" s="53">
        <v>13</v>
      </c>
      <c r="I138"/>
      <c r="J138"/>
      <c r="K138" s="101" t="s">
        <v>5722</v>
      </c>
      <c r="M138" s="62" t="s">
        <v>623</v>
      </c>
      <c r="N138" s="63" t="s">
        <v>624</v>
      </c>
      <c r="O138" s="64" t="s">
        <v>625</v>
      </c>
    </row>
    <row r="139" spans="1:15" x14ac:dyDescent="0.45">
      <c r="A139" s="54"/>
      <c r="B139" s="54"/>
      <c r="C139" s="54"/>
      <c r="D139" s="51" t="s">
        <v>282</v>
      </c>
      <c r="E139" s="51" t="s">
        <v>283</v>
      </c>
      <c r="F139" s="51" t="s">
        <v>192</v>
      </c>
      <c r="G139" s="51" t="str">
        <f t="shared" si="2"/>
        <v>10,00R20SP160</v>
      </c>
      <c r="H139" s="53">
        <v>13.2</v>
      </c>
      <c r="I139"/>
      <c r="J139"/>
      <c r="K139" s="51" t="s">
        <v>213</v>
      </c>
      <c r="M139" s="62" t="s">
        <v>626</v>
      </c>
      <c r="N139" s="63" t="s">
        <v>627</v>
      </c>
      <c r="O139" s="64" t="s">
        <v>330</v>
      </c>
    </row>
    <row r="140" spans="1:15" x14ac:dyDescent="0.45">
      <c r="A140" s="54"/>
      <c r="B140" s="54"/>
      <c r="C140" s="54"/>
      <c r="D140" s="51" t="s">
        <v>282</v>
      </c>
      <c r="E140" s="51" t="s">
        <v>287</v>
      </c>
      <c r="F140" s="51" t="s">
        <v>192</v>
      </c>
      <c r="G140" s="51" t="str">
        <f t="shared" si="2"/>
        <v>11,00R20SP160</v>
      </c>
      <c r="H140" s="53">
        <v>13.9</v>
      </c>
      <c r="I140"/>
      <c r="J140"/>
      <c r="K140" s="51" t="s">
        <v>252</v>
      </c>
      <c r="M140" s="62" t="s">
        <v>628</v>
      </c>
      <c r="N140" s="63" t="s">
        <v>629</v>
      </c>
      <c r="O140" s="64" t="s">
        <v>330</v>
      </c>
    </row>
    <row r="141" spans="1:15" x14ac:dyDescent="0.45">
      <c r="A141" s="54"/>
      <c r="B141" s="54"/>
      <c r="C141" s="54"/>
      <c r="D141" s="51" t="s">
        <v>282</v>
      </c>
      <c r="E141" s="51" t="s">
        <v>298</v>
      </c>
      <c r="F141" s="51" t="s">
        <v>192</v>
      </c>
      <c r="G141" s="51" t="str">
        <f t="shared" si="2"/>
        <v>245/70R19,5SP160</v>
      </c>
      <c r="H141" s="53">
        <v>12.5</v>
      </c>
      <c r="I141"/>
      <c r="J141"/>
      <c r="K141" s="51" t="s">
        <v>107</v>
      </c>
      <c r="M141" s="62" t="s">
        <v>630</v>
      </c>
      <c r="N141" s="63" t="s">
        <v>631</v>
      </c>
      <c r="O141" s="64" t="s">
        <v>632</v>
      </c>
    </row>
    <row r="142" spans="1:15" x14ac:dyDescent="0.45">
      <c r="A142" s="54"/>
      <c r="B142" s="54"/>
      <c r="C142" s="54"/>
      <c r="D142" s="51" t="s">
        <v>282</v>
      </c>
      <c r="E142" s="51" t="s">
        <v>298</v>
      </c>
      <c r="F142" s="51" t="s">
        <v>192</v>
      </c>
      <c r="G142" s="51" t="str">
        <f t="shared" si="2"/>
        <v>245/70R19,5SP160</v>
      </c>
      <c r="H142" s="53">
        <v>12.5</v>
      </c>
      <c r="I142"/>
      <c r="J142"/>
      <c r="K142" s="101" t="s">
        <v>133</v>
      </c>
      <c r="M142" s="62" t="s">
        <v>633</v>
      </c>
      <c r="N142" s="63" t="s">
        <v>634</v>
      </c>
      <c r="O142" s="64" t="s">
        <v>425</v>
      </c>
    </row>
    <row r="143" spans="1:15" x14ac:dyDescent="0.45">
      <c r="A143" s="54"/>
      <c r="B143" s="54"/>
      <c r="C143" s="54"/>
      <c r="D143" s="51" t="s">
        <v>282</v>
      </c>
      <c r="E143" s="51" t="s">
        <v>299</v>
      </c>
      <c r="F143" s="51" t="s">
        <v>192</v>
      </c>
      <c r="G143" s="51" t="str">
        <f t="shared" si="2"/>
        <v>7,50R18SP160</v>
      </c>
      <c r="H143" s="53">
        <v>12</v>
      </c>
      <c r="I143"/>
      <c r="J143"/>
      <c r="K143" s="101" t="s">
        <v>5711</v>
      </c>
      <c r="M143" s="62" t="s">
        <v>635</v>
      </c>
      <c r="N143" s="63" t="s">
        <v>636</v>
      </c>
      <c r="O143" s="64" t="s">
        <v>330</v>
      </c>
    </row>
    <row r="144" spans="1:15" x14ac:dyDescent="0.45">
      <c r="A144" s="54"/>
      <c r="B144" s="54"/>
      <c r="C144" s="54"/>
      <c r="D144" s="51" t="s">
        <v>282</v>
      </c>
      <c r="E144" s="51" t="s">
        <v>294</v>
      </c>
      <c r="F144" s="51" t="s">
        <v>192</v>
      </c>
      <c r="G144" s="51" t="str">
        <f t="shared" si="2"/>
        <v>7,50R16SP160</v>
      </c>
      <c r="H144" s="53">
        <v>11.5</v>
      </c>
      <c r="I144"/>
      <c r="J144"/>
      <c r="K144" s="101" t="s">
        <v>5713</v>
      </c>
      <c r="M144" s="62" t="s">
        <v>637</v>
      </c>
      <c r="N144" s="63" t="s">
        <v>638</v>
      </c>
      <c r="O144" s="64" t="s">
        <v>330</v>
      </c>
    </row>
    <row r="145" spans="1:15" x14ac:dyDescent="0.45">
      <c r="A145" s="54"/>
      <c r="B145" s="54"/>
      <c r="C145" s="54"/>
      <c r="D145" s="51" t="s">
        <v>282</v>
      </c>
      <c r="E145" s="51" t="s">
        <v>294</v>
      </c>
      <c r="F145" s="51" t="s">
        <v>192</v>
      </c>
      <c r="G145" s="51" t="str">
        <f t="shared" si="2"/>
        <v>7,50R16SP160</v>
      </c>
      <c r="H145" s="53">
        <v>11.3</v>
      </c>
      <c r="I145"/>
      <c r="J145"/>
      <c r="K145" s="101" t="s">
        <v>5658</v>
      </c>
      <c r="M145" s="62" t="s">
        <v>639</v>
      </c>
      <c r="N145" s="63" t="s">
        <v>640</v>
      </c>
      <c r="O145" s="64" t="s">
        <v>330</v>
      </c>
    </row>
    <row r="146" spans="1:15" x14ac:dyDescent="0.45">
      <c r="A146" s="54"/>
      <c r="B146" s="54"/>
      <c r="C146" s="54"/>
      <c r="D146" s="51" t="s">
        <v>282</v>
      </c>
      <c r="E146" s="51" t="s">
        <v>300</v>
      </c>
      <c r="F146" s="51" t="s">
        <v>192</v>
      </c>
      <c r="G146" s="51" t="str">
        <f t="shared" si="2"/>
        <v>8,25R16SP160</v>
      </c>
      <c r="H146" s="53">
        <v>11.8</v>
      </c>
      <c r="I146"/>
      <c r="J146"/>
      <c r="K146" s="51" t="s">
        <v>207</v>
      </c>
      <c r="M146" s="62" t="s">
        <v>641</v>
      </c>
      <c r="N146" s="63" t="s">
        <v>642</v>
      </c>
      <c r="O146" s="64" t="s">
        <v>344</v>
      </c>
    </row>
    <row r="147" spans="1:15" x14ac:dyDescent="0.45">
      <c r="A147" s="54"/>
      <c r="B147" s="54"/>
      <c r="C147" s="54"/>
      <c r="D147" s="51" t="s">
        <v>282</v>
      </c>
      <c r="E147" s="51" t="s">
        <v>301</v>
      </c>
      <c r="F147" s="51" t="s">
        <v>192</v>
      </c>
      <c r="G147" s="51" t="str">
        <f t="shared" si="2"/>
        <v>10,00R15SP160</v>
      </c>
      <c r="H147" s="53">
        <v>12.5</v>
      </c>
      <c r="I147"/>
      <c r="J147"/>
      <c r="K147" s="101" t="s">
        <v>5716</v>
      </c>
      <c r="M147" s="62" t="s">
        <v>643</v>
      </c>
      <c r="N147" s="63" t="s">
        <v>644</v>
      </c>
      <c r="O147" s="64" t="s">
        <v>549</v>
      </c>
    </row>
    <row r="148" spans="1:15" x14ac:dyDescent="0.45">
      <c r="A148" s="54"/>
      <c r="B148" s="54"/>
      <c r="C148" s="54"/>
      <c r="D148" s="51" t="s">
        <v>282</v>
      </c>
      <c r="E148" s="51" t="s">
        <v>301</v>
      </c>
      <c r="F148" s="51" t="s">
        <v>192</v>
      </c>
      <c r="G148" s="51" t="str">
        <f t="shared" si="2"/>
        <v>10,00R15SP160</v>
      </c>
      <c r="H148" s="53">
        <v>12.5</v>
      </c>
      <c r="I148"/>
      <c r="J148"/>
      <c r="K148" s="101" t="s">
        <v>5752</v>
      </c>
      <c r="M148" s="62" t="s">
        <v>645</v>
      </c>
      <c r="N148" s="63" t="s">
        <v>646</v>
      </c>
      <c r="O148" s="64" t="s">
        <v>327</v>
      </c>
    </row>
    <row r="149" spans="1:15" x14ac:dyDescent="0.45">
      <c r="A149" s="54"/>
      <c r="B149" s="54"/>
      <c r="C149" s="54"/>
      <c r="D149" s="51" t="s">
        <v>282</v>
      </c>
      <c r="E149" s="51" t="s">
        <v>143</v>
      </c>
      <c r="F149" s="51" t="s">
        <v>302</v>
      </c>
      <c r="G149" s="51" t="str">
        <f t="shared" si="2"/>
        <v>315/80R22,5SP446</v>
      </c>
      <c r="H149" s="53">
        <v>18.3</v>
      </c>
      <c r="I149"/>
      <c r="J149"/>
      <c r="K149" s="51" t="s">
        <v>262</v>
      </c>
      <c r="M149" s="62" t="s">
        <v>647</v>
      </c>
      <c r="N149" s="63" t="s">
        <v>648</v>
      </c>
      <c r="O149" s="64" t="s">
        <v>509</v>
      </c>
    </row>
    <row r="150" spans="1:15" x14ac:dyDescent="0.45">
      <c r="A150" s="54"/>
      <c r="B150" s="54"/>
      <c r="C150" s="54"/>
      <c r="D150" s="51" t="s">
        <v>282</v>
      </c>
      <c r="E150" s="51" t="s">
        <v>173</v>
      </c>
      <c r="F150" s="51" t="s">
        <v>303</v>
      </c>
      <c r="G150" s="51" t="str">
        <f t="shared" si="2"/>
        <v>385/65R22,5SP247</v>
      </c>
      <c r="H150" s="53">
        <v>18</v>
      </c>
      <c r="I150"/>
      <c r="J150"/>
      <c r="K150" s="101" t="s">
        <v>5690</v>
      </c>
      <c r="M150" s="62" t="s">
        <v>649</v>
      </c>
      <c r="N150" s="63" t="s">
        <v>650</v>
      </c>
      <c r="O150" s="64" t="s">
        <v>330</v>
      </c>
    </row>
    <row r="151" spans="1:15" x14ac:dyDescent="0.45">
      <c r="A151" s="54"/>
      <c r="B151" s="54"/>
      <c r="C151" s="54"/>
      <c r="D151" s="51" t="s">
        <v>122</v>
      </c>
      <c r="E151" s="51" t="s">
        <v>188</v>
      </c>
      <c r="F151" s="51" t="s">
        <v>152</v>
      </c>
      <c r="G151" s="51" t="str">
        <f t="shared" si="2"/>
        <v>315/70R22,5SP344</v>
      </c>
      <c r="H151" s="53">
        <v>15</v>
      </c>
      <c r="I151"/>
      <c r="J151"/>
      <c r="K151" s="101" t="s">
        <v>5644</v>
      </c>
      <c r="M151" s="62" t="s">
        <v>651</v>
      </c>
      <c r="N151" s="63" t="s">
        <v>652</v>
      </c>
      <c r="O151" s="64" t="s">
        <v>318</v>
      </c>
    </row>
    <row r="152" spans="1:15" x14ac:dyDescent="0.45">
      <c r="A152" s="54"/>
      <c r="B152" s="54"/>
      <c r="C152" s="54"/>
      <c r="D152" s="51" t="s">
        <v>122</v>
      </c>
      <c r="E152" s="51" t="s">
        <v>173</v>
      </c>
      <c r="F152" s="51" t="s">
        <v>152</v>
      </c>
      <c r="G152" s="51" t="str">
        <f t="shared" si="2"/>
        <v>385/65R22,5SP344</v>
      </c>
      <c r="H152" s="53">
        <v>16</v>
      </c>
      <c r="I152"/>
      <c r="J152"/>
      <c r="K152" s="101" t="s">
        <v>5634</v>
      </c>
      <c r="M152" s="62" t="s">
        <v>653</v>
      </c>
      <c r="N152" s="63" t="s">
        <v>654</v>
      </c>
      <c r="O152" s="64" t="s">
        <v>330</v>
      </c>
    </row>
    <row r="153" spans="1:15" x14ac:dyDescent="0.45">
      <c r="A153" s="54"/>
      <c r="B153" s="54"/>
      <c r="C153" s="54"/>
      <c r="D153" s="51" t="s">
        <v>204</v>
      </c>
      <c r="E153" s="51" t="s">
        <v>201</v>
      </c>
      <c r="F153" s="51" t="s">
        <v>205</v>
      </c>
      <c r="G153" s="51" t="str">
        <f t="shared" si="2"/>
        <v>1200R24D960</v>
      </c>
      <c r="H153" s="53">
        <v>21</v>
      </c>
      <c r="I153"/>
      <c r="J153"/>
      <c r="K153" s="101" t="s">
        <v>5639</v>
      </c>
      <c r="M153" s="62" t="s">
        <v>655</v>
      </c>
      <c r="N153" s="63" t="s">
        <v>656</v>
      </c>
      <c r="O153" s="64" t="s">
        <v>330</v>
      </c>
    </row>
    <row r="154" spans="1:15" x14ac:dyDescent="0.45">
      <c r="A154" s="54"/>
      <c r="B154" s="54"/>
      <c r="C154" s="54"/>
      <c r="D154" s="51" t="s">
        <v>105</v>
      </c>
      <c r="E154" s="51" t="s">
        <v>181</v>
      </c>
      <c r="F154" s="51" t="s">
        <v>107</v>
      </c>
      <c r="G154" s="51" t="str">
        <f t="shared" si="2"/>
        <v>8.5R17,5RHSII</v>
      </c>
      <c r="H154" s="53">
        <v>12</v>
      </c>
      <c r="I154"/>
      <c r="J154"/>
      <c r="K154" s="101" t="s">
        <v>5664</v>
      </c>
      <c r="M154" s="62" t="s">
        <v>657</v>
      </c>
      <c r="N154" s="63" t="s">
        <v>658</v>
      </c>
      <c r="O154" s="64" t="s">
        <v>344</v>
      </c>
    </row>
    <row r="155" spans="1:15" x14ac:dyDescent="0.45">
      <c r="A155" s="54"/>
      <c r="B155" s="54"/>
      <c r="C155" s="54"/>
      <c r="D155" s="51" t="s">
        <v>105</v>
      </c>
      <c r="E155" s="51" t="s">
        <v>206</v>
      </c>
      <c r="F155" s="51" t="s">
        <v>207</v>
      </c>
      <c r="G155" s="51" t="str">
        <f t="shared" si="2"/>
        <v>20.5R25RL-5K L5</v>
      </c>
      <c r="H155" s="53">
        <v>70</v>
      </c>
      <c r="I155"/>
      <c r="J155"/>
      <c r="K155" s="51" t="s">
        <v>135</v>
      </c>
      <c r="M155" s="62" t="s">
        <v>659</v>
      </c>
      <c r="N155" s="63" t="s">
        <v>660</v>
      </c>
      <c r="O155" s="64" t="s">
        <v>324</v>
      </c>
    </row>
    <row r="156" spans="1:15" x14ac:dyDescent="0.45">
      <c r="A156" s="54"/>
      <c r="B156" s="54"/>
      <c r="C156" s="54"/>
      <c r="D156" s="51" t="s">
        <v>105</v>
      </c>
      <c r="E156" s="51" t="s">
        <v>208</v>
      </c>
      <c r="F156" s="51" t="s">
        <v>207</v>
      </c>
      <c r="G156" s="51" t="str">
        <f t="shared" si="2"/>
        <v>23.5R25RL-5K L5</v>
      </c>
      <c r="H156" s="53">
        <v>79</v>
      </c>
      <c r="I156"/>
      <c r="J156"/>
      <c r="K156" s="101" t="s">
        <v>5640</v>
      </c>
      <c r="M156" s="62" t="s">
        <v>661</v>
      </c>
      <c r="N156" s="63" t="s">
        <v>662</v>
      </c>
      <c r="O156" s="64" t="s">
        <v>330</v>
      </c>
    </row>
    <row r="157" spans="1:15" x14ac:dyDescent="0.45">
      <c r="A157" s="54"/>
      <c r="B157" s="54"/>
      <c r="C157" s="54"/>
      <c r="D157" s="51" t="s">
        <v>105</v>
      </c>
      <c r="E157" s="51" t="s">
        <v>209</v>
      </c>
      <c r="F157" s="51" t="s">
        <v>207</v>
      </c>
      <c r="G157" s="51" t="str">
        <f t="shared" si="2"/>
        <v>18.00R25RL-5K L5</v>
      </c>
      <c r="H157" s="53">
        <v>79</v>
      </c>
      <c r="I157"/>
      <c r="J157"/>
      <c r="K157" s="101" t="s">
        <v>5657</v>
      </c>
      <c r="M157" s="71" t="s">
        <v>663</v>
      </c>
      <c r="N157" s="72" t="s">
        <v>664</v>
      </c>
      <c r="O157" s="64" t="s">
        <v>330</v>
      </c>
    </row>
    <row r="158" spans="1:15" x14ac:dyDescent="0.45">
      <c r="A158" s="54"/>
      <c r="B158" s="54"/>
      <c r="C158" s="54"/>
      <c r="D158" s="51" t="s">
        <v>105</v>
      </c>
      <c r="E158" s="51" t="s">
        <v>123</v>
      </c>
      <c r="F158" s="51" t="s">
        <v>210</v>
      </c>
      <c r="G158" s="51" t="str">
        <f t="shared" si="2"/>
        <v>13R22,5ORD</v>
      </c>
      <c r="H158" s="53">
        <v>23</v>
      </c>
      <c r="I158"/>
      <c r="J158"/>
      <c r="K158" s="101" t="s">
        <v>5702</v>
      </c>
      <c r="M158" s="62" t="s">
        <v>665</v>
      </c>
      <c r="N158" s="63" t="s">
        <v>666</v>
      </c>
      <c r="O158" s="64" t="s">
        <v>667</v>
      </c>
    </row>
    <row r="159" spans="1:15" x14ac:dyDescent="0.45">
      <c r="A159" s="54"/>
      <c r="B159" s="54"/>
      <c r="C159" s="54"/>
      <c r="D159" s="51" t="s">
        <v>122</v>
      </c>
      <c r="E159" s="51" t="s">
        <v>191</v>
      </c>
      <c r="F159" s="51" t="s">
        <v>211</v>
      </c>
      <c r="G159" s="51" t="str">
        <f t="shared" si="2"/>
        <v>10R22,5SP321</v>
      </c>
      <c r="H159" s="53">
        <v>14</v>
      </c>
      <c r="I159"/>
      <c r="J159"/>
      <c r="K159" s="101" t="s">
        <v>5654</v>
      </c>
      <c r="M159" s="62" t="s">
        <v>668</v>
      </c>
      <c r="N159" s="63" t="s">
        <v>669</v>
      </c>
      <c r="O159" s="64" t="s">
        <v>330</v>
      </c>
    </row>
    <row r="160" spans="1:15" x14ac:dyDescent="0.45">
      <c r="A160" s="54"/>
      <c r="B160" s="54"/>
      <c r="C160" s="54"/>
      <c r="D160" s="51" t="s">
        <v>212</v>
      </c>
      <c r="E160" s="51" t="s">
        <v>134</v>
      </c>
      <c r="F160" s="51" t="s">
        <v>213</v>
      </c>
      <c r="G160" s="51" t="str">
        <f t="shared" si="2"/>
        <v>295/80R22,5RHS230</v>
      </c>
      <c r="H160" s="53">
        <v>16</v>
      </c>
      <c r="I160"/>
      <c r="J160"/>
      <c r="K160" s="101" t="s">
        <v>5641</v>
      </c>
      <c r="M160" s="62" t="s">
        <v>670</v>
      </c>
      <c r="N160" s="63" t="s">
        <v>671</v>
      </c>
      <c r="O160" s="64" t="s">
        <v>324</v>
      </c>
    </row>
    <row r="161" spans="1:15" x14ac:dyDescent="0.45">
      <c r="A161" s="54"/>
      <c r="B161" s="54"/>
      <c r="C161" s="54"/>
      <c r="D161" s="51" t="s">
        <v>214</v>
      </c>
      <c r="E161" s="51" t="s">
        <v>134</v>
      </c>
      <c r="F161" s="51" t="s">
        <v>215</v>
      </c>
      <c r="G161" s="51" t="str">
        <f t="shared" si="2"/>
        <v>295/80R22,5FH1</v>
      </c>
      <c r="H161" s="53">
        <v>14</v>
      </c>
      <c r="I161"/>
      <c r="J161"/>
      <c r="K161" s="101" t="s">
        <v>5720</v>
      </c>
      <c r="M161" s="62" t="s">
        <v>672</v>
      </c>
      <c r="N161" s="63" t="s">
        <v>673</v>
      </c>
      <c r="O161" s="64" t="s">
        <v>330</v>
      </c>
    </row>
    <row r="162" spans="1:15" x14ac:dyDescent="0.45">
      <c r="A162" s="54"/>
      <c r="B162" s="54"/>
      <c r="C162" s="54"/>
      <c r="D162" s="51" t="s">
        <v>136</v>
      </c>
      <c r="E162" s="51" t="s">
        <v>134</v>
      </c>
      <c r="F162" s="51" t="s">
        <v>216</v>
      </c>
      <c r="G162" s="51" t="str">
        <f t="shared" si="2"/>
        <v>295/80R22,5HSU</v>
      </c>
      <c r="H162" s="53">
        <v>14</v>
      </c>
      <c r="I162"/>
      <c r="J162"/>
      <c r="K162" s="51" t="s">
        <v>192</v>
      </c>
      <c r="M162" s="62" t="s">
        <v>674</v>
      </c>
      <c r="N162" s="63" t="s">
        <v>675</v>
      </c>
      <c r="O162" s="64" t="s">
        <v>330</v>
      </c>
    </row>
    <row r="163" spans="1:15" x14ac:dyDescent="0.45">
      <c r="A163" s="54"/>
      <c r="B163" s="54"/>
      <c r="C163" s="54"/>
      <c r="D163" s="51" t="s">
        <v>217</v>
      </c>
      <c r="E163" s="51" t="s">
        <v>134</v>
      </c>
      <c r="F163" s="51" t="s">
        <v>218</v>
      </c>
      <c r="G163" s="51" t="str">
        <f t="shared" si="2"/>
        <v>295/80R22,5FR01</v>
      </c>
      <c r="H163" s="53">
        <v>16</v>
      </c>
      <c r="I163"/>
      <c r="J163"/>
      <c r="K163" s="51" t="s">
        <v>175</v>
      </c>
      <c r="M163" s="62" t="s">
        <v>676</v>
      </c>
      <c r="N163" s="63" t="s">
        <v>677</v>
      </c>
      <c r="O163" s="64" t="s">
        <v>344</v>
      </c>
    </row>
    <row r="164" spans="1:15" x14ac:dyDescent="0.45">
      <c r="A164" s="54"/>
      <c r="B164" s="54"/>
      <c r="C164" s="54"/>
      <c r="D164" s="51" t="s">
        <v>136</v>
      </c>
      <c r="E164" s="51" t="s">
        <v>143</v>
      </c>
      <c r="F164" s="51" t="s">
        <v>219</v>
      </c>
      <c r="G164" s="51" t="str">
        <f t="shared" si="2"/>
        <v>315/80R22,5HDR2ED</v>
      </c>
      <c r="H164" s="53">
        <v>22.7</v>
      </c>
      <c r="I164"/>
      <c r="J164"/>
      <c r="K164" s="101" t="s">
        <v>5693</v>
      </c>
      <c r="M164" s="62" t="s">
        <v>678</v>
      </c>
      <c r="N164" s="63" t="s">
        <v>679</v>
      </c>
      <c r="O164" s="64" t="s">
        <v>318</v>
      </c>
    </row>
    <row r="165" spans="1:15" x14ac:dyDescent="0.45">
      <c r="A165" s="54"/>
      <c r="B165" s="54"/>
      <c r="C165" s="54"/>
      <c r="D165" s="51" t="s">
        <v>136</v>
      </c>
      <c r="E165" s="51" t="s">
        <v>143</v>
      </c>
      <c r="F165" s="51" t="s">
        <v>220</v>
      </c>
      <c r="G165" s="51" t="str">
        <f t="shared" si="2"/>
        <v>315/80R22,5HSR2ED</v>
      </c>
      <c r="H165" s="53">
        <v>16</v>
      </c>
      <c r="I165"/>
      <c r="J165"/>
      <c r="K165" s="51" t="s">
        <v>303</v>
      </c>
      <c r="M165" s="62" t="s">
        <v>680</v>
      </c>
      <c r="N165" s="63" t="s">
        <v>681</v>
      </c>
      <c r="O165" s="64" t="s">
        <v>330</v>
      </c>
    </row>
    <row r="166" spans="1:15" x14ac:dyDescent="0.45">
      <c r="A166" s="54"/>
      <c r="B166" s="54"/>
      <c r="C166" s="54"/>
      <c r="D166" s="51" t="s">
        <v>136</v>
      </c>
      <c r="E166" s="51" t="s">
        <v>173</v>
      </c>
      <c r="F166" s="51" t="s">
        <v>221</v>
      </c>
      <c r="G166" s="51" t="str">
        <f t="shared" si="2"/>
        <v>385/65R22,5HTR2ED</v>
      </c>
      <c r="H166" s="53">
        <v>15.5</v>
      </c>
      <c r="I166"/>
      <c r="J166"/>
      <c r="K166" s="101" t="s">
        <v>184</v>
      </c>
      <c r="M166" s="62" t="s">
        <v>682</v>
      </c>
      <c r="N166" s="63" t="s">
        <v>683</v>
      </c>
      <c r="O166" s="64" t="s">
        <v>330</v>
      </c>
    </row>
    <row r="167" spans="1:15" x14ac:dyDescent="0.45">
      <c r="A167" s="54"/>
      <c r="B167" s="54"/>
      <c r="C167" s="54"/>
      <c r="D167" s="51" t="s">
        <v>164</v>
      </c>
      <c r="E167" s="51" t="s">
        <v>143</v>
      </c>
      <c r="F167" s="51" t="s">
        <v>222</v>
      </c>
      <c r="G167" s="51" t="str">
        <f t="shared" si="2"/>
        <v>315/80R22,5X WORKS D</v>
      </c>
      <c r="H167" s="53">
        <v>22</v>
      </c>
      <c r="I167"/>
      <c r="J167"/>
      <c r="K167" s="101" t="s">
        <v>186</v>
      </c>
      <c r="M167" s="62" t="s">
        <v>684</v>
      </c>
      <c r="N167" s="63" t="s">
        <v>685</v>
      </c>
      <c r="O167" s="64" t="s">
        <v>330</v>
      </c>
    </row>
    <row r="168" spans="1:15" x14ac:dyDescent="0.45">
      <c r="A168" s="54"/>
      <c r="B168" s="54"/>
      <c r="C168" s="54"/>
      <c r="D168" s="51" t="s">
        <v>164</v>
      </c>
      <c r="E168" s="51" t="s">
        <v>134</v>
      </c>
      <c r="F168" s="51" t="s">
        <v>223</v>
      </c>
      <c r="G168" s="51" t="str">
        <f t="shared" si="2"/>
        <v>295/80R22,5XDA+N</v>
      </c>
      <c r="H168" s="53"/>
      <c r="I168"/>
      <c r="J168"/>
      <c r="K168" s="51" t="s">
        <v>211</v>
      </c>
      <c r="M168" s="62" t="s">
        <v>686</v>
      </c>
      <c r="N168" s="63" t="s">
        <v>687</v>
      </c>
      <c r="O168" s="64" t="s">
        <v>688</v>
      </c>
    </row>
    <row r="169" spans="1:15" x14ac:dyDescent="0.45">
      <c r="A169" s="54"/>
      <c r="B169" s="54"/>
      <c r="C169" s="54"/>
      <c r="D169" s="51" t="s">
        <v>164</v>
      </c>
      <c r="E169" s="51" t="s">
        <v>134</v>
      </c>
      <c r="F169" s="51" t="s">
        <v>224</v>
      </c>
      <c r="G169" s="51" t="str">
        <f t="shared" si="2"/>
        <v>295/80R22,5XZA2+</v>
      </c>
      <c r="H169" s="53"/>
      <c r="I169"/>
      <c r="J169"/>
      <c r="K169" s="51" t="s">
        <v>152</v>
      </c>
      <c r="M169" s="62" t="s">
        <v>689</v>
      </c>
      <c r="N169" s="63" t="s">
        <v>690</v>
      </c>
      <c r="O169" s="64" t="s">
        <v>691</v>
      </c>
    </row>
    <row r="170" spans="1:15" x14ac:dyDescent="0.45">
      <c r="A170" s="54"/>
      <c r="B170" s="54"/>
      <c r="C170" s="54"/>
      <c r="D170" s="51" t="s">
        <v>225</v>
      </c>
      <c r="E170" s="51" t="s">
        <v>134</v>
      </c>
      <c r="F170" s="51" t="s">
        <v>226</v>
      </c>
      <c r="G170" s="51" t="str">
        <f t="shared" si="2"/>
        <v>295/80R22,5F</v>
      </c>
      <c r="H170" s="53"/>
      <c r="I170"/>
      <c r="J170"/>
      <c r="K170" s="51" t="s">
        <v>288</v>
      </c>
      <c r="M170" s="71" t="s">
        <v>692</v>
      </c>
      <c r="N170" s="72" t="s">
        <v>693</v>
      </c>
      <c r="O170" s="64" t="s">
        <v>318</v>
      </c>
    </row>
    <row r="171" spans="1:15" x14ac:dyDescent="0.45">
      <c r="A171" s="54"/>
      <c r="B171" s="54"/>
      <c r="C171" s="54"/>
      <c r="D171" s="51" t="s">
        <v>217</v>
      </c>
      <c r="E171" s="51" t="s">
        <v>143</v>
      </c>
      <c r="F171" s="51" t="s">
        <v>227</v>
      </c>
      <c r="G171" s="51" t="str">
        <f t="shared" si="2"/>
        <v>315/80R22,5FG01</v>
      </c>
      <c r="H171" s="53">
        <v>15.8</v>
      </c>
      <c r="I171"/>
      <c r="J171"/>
      <c r="K171" s="51" t="s">
        <v>187</v>
      </c>
      <c r="M171" s="62" t="s">
        <v>694</v>
      </c>
      <c r="N171" s="63" t="s">
        <v>695</v>
      </c>
      <c r="O171" s="64" t="s">
        <v>330</v>
      </c>
    </row>
    <row r="172" spans="1:15" x14ac:dyDescent="0.45">
      <c r="A172" s="54"/>
      <c r="B172" s="54"/>
      <c r="C172" s="54"/>
      <c r="D172" s="51" t="s">
        <v>217</v>
      </c>
      <c r="E172" s="51" t="s">
        <v>228</v>
      </c>
      <c r="F172" s="51" t="s">
        <v>218</v>
      </c>
      <c r="G172" s="51" t="str">
        <f t="shared" si="2"/>
        <v>285/70R19,5FR01</v>
      </c>
      <c r="H172" s="53">
        <v>14</v>
      </c>
      <c r="I172"/>
      <c r="J172"/>
      <c r="K172" s="51" t="s">
        <v>124</v>
      </c>
      <c r="M172" s="71" t="s">
        <v>696</v>
      </c>
      <c r="N172" s="72" t="s">
        <v>697</v>
      </c>
      <c r="O172" s="72" t="s">
        <v>330</v>
      </c>
    </row>
    <row r="173" spans="1:15" x14ac:dyDescent="0.45">
      <c r="A173" s="54"/>
      <c r="B173" s="54"/>
      <c r="C173" s="54"/>
      <c r="D173" s="51" t="s">
        <v>105</v>
      </c>
      <c r="E173" s="51" t="s">
        <v>185</v>
      </c>
      <c r="F173" s="51" t="s">
        <v>229</v>
      </c>
      <c r="G173" s="51" t="str">
        <f t="shared" si="2"/>
        <v>385/55R22,5LHTII</v>
      </c>
      <c r="H173" s="53">
        <v>15</v>
      </c>
      <c r="I173"/>
      <c r="J173"/>
      <c r="K173" s="101" t="s">
        <v>189</v>
      </c>
      <c r="M173" s="71" t="s">
        <v>698</v>
      </c>
      <c r="N173" s="72" t="s">
        <v>699</v>
      </c>
      <c r="O173" s="72" t="s">
        <v>330</v>
      </c>
    </row>
    <row r="174" spans="1:15" x14ac:dyDescent="0.45">
      <c r="A174" s="54"/>
      <c r="B174" s="54"/>
      <c r="C174" s="54"/>
      <c r="D174" s="51" t="s">
        <v>180</v>
      </c>
      <c r="E174" s="51" t="s">
        <v>181</v>
      </c>
      <c r="F174" s="51" t="s">
        <v>182</v>
      </c>
      <c r="G174" s="51" t="str">
        <f t="shared" si="2"/>
        <v>8.5R17,5LSR</v>
      </c>
      <c r="H174" s="53"/>
      <c r="I174"/>
      <c r="J174"/>
      <c r="K174" s="101" t="s">
        <v>153</v>
      </c>
      <c r="M174" s="62" t="s">
        <v>700</v>
      </c>
      <c r="N174" s="63" t="s">
        <v>701</v>
      </c>
      <c r="O174" s="64" t="s">
        <v>330</v>
      </c>
    </row>
    <row r="175" spans="1:15" x14ac:dyDescent="0.45">
      <c r="A175" s="54"/>
      <c r="B175" s="54"/>
      <c r="C175" s="54"/>
      <c r="D175" s="51" t="s">
        <v>230</v>
      </c>
      <c r="E175" s="51" t="s">
        <v>143</v>
      </c>
      <c r="F175" s="51" t="s">
        <v>231</v>
      </c>
      <c r="G175" s="51" t="str">
        <f t="shared" si="2"/>
        <v>315/80R22,5M470</v>
      </c>
      <c r="H175" s="53"/>
      <c r="I175"/>
      <c r="J175"/>
      <c r="K175" s="51" t="s">
        <v>302</v>
      </c>
      <c r="M175" s="62" t="s">
        <v>702</v>
      </c>
      <c r="N175" s="63" t="s">
        <v>703</v>
      </c>
      <c r="O175" s="64" t="s">
        <v>344</v>
      </c>
    </row>
    <row r="176" spans="1:15" x14ac:dyDescent="0.45">
      <c r="A176" s="54"/>
      <c r="B176" s="54"/>
      <c r="C176" s="54"/>
      <c r="D176" s="51" t="s">
        <v>217</v>
      </c>
      <c r="E176" s="51" t="s">
        <v>123</v>
      </c>
      <c r="F176" s="51" t="s">
        <v>232</v>
      </c>
      <c r="G176" s="51" t="str">
        <f t="shared" si="2"/>
        <v>13R22,5TQ99</v>
      </c>
      <c r="H176" s="53">
        <v>23</v>
      </c>
      <c r="I176"/>
      <c r="J176"/>
      <c r="K176" s="51" t="s">
        <v>194</v>
      </c>
      <c r="M176" s="62" t="s">
        <v>704</v>
      </c>
      <c r="N176" s="63" t="s">
        <v>705</v>
      </c>
      <c r="O176" s="64" t="s">
        <v>330</v>
      </c>
    </row>
    <row r="177" spans="1:15" x14ac:dyDescent="0.45">
      <c r="A177" s="54"/>
      <c r="B177" s="54"/>
      <c r="C177" s="54"/>
      <c r="D177" s="51" t="s">
        <v>154</v>
      </c>
      <c r="E177" s="51" t="s">
        <v>143</v>
      </c>
      <c r="F177" s="51" t="s">
        <v>233</v>
      </c>
      <c r="G177" s="51" t="str">
        <f t="shared" si="2"/>
        <v>315/80R22,5VARIOFORCE</v>
      </c>
      <c r="H177" s="53">
        <v>15</v>
      </c>
      <c r="I177"/>
      <c r="J177"/>
      <c r="K177" s="51" t="s">
        <v>190</v>
      </c>
      <c r="M177" s="62" t="s">
        <v>706</v>
      </c>
      <c r="N177" s="63" t="s">
        <v>707</v>
      </c>
      <c r="O177" s="64" t="s">
        <v>708</v>
      </c>
    </row>
    <row r="178" spans="1:15" x14ac:dyDescent="0.45">
      <c r="A178" s="54"/>
      <c r="B178" s="54"/>
      <c r="C178" s="54"/>
      <c r="D178" s="51" t="s">
        <v>164</v>
      </c>
      <c r="E178" s="51" t="s">
        <v>143</v>
      </c>
      <c r="F178" s="51" t="s">
        <v>234</v>
      </c>
      <c r="G178" s="51" t="str">
        <f t="shared" si="2"/>
        <v>315/80R22,5XDA2+</v>
      </c>
      <c r="H178" s="53"/>
      <c r="I178"/>
      <c r="J178"/>
      <c r="K178" s="51" t="s">
        <v>195</v>
      </c>
      <c r="M178" s="62" t="s">
        <v>709</v>
      </c>
      <c r="N178" s="63" t="s">
        <v>710</v>
      </c>
      <c r="O178" s="64" t="s">
        <v>318</v>
      </c>
    </row>
    <row r="179" spans="1:15" x14ac:dyDescent="0.45">
      <c r="A179" s="54"/>
      <c r="B179" s="54"/>
      <c r="C179" s="54"/>
      <c r="D179" s="51" t="s">
        <v>164</v>
      </c>
      <c r="E179" s="51" t="s">
        <v>143</v>
      </c>
      <c r="F179" s="51" t="s">
        <v>235</v>
      </c>
      <c r="G179" s="51" t="str">
        <f t="shared" si="2"/>
        <v>315/80R22,5XD ALL ROADS</v>
      </c>
      <c r="H179" s="53">
        <v>22.4</v>
      </c>
      <c r="I179"/>
      <c r="J179"/>
      <c r="K179" s="51" t="s">
        <v>193</v>
      </c>
      <c r="M179" s="62" t="s">
        <v>711</v>
      </c>
      <c r="N179" s="63" t="s">
        <v>712</v>
      </c>
      <c r="O179" s="64" t="s">
        <v>616</v>
      </c>
    </row>
    <row r="180" spans="1:15" x14ac:dyDescent="0.45">
      <c r="A180" s="54"/>
      <c r="B180" s="54"/>
      <c r="C180" s="54"/>
      <c r="D180" s="51" t="s">
        <v>164</v>
      </c>
      <c r="E180" s="51" t="s">
        <v>143</v>
      </c>
      <c r="F180" s="51" t="s">
        <v>236</v>
      </c>
      <c r="G180" s="51" t="str">
        <f t="shared" si="2"/>
        <v>315/80R22,5XDE2+</v>
      </c>
      <c r="H180" s="53"/>
      <c r="I180"/>
      <c r="J180"/>
      <c r="K180" s="101" t="s">
        <v>5733</v>
      </c>
      <c r="M180" s="62" t="s">
        <v>713</v>
      </c>
      <c r="N180" s="63" t="s">
        <v>714</v>
      </c>
      <c r="O180" s="64" t="s">
        <v>330</v>
      </c>
    </row>
    <row r="181" spans="1:15" x14ac:dyDescent="0.45">
      <c r="A181" s="54"/>
      <c r="B181" s="54"/>
      <c r="C181" s="54"/>
      <c r="D181" s="51" t="s">
        <v>164</v>
      </c>
      <c r="E181" s="51" t="s">
        <v>134</v>
      </c>
      <c r="F181" s="51" t="s">
        <v>237</v>
      </c>
      <c r="G181" s="51" t="str">
        <f t="shared" si="2"/>
        <v>295/80R22,5X MULTIWAY XZE</v>
      </c>
      <c r="H181" s="53"/>
      <c r="I181"/>
      <c r="J181"/>
      <c r="K181" s="101" t="s">
        <v>5645</v>
      </c>
      <c r="M181" s="62" t="s">
        <v>715</v>
      </c>
      <c r="N181" s="63" t="s">
        <v>716</v>
      </c>
      <c r="O181" s="64" t="s">
        <v>330</v>
      </c>
    </row>
    <row r="182" spans="1:15" x14ac:dyDescent="0.45">
      <c r="A182" s="54"/>
      <c r="B182" s="54"/>
      <c r="C182" s="54"/>
      <c r="D182" s="51" t="s">
        <v>164</v>
      </c>
      <c r="E182" s="51" t="s">
        <v>123</v>
      </c>
      <c r="F182" s="51" t="s">
        <v>238</v>
      </c>
      <c r="G182" s="51" t="str">
        <f t="shared" si="2"/>
        <v>13R22,5X WORKS Z</v>
      </c>
      <c r="H182" s="53">
        <v>16</v>
      </c>
      <c r="I182"/>
      <c r="J182"/>
      <c r="K182" s="51" t="s">
        <v>243</v>
      </c>
      <c r="M182" s="62" t="s">
        <v>717</v>
      </c>
      <c r="N182" s="63" t="s">
        <v>718</v>
      </c>
      <c r="O182" s="64" t="s">
        <v>330</v>
      </c>
    </row>
    <row r="183" spans="1:15" x14ac:dyDescent="0.45">
      <c r="A183" s="54"/>
      <c r="B183" s="54"/>
      <c r="C183" s="54"/>
      <c r="D183" s="51" t="s">
        <v>164</v>
      </c>
      <c r="E183" s="51" t="s">
        <v>143</v>
      </c>
      <c r="F183" s="51" t="s">
        <v>239</v>
      </c>
      <c r="G183" s="51" t="str">
        <f t="shared" si="2"/>
        <v>315/80R22,5XZ ALL ROADS</v>
      </c>
      <c r="H183" s="53">
        <v>14</v>
      </c>
      <c r="I183"/>
      <c r="J183"/>
      <c r="K183" s="51" t="s">
        <v>244</v>
      </c>
      <c r="M183" s="62" t="s">
        <v>719</v>
      </c>
      <c r="N183" s="63" t="s">
        <v>720</v>
      </c>
      <c r="O183" s="64" t="s">
        <v>330</v>
      </c>
    </row>
    <row r="184" spans="1:15" x14ac:dyDescent="0.45">
      <c r="A184" s="54"/>
      <c r="B184" s="54"/>
      <c r="C184" s="54"/>
      <c r="D184" s="51" t="s">
        <v>164</v>
      </c>
      <c r="E184" s="51" t="s">
        <v>123</v>
      </c>
      <c r="F184" s="51" t="s">
        <v>240</v>
      </c>
      <c r="G184" s="51" t="str">
        <f t="shared" si="2"/>
        <v>13R22,5XZH 2R</v>
      </c>
      <c r="H184" s="53">
        <v>22.5</v>
      </c>
      <c r="I184"/>
      <c r="J184"/>
      <c r="K184" s="101" t="s">
        <v>5642</v>
      </c>
      <c r="M184" s="62" t="s">
        <v>721</v>
      </c>
      <c r="N184" s="63" t="s">
        <v>722</v>
      </c>
      <c r="O184" s="64" t="s">
        <v>723</v>
      </c>
    </row>
    <row r="185" spans="1:15" x14ac:dyDescent="0.45">
      <c r="A185" s="54"/>
      <c r="B185" s="54"/>
      <c r="C185" s="54"/>
      <c r="D185" s="51" t="s">
        <v>164</v>
      </c>
      <c r="E185" s="51" t="s">
        <v>123</v>
      </c>
      <c r="F185" s="51" t="s">
        <v>222</v>
      </c>
      <c r="G185" s="51" t="str">
        <f t="shared" si="2"/>
        <v>13R22,5X WORKS D</v>
      </c>
      <c r="H185" s="53">
        <v>22</v>
      </c>
      <c r="I185"/>
      <c r="J185"/>
      <c r="K185" s="51" t="s">
        <v>5757</v>
      </c>
      <c r="M185" s="62" t="s">
        <v>724</v>
      </c>
      <c r="N185" s="63" t="s">
        <v>725</v>
      </c>
      <c r="O185" s="64" t="s">
        <v>726</v>
      </c>
    </row>
    <row r="186" spans="1:15" x14ac:dyDescent="0.45">
      <c r="A186" s="54"/>
      <c r="B186" s="54"/>
      <c r="C186" s="54"/>
      <c r="D186" s="51" t="s">
        <v>241</v>
      </c>
      <c r="E186" s="51" t="s">
        <v>123</v>
      </c>
      <c r="F186" s="51" t="s">
        <v>242</v>
      </c>
      <c r="G186" s="51" t="str">
        <f t="shared" si="2"/>
        <v>13R22,5TR669</v>
      </c>
      <c r="H186" s="53">
        <v>19</v>
      </c>
      <c r="I186"/>
      <c r="J186"/>
      <c r="K186" s="101" t="s">
        <v>5731</v>
      </c>
      <c r="M186" s="62" t="s">
        <v>727</v>
      </c>
      <c r="N186" s="63" t="s">
        <v>728</v>
      </c>
      <c r="O186" s="64" t="s">
        <v>321</v>
      </c>
    </row>
    <row r="187" spans="1:15" x14ac:dyDescent="0.45">
      <c r="A187" s="54"/>
      <c r="B187" s="54"/>
      <c r="C187" s="54"/>
      <c r="D187" s="51" t="s">
        <v>241</v>
      </c>
      <c r="E187" s="51" t="s">
        <v>206</v>
      </c>
      <c r="F187" s="51" t="s">
        <v>243</v>
      </c>
      <c r="G187" s="51" t="str">
        <f t="shared" si="2"/>
        <v>20.5R25TB516 L3</v>
      </c>
      <c r="H187" s="53">
        <v>31</v>
      </c>
      <c r="I187"/>
      <c r="J187"/>
      <c r="K187" s="101" t="s">
        <v>5708</v>
      </c>
      <c r="M187" s="65" t="s">
        <v>729</v>
      </c>
      <c r="N187" s="66" t="s">
        <v>730</v>
      </c>
      <c r="O187" s="64" t="s">
        <v>330</v>
      </c>
    </row>
    <row r="188" spans="1:15" x14ac:dyDescent="0.45">
      <c r="A188" s="54"/>
      <c r="B188" s="54"/>
      <c r="C188" s="54"/>
      <c r="D188" s="51" t="s">
        <v>241</v>
      </c>
      <c r="E188" s="51" t="s">
        <v>206</v>
      </c>
      <c r="F188" s="51" t="s">
        <v>244</v>
      </c>
      <c r="G188" s="51" t="str">
        <f t="shared" si="2"/>
        <v>20.5R25TB516 L5</v>
      </c>
      <c r="H188" s="53">
        <v>68</v>
      </c>
      <c r="I188"/>
      <c r="J188"/>
      <c r="K188" s="101" t="s">
        <v>5756</v>
      </c>
      <c r="M188" s="62" t="s">
        <v>731</v>
      </c>
      <c r="N188" s="63" t="s">
        <v>732</v>
      </c>
      <c r="O188" s="64" t="s">
        <v>321</v>
      </c>
    </row>
    <row r="189" spans="1:15" x14ac:dyDescent="0.45">
      <c r="A189" s="54"/>
      <c r="B189" s="54"/>
      <c r="C189" s="54"/>
      <c r="D189" s="51" t="s">
        <v>245</v>
      </c>
      <c r="E189" s="51" t="s">
        <v>206</v>
      </c>
      <c r="F189" s="51" t="s">
        <v>246</v>
      </c>
      <c r="G189" s="51" t="str">
        <f t="shared" si="2"/>
        <v>20.5R25ETD2S L5</v>
      </c>
      <c r="H189" s="53">
        <v>29</v>
      </c>
      <c r="I189"/>
      <c r="J189"/>
      <c r="K189" s="101" t="s">
        <v>5764</v>
      </c>
      <c r="M189" s="71" t="s">
        <v>733</v>
      </c>
      <c r="N189" s="72" t="s">
        <v>734</v>
      </c>
      <c r="O189" s="64" t="s">
        <v>330</v>
      </c>
    </row>
    <row r="190" spans="1:15" x14ac:dyDescent="0.45">
      <c r="A190" s="54"/>
      <c r="B190" s="54"/>
      <c r="C190" s="54"/>
      <c r="D190" s="51" t="s">
        <v>241</v>
      </c>
      <c r="E190" s="51" t="s">
        <v>206</v>
      </c>
      <c r="F190" s="51" t="s">
        <v>247</v>
      </c>
      <c r="G190" s="51" t="str">
        <f t="shared" si="2"/>
        <v>20.5R25LB01A L5</v>
      </c>
      <c r="H190" s="53">
        <v>68</v>
      </c>
      <c r="I190"/>
      <c r="J190"/>
      <c r="K190" s="101" t="s">
        <v>5667</v>
      </c>
      <c r="M190" s="62" t="s">
        <v>735</v>
      </c>
      <c r="N190" s="72" t="s">
        <v>736</v>
      </c>
      <c r="O190" s="64" t="s">
        <v>330</v>
      </c>
    </row>
    <row r="191" spans="1:15" x14ac:dyDescent="0.45">
      <c r="A191" s="54"/>
      <c r="B191" s="54"/>
      <c r="C191" s="54"/>
      <c r="D191" s="51" t="s">
        <v>217</v>
      </c>
      <c r="E191" s="51" t="s">
        <v>143</v>
      </c>
      <c r="F191" s="51" t="s">
        <v>248</v>
      </c>
      <c r="G191" s="51" t="str">
        <f t="shared" si="2"/>
        <v>315/80R22,5FG88</v>
      </c>
      <c r="H191" s="53"/>
      <c r="I191"/>
      <c r="J191"/>
      <c r="K191" s="101" t="s">
        <v>5723</v>
      </c>
      <c r="M191" s="62" t="s">
        <v>737</v>
      </c>
      <c r="N191" s="63" t="s">
        <v>738</v>
      </c>
      <c r="O191" s="64" t="s">
        <v>321</v>
      </c>
    </row>
    <row r="192" spans="1:15" x14ac:dyDescent="0.45">
      <c r="A192" s="54"/>
      <c r="B192" s="54"/>
      <c r="C192" s="54"/>
      <c r="D192" s="51" t="s">
        <v>217</v>
      </c>
      <c r="E192" s="51" t="s">
        <v>143</v>
      </c>
      <c r="F192" s="51" t="s">
        <v>249</v>
      </c>
      <c r="G192" s="51" t="str">
        <f t="shared" si="2"/>
        <v>315/80R22,5TG01</v>
      </c>
      <c r="H192" s="53"/>
      <c r="I192"/>
      <c r="J192"/>
      <c r="K192" s="101" t="s">
        <v>5707</v>
      </c>
      <c r="M192" s="62" t="s">
        <v>739</v>
      </c>
      <c r="N192" s="63" t="s">
        <v>740</v>
      </c>
      <c r="O192" s="64" t="s">
        <v>425</v>
      </c>
    </row>
    <row r="193" spans="1:15" x14ac:dyDescent="0.45">
      <c r="A193" s="54"/>
      <c r="B193" s="54"/>
      <c r="C193" s="54"/>
      <c r="D193" s="51" t="s">
        <v>118</v>
      </c>
      <c r="E193" s="51" t="s">
        <v>116</v>
      </c>
      <c r="F193" s="51" t="s">
        <v>199</v>
      </c>
      <c r="G193" s="51" t="str">
        <f t="shared" si="2"/>
        <v>12R22,5M61z</v>
      </c>
      <c r="H193" s="53">
        <v>16.3</v>
      </c>
      <c r="I193"/>
      <c r="J193"/>
      <c r="K193" s="51" t="s">
        <v>232</v>
      </c>
      <c r="M193" s="62" t="s">
        <v>741</v>
      </c>
      <c r="N193" s="63" t="s">
        <v>742</v>
      </c>
      <c r="O193" s="64" t="s">
        <v>743</v>
      </c>
    </row>
    <row r="194" spans="1:15" x14ac:dyDescent="0.45">
      <c r="A194" s="54"/>
      <c r="B194" s="54"/>
      <c r="C194" s="54"/>
      <c r="D194" s="51" t="s">
        <v>204</v>
      </c>
      <c r="E194" s="51" t="s">
        <v>123</v>
      </c>
      <c r="F194" s="51" t="s">
        <v>205</v>
      </c>
      <c r="G194" s="51" t="str">
        <f t="shared" si="2"/>
        <v>13R22,5D960</v>
      </c>
      <c r="H194" s="53">
        <v>21</v>
      </c>
      <c r="I194"/>
      <c r="J194"/>
      <c r="K194" s="101" t="s">
        <v>5754</v>
      </c>
      <c r="M194" s="62" t="s">
        <v>744</v>
      </c>
      <c r="N194" s="63" t="s">
        <v>745</v>
      </c>
      <c r="O194" s="64" t="s">
        <v>330</v>
      </c>
    </row>
    <row r="195" spans="1:15" x14ac:dyDescent="0.45">
      <c r="A195" s="54"/>
      <c r="B195" s="54"/>
      <c r="C195" s="54"/>
      <c r="D195" s="51" t="s">
        <v>204</v>
      </c>
      <c r="E195" s="51" t="s">
        <v>123</v>
      </c>
      <c r="F195" s="51" t="s">
        <v>250</v>
      </c>
      <c r="G195" s="51" t="str">
        <f t="shared" ref="G195:G213" si="3">E195&amp;F195</f>
        <v>13R22,5LLA01</v>
      </c>
      <c r="H195" s="53">
        <v>17.5</v>
      </c>
      <c r="I195"/>
      <c r="J195"/>
      <c r="K195" s="101" t="s">
        <v>5740</v>
      </c>
      <c r="M195" s="62" t="s">
        <v>746</v>
      </c>
      <c r="N195" s="63" t="s">
        <v>747</v>
      </c>
      <c r="O195" s="64" t="s">
        <v>330</v>
      </c>
    </row>
    <row r="196" spans="1:15" x14ac:dyDescent="0.45">
      <c r="A196" s="54"/>
      <c r="B196" s="54"/>
      <c r="C196" s="54"/>
      <c r="D196" s="51" t="s">
        <v>212</v>
      </c>
      <c r="E196" s="51" t="s">
        <v>188</v>
      </c>
      <c r="F196" s="51" t="s">
        <v>251</v>
      </c>
      <c r="G196" s="51" t="str">
        <f t="shared" si="3"/>
        <v>315/70R22,5LHD270</v>
      </c>
      <c r="H196" s="53">
        <v>19</v>
      </c>
      <c r="I196"/>
      <c r="J196"/>
      <c r="K196" s="101" t="s">
        <v>5714</v>
      </c>
      <c r="M196" s="62" t="s">
        <v>748</v>
      </c>
      <c r="N196" s="63" t="s">
        <v>749</v>
      </c>
      <c r="O196" s="64" t="s">
        <v>327</v>
      </c>
    </row>
    <row r="197" spans="1:15" x14ac:dyDescent="0.45">
      <c r="A197" s="54"/>
      <c r="B197" s="54"/>
      <c r="C197" s="54"/>
      <c r="D197" s="51" t="s">
        <v>105</v>
      </c>
      <c r="E197" s="51" t="s">
        <v>188</v>
      </c>
      <c r="F197" s="51" t="s">
        <v>197</v>
      </c>
      <c r="G197" s="51" t="str">
        <f t="shared" si="3"/>
        <v>315/70R22,5LHDII+</v>
      </c>
      <c r="H197" s="53">
        <v>19</v>
      </c>
      <c r="I197"/>
      <c r="J197"/>
      <c r="K197" s="51" t="s">
        <v>242</v>
      </c>
      <c r="M197" s="62" t="s">
        <v>750</v>
      </c>
      <c r="N197" s="63" t="s">
        <v>751</v>
      </c>
      <c r="O197" s="64" t="s">
        <v>330</v>
      </c>
    </row>
    <row r="198" spans="1:15" x14ac:dyDescent="0.45">
      <c r="A198" s="54"/>
      <c r="B198" s="54"/>
      <c r="C198" s="54"/>
      <c r="D198" s="51" t="s">
        <v>105</v>
      </c>
      <c r="E198" s="51" t="s">
        <v>188</v>
      </c>
      <c r="F198" s="51" t="s">
        <v>160</v>
      </c>
      <c r="G198" s="51" t="str">
        <f t="shared" si="3"/>
        <v>315/70R22,5LHDII</v>
      </c>
      <c r="H198" s="53">
        <v>19</v>
      </c>
      <c r="I198"/>
      <c r="J198"/>
      <c r="K198" s="101" t="s">
        <v>5719</v>
      </c>
      <c r="M198" s="62" t="s">
        <v>752</v>
      </c>
      <c r="N198" s="63" t="s">
        <v>753</v>
      </c>
      <c r="O198" s="64" t="s">
        <v>330</v>
      </c>
    </row>
    <row r="199" spans="1:15" x14ac:dyDescent="0.45">
      <c r="A199" s="54"/>
      <c r="B199" s="54"/>
      <c r="C199" s="54"/>
      <c r="D199" s="51" t="s">
        <v>212</v>
      </c>
      <c r="E199" s="51" t="s">
        <v>143</v>
      </c>
      <c r="F199" s="51" t="s">
        <v>252</v>
      </c>
      <c r="G199" s="51" t="str">
        <f t="shared" si="3"/>
        <v>315/80R22,5RHS250</v>
      </c>
      <c r="H199" s="53">
        <v>16</v>
      </c>
      <c r="I199"/>
      <c r="J199"/>
      <c r="K199" s="101" t="s">
        <v>5735</v>
      </c>
      <c r="M199" s="62" t="s">
        <v>754</v>
      </c>
      <c r="N199" s="63" t="s">
        <v>755</v>
      </c>
      <c r="O199" s="64" t="s">
        <v>330</v>
      </c>
    </row>
    <row r="200" spans="1:15" x14ac:dyDescent="0.45">
      <c r="A200" s="54"/>
      <c r="B200" s="54"/>
      <c r="C200" s="54"/>
      <c r="D200" s="51" t="s">
        <v>118</v>
      </c>
      <c r="E200" s="51" t="s">
        <v>123</v>
      </c>
      <c r="F200" s="51" t="s">
        <v>253</v>
      </c>
      <c r="G200" s="51" t="str">
        <f t="shared" si="3"/>
        <v>13R22,5M506</v>
      </c>
      <c r="H200" s="53">
        <v>25.1</v>
      </c>
      <c r="I200"/>
      <c r="J200"/>
      <c r="K200" s="101" t="s">
        <v>5751</v>
      </c>
      <c r="M200" s="62" t="s">
        <v>756</v>
      </c>
      <c r="N200" s="74" t="s">
        <v>757</v>
      </c>
      <c r="O200" s="64" t="s">
        <v>330</v>
      </c>
    </row>
    <row r="201" spans="1:15" x14ac:dyDescent="0.45">
      <c r="A201" s="54"/>
      <c r="B201" s="54"/>
      <c r="C201" s="54"/>
      <c r="D201" s="51" t="s">
        <v>136</v>
      </c>
      <c r="E201" s="51" t="s">
        <v>173</v>
      </c>
      <c r="F201" s="51" t="s">
        <v>254</v>
      </c>
      <c r="G201" s="51" t="str">
        <f t="shared" si="3"/>
        <v>385/65R22,5HT3</v>
      </c>
      <c r="H201" s="53">
        <v>15.5</v>
      </c>
      <c r="I201"/>
      <c r="J201"/>
      <c r="K201" s="51" t="s">
        <v>202</v>
      </c>
      <c r="M201" s="62" t="s">
        <v>758</v>
      </c>
      <c r="N201" s="63" t="s">
        <v>759</v>
      </c>
      <c r="O201" s="64" t="s">
        <v>330</v>
      </c>
    </row>
    <row r="202" spans="1:15" x14ac:dyDescent="0.45">
      <c r="A202" s="54"/>
      <c r="B202" s="54"/>
      <c r="C202" s="54"/>
      <c r="D202" s="51" t="s">
        <v>164</v>
      </c>
      <c r="E202" s="51" t="s">
        <v>143</v>
      </c>
      <c r="F202" s="51" t="s">
        <v>255</v>
      </c>
      <c r="G202" s="51" t="str">
        <f t="shared" si="3"/>
        <v>315/80R22,5X LINE F</v>
      </c>
      <c r="H202" s="53">
        <v>15.5</v>
      </c>
      <c r="I202"/>
      <c r="J202"/>
      <c r="K202" s="101" t="s">
        <v>5734</v>
      </c>
      <c r="M202" s="62" t="s">
        <v>760</v>
      </c>
      <c r="N202" s="63" t="s">
        <v>761</v>
      </c>
      <c r="O202" s="64" t="s">
        <v>318</v>
      </c>
    </row>
    <row r="203" spans="1:15" x14ac:dyDescent="0.45">
      <c r="A203" s="54"/>
      <c r="B203" s="54"/>
      <c r="C203" s="54"/>
      <c r="D203" s="51" t="s">
        <v>118</v>
      </c>
      <c r="E203" s="51" t="s">
        <v>198</v>
      </c>
      <c r="F203" s="51" t="s">
        <v>131</v>
      </c>
      <c r="G203" s="51" t="str">
        <f t="shared" si="3"/>
        <v>265/70R19,5M1430</v>
      </c>
      <c r="H203" s="53">
        <v>13</v>
      </c>
      <c r="I203"/>
      <c r="J203"/>
      <c r="K203" s="51" t="s">
        <v>233</v>
      </c>
      <c r="M203" s="62" t="s">
        <v>762</v>
      </c>
      <c r="N203" s="63" t="s">
        <v>763</v>
      </c>
      <c r="O203" s="64" t="s">
        <v>330</v>
      </c>
    </row>
    <row r="204" spans="1:15" x14ac:dyDescent="0.45">
      <c r="A204" s="54"/>
      <c r="B204" s="54"/>
      <c r="C204" s="54"/>
      <c r="D204" s="51" t="s">
        <v>105</v>
      </c>
      <c r="E204" s="51" t="s">
        <v>191</v>
      </c>
      <c r="F204" s="51" t="s">
        <v>256</v>
      </c>
      <c r="G204" s="51" t="str">
        <f t="shared" si="3"/>
        <v>10R22,5G391</v>
      </c>
      <c r="H204" s="53">
        <v>15</v>
      </c>
      <c r="I204"/>
      <c r="J204"/>
      <c r="K204" s="101" t="s">
        <v>5665</v>
      </c>
      <c r="M204" s="62" t="s">
        <v>764</v>
      </c>
      <c r="N204" s="63" t="s">
        <v>765</v>
      </c>
      <c r="O204" s="64" t="s">
        <v>330</v>
      </c>
    </row>
    <row r="205" spans="1:15" x14ac:dyDescent="0.45">
      <c r="A205" s="54"/>
      <c r="B205" s="54"/>
      <c r="C205" s="54"/>
      <c r="D205" s="51" t="s">
        <v>136</v>
      </c>
      <c r="E205" s="51" t="s">
        <v>257</v>
      </c>
      <c r="F205" s="51" t="s">
        <v>258</v>
      </c>
      <c r="G205" s="51" t="str">
        <f t="shared" si="3"/>
        <v>195/75R16cconti van contact100</v>
      </c>
      <c r="H205" s="53"/>
      <c r="I205"/>
      <c r="J205"/>
      <c r="K205" s="101" t="s">
        <v>5686</v>
      </c>
      <c r="M205" s="62" t="s">
        <v>766</v>
      </c>
      <c r="N205" s="63" t="s">
        <v>767</v>
      </c>
      <c r="O205" s="64" t="s">
        <v>330</v>
      </c>
    </row>
    <row r="206" spans="1:15" x14ac:dyDescent="0.45">
      <c r="A206" s="54"/>
      <c r="B206" s="54"/>
      <c r="C206" s="54"/>
      <c r="D206" s="51" t="s">
        <v>164</v>
      </c>
      <c r="E206" s="51" t="s">
        <v>259</v>
      </c>
      <c r="F206" s="51" t="s">
        <v>260</v>
      </c>
      <c r="G206" s="51" t="str">
        <f t="shared" si="3"/>
        <v>195/75R16CAGILIS-X</v>
      </c>
      <c r="H206" s="53"/>
      <c r="I206"/>
      <c r="J206"/>
      <c r="K206" s="101" t="s">
        <v>264</v>
      </c>
      <c r="M206" s="62" t="s">
        <v>768</v>
      </c>
      <c r="N206" s="63" t="s">
        <v>769</v>
      </c>
      <c r="O206" s="64" t="s">
        <v>330</v>
      </c>
    </row>
    <row r="207" spans="1:15" x14ac:dyDescent="0.45">
      <c r="A207" s="54"/>
      <c r="B207" s="54"/>
      <c r="C207" s="54"/>
      <c r="D207" s="51" t="s">
        <v>261</v>
      </c>
      <c r="E207" s="51" t="s">
        <v>143</v>
      </c>
      <c r="F207" s="51" t="s">
        <v>262</v>
      </c>
      <c r="G207" s="51" t="str">
        <f t="shared" si="3"/>
        <v>315/80R22,5ROUTE CONTROL</v>
      </c>
      <c r="H207" s="53"/>
      <c r="I207"/>
      <c r="J207"/>
      <c r="K207" s="51" t="s">
        <v>255</v>
      </c>
      <c r="M207" s="62" t="s">
        <v>770</v>
      </c>
      <c r="N207" s="63" t="s">
        <v>771</v>
      </c>
      <c r="O207" s="64" t="s">
        <v>330</v>
      </c>
    </row>
    <row r="208" spans="1:15" x14ac:dyDescent="0.45">
      <c r="A208" s="54"/>
      <c r="B208" s="54"/>
      <c r="C208" s="54"/>
      <c r="D208" s="51" t="s">
        <v>164</v>
      </c>
      <c r="E208" s="51" t="s">
        <v>143</v>
      </c>
      <c r="F208" s="51" t="s">
        <v>263</v>
      </c>
      <c r="G208" s="51" t="str">
        <f t="shared" si="3"/>
        <v>315/80R22,5X MULTIWAY 3D</v>
      </c>
      <c r="H208" s="53"/>
      <c r="I208"/>
      <c r="J208"/>
      <c r="K208" s="101" t="s">
        <v>5649</v>
      </c>
      <c r="M208" s="62" t="s">
        <v>772</v>
      </c>
      <c r="N208" s="63" t="s">
        <v>773</v>
      </c>
      <c r="O208" s="64" t="s">
        <v>330</v>
      </c>
    </row>
    <row r="209" spans="1:15" x14ac:dyDescent="0.45">
      <c r="A209" s="54"/>
      <c r="B209" s="54"/>
      <c r="C209" s="54"/>
      <c r="D209" s="51" t="s">
        <v>164</v>
      </c>
      <c r="E209" s="51" t="s">
        <v>143</v>
      </c>
      <c r="F209" s="51" t="s">
        <v>264</v>
      </c>
      <c r="G209" s="51" t="str">
        <f t="shared" si="3"/>
        <v>315/80R22,5X LINE D</v>
      </c>
      <c r="H209" s="53"/>
      <c r="I209"/>
      <c r="J209"/>
      <c r="K209" s="101" t="s">
        <v>5632</v>
      </c>
      <c r="M209" s="62" t="s">
        <v>774</v>
      </c>
      <c r="N209" s="63" t="s">
        <v>775</v>
      </c>
      <c r="O209" s="64" t="s">
        <v>437</v>
      </c>
    </row>
    <row r="210" spans="1:15" x14ac:dyDescent="0.45">
      <c r="A210" s="54"/>
      <c r="B210" s="54"/>
      <c r="C210" s="54"/>
      <c r="D210" s="51" t="s">
        <v>105</v>
      </c>
      <c r="E210" s="51" t="s">
        <v>198</v>
      </c>
      <c r="F210" s="51" t="s">
        <v>107</v>
      </c>
      <c r="G210" s="51" t="str">
        <f t="shared" si="3"/>
        <v>265/70R19,5RHSII</v>
      </c>
      <c r="H210" s="53"/>
      <c r="I210"/>
      <c r="J210"/>
      <c r="K210" s="101" t="s">
        <v>5712</v>
      </c>
      <c r="M210" s="62" t="s">
        <v>776</v>
      </c>
      <c r="N210" s="63" t="s">
        <v>777</v>
      </c>
      <c r="O210" s="64" t="s">
        <v>344</v>
      </c>
    </row>
    <row r="211" spans="1:15" x14ac:dyDescent="0.45">
      <c r="A211" s="54"/>
      <c r="B211" s="54"/>
      <c r="C211" s="54"/>
      <c r="D211" s="51" t="s">
        <v>204</v>
      </c>
      <c r="E211" s="51" t="s">
        <v>143</v>
      </c>
      <c r="F211" s="51" t="s">
        <v>265</v>
      </c>
      <c r="G211" s="51" t="str">
        <f t="shared" si="3"/>
        <v>315/80R22,5LLD01</v>
      </c>
      <c r="H211" s="53">
        <v>19.5</v>
      </c>
      <c r="I211"/>
      <c r="J211"/>
      <c r="K211" s="101" t="s">
        <v>5682</v>
      </c>
      <c r="M211" s="71" t="s">
        <v>778</v>
      </c>
      <c r="N211" s="72" t="s">
        <v>779</v>
      </c>
      <c r="O211" s="72" t="s">
        <v>330</v>
      </c>
    </row>
    <row r="212" spans="1:15" x14ac:dyDescent="0.45">
      <c r="A212" s="54"/>
      <c r="B212" s="54"/>
      <c r="C212" s="54"/>
      <c r="D212" s="51" t="s">
        <v>118</v>
      </c>
      <c r="E212" s="51" t="s">
        <v>266</v>
      </c>
      <c r="F212" s="51" t="s">
        <v>131</v>
      </c>
      <c r="G212" s="51" t="str">
        <f t="shared" si="3"/>
        <v>215/75R16M1430</v>
      </c>
      <c r="H212" s="53">
        <v>14</v>
      </c>
      <c r="I212"/>
      <c r="J212"/>
      <c r="K212" s="101" t="s">
        <v>5651</v>
      </c>
      <c r="M212" s="62" t="s">
        <v>780</v>
      </c>
      <c r="N212" s="63" t="s">
        <v>781</v>
      </c>
      <c r="O212" s="64" t="s">
        <v>327</v>
      </c>
    </row>
    <row r="213" spans="1:15" x14ac:dyDescent="0.45">
      <c r="A213" s="54"/>
      <c r="B213" s="54"/>
      <c r="C213" s="54"/>
      <c r="D213" s="51" t="s">
        <v>122</v>
      </c>
      <c r="E213" s="51" t="s">
        <v>267</v>
      </c>
      <c r="F213" s="51" t="s">
        <v>202</v>
      </c>
      <c r="G213" s="51" t="str">
        <f t="shared" si="3"/>
        <v>205/75R16CVAN01</v>
      </c>
      <c r="H213" s="53">
        <v>9.1</v>
      </c>
      <c r="I213"/>
      <c r="J213"/>
      <c r="K213" s="101" t="s">
        <v>5736</v>
      </c>
      <c r="M213" s="62" t="s">
        <v>782</v>
      </c>
      <c r="N213" s="63" t="s">
        <v>783</v>
      </c>
      <c r="O213" s="64" t="s">
        <v>327</v>
      </c>
    </row>
    <row r="214" spans="1:15" x14ac:dyDescent="0.45">
      <c r="I214"/>
      <c r="J214"/>
      <c r="K214" s="101" t="s">
        <v>5635</v>
      </c>
      <c r="M214" s="62" t="s">
        <v>784</v>
      </c>
      <c r="N214" s="63" t="s">
        <v>785</v>
      </c>
      <c r="O214" s="64" t="s">
        <v>330</v>
      </c>
    </row>
    <row r="215" spans="1:15" x14ac:dyDescent="0.45">
      <c r="I215"/>
      <c r="J215"/>
      <c r="K215" s="101" t="s">
        <v>5636</v>
      </c>
      <c r="M215" s="62" t="s">
        <v>786</v>
      </c>
      <c r="N215" s="63" t="s">
        <v>787</v>
      </c>
      <c r="O215" s="64" t="s">
        <v>330</v>
      </c>
    </row>
    <row r="216" spans="1:15" x14ac:dyDescent="0.45">
      <c r="I216"/>
      <c r="J216"/>
      <c r="K216" s="51" t="s">
        <v>263</v>
      </c>
      <c r="M216" s="62" t="s">
        <v>788</v>
      </c>
      <c r="N216" s="63" t="s">
        <v>789</v>
      </c>
      <c r="O216" s="64" t="s">
        <v>318</v>
      </c>
    </row>
    <row r="217" spans="1:15" x14ac:dyDescent="0.45">
      <c r="I217"/>
      <c r="J217"/>
      <c r="K217" s="51" t="s">
        <v>237</v>
      </c>
      <c r="M217" s="62" t="s">
        <v>790</v>
      </c>
      <c r="N217" s="63" t="s">
        <v>791</v>
      </c>
      <c r="O217" s="64" t="s">
        <v>344</v>
      </c>
    </row>
    <row r="218" spans="1:15" x14ac:dyDescent="0.45">
      <c r="I218"/>
      <c r="J218"/>
      <c r="K218" s="51" t="s">
        <v>222</v>
      </c>
      <c r="M218" s="62" t="s">
        <v>792</v>
      </c>
      <c r="N218" s="63" t="s">
        <v>793</v>
      </c>
      <c r="O218" s="64" t="s">
        <v>318</v>
      </c>
    </row>
    <row r="219" spans="1:15" x14ac:dyDescent="0.45">
      <c r="I219"/>
      <c r="J219"/>
      <c r="K219" s="51" t="s">
        <v>238</v>
      </c>
      <c r="M219" s="62" t="s">
        <v>794</v>
      </c>
      <c r="N219" s="63" t="s">
        <v>795</v>
      </c>
      <c r="O219" s="64" t="s">
        <v>330</v>
      </c>
    </row>
    <row r="220" spans="1:15" x14ac:dyDescent="0.45">
      <c r="I220"/>
      <c r="J220"/>
      <c r="K220" s="101" t="s">
        <v>5755</v>
      </c>
      <c r="M220" s="62" t="s">
        <v>796</v>
      </c>
      <c r="N220" s="63" t="s">
        <v>797</v>
      </c>
      <c r="O220" s="64" t="s">
        <v>515</v>
      </c>
    </row>
    <row r="221" spans="1:15" x14ac:dyDescent="0.45">
      <c r="I221"/>
      <c r="J221"/>
      <c r="K221" s="101" t="s">
        <v>5679</v>
      </c>
      <c r="M221" s="62" t="s">
        <v>798</v>
      </c>
      <c r="N221" s="63" t="s">
        <v>799</v>
      </c>
      <c r="O221" s="64" t="s">
        <v>800</v>
      </c>
    </row>
    <row r="222" spans="1:15" x14ac:dyDescent="0.45">
      <c r="I222"/>
      <c r="J222"/>
      <c r="K222" s="51" t="s">
        <v>235</v>
      </c>
      <c r="M222" s="62" t="s">
        <v>801</v>
      </c>
      <c r="N222" s="63" t="s">
        <v>802</v>
      </c>
      <c r="O222" s="64" t="s">
        <v>327</v>
      </c>
    </row>
    <row r="223" spans="1:15" x14ac:dyDescent="0.45">
      <c r="I223"/>
      <c r="J223"/>
      <c r="K223" s="51" t="s">
        <v>223</v>
      </c>
      <c r="M223" s="62" t="s">
        <v>803</v>
      </c>
      <c r="N223" s="63" t="s">
        <v>804</v>
      </c>
      <c r="O223" s="64" t="s">
        <v>417</v>
      </c>
    </row>
    <row r="224" spans="1:15" x14ac:dyDescent="0.45">
      <c r="I224"/>
      <c r="J224"/>
      <c r="K224" s="51" t="s">
        <v>234</v>
      </c>
      <c r="M224" s="62" t="s">
        <v>805</v>
      </c>
      <c r="N224" s="63" t="s">
        <v>806</v>
      </c>
      <c r="O224" s="64" t="s">
        <v>330</v>
      </c>
    </row>
    <row r="225" spans="9:15" x14ac:dyDescent="0.45">
      <c r="I225"/>
      <c r="J225"/>
      <c r="K225" s="101" t="s">
        <v>165</v>
      </c>
      <c r="M225" s="62" t="s">
        <v>807</v>
      </c>
      <c r="N225" s="63" t="s">
        <v>808</v>
      </c>
      <c r="O225" s="64" t="s">
        <v>330</v>
      </c>
    </row>
    <row r="226" spans="9:15" x14ac:dyDescent="0.45">
      <c r="I226"/>
      <c r="J226"/>
      <c r="K226" s="51" t="s">
        <v>236</v>
      </c>
      <c r="M226" s="62" t="s">
        <v>809</v>
      </c>
      <c r="N226" s="63" t="s">
        <v>810</v>
      </c>
      <c r="O226" s="64" t="s">
        <v>344</v>
      </c>
    </row>
    <row r="227" spans="9:15" x14ac:dyDescent="0.45">
      <c r="I227"/>
      <c r="J227"/>
      <c r="K227" s="101" t="s">
        <v>5663</v>
      </c>
      <c r="M227" s="62" t="s">
        <v>811</v>
      </c>
      <c r="N227" s="63" t="s">
        <v>812</v>
      </c>
      <c r="O227" s="64" t="s">
        <v>616</v>
      </c>
    </row>
    <row r="228" spans="9:15" x14ac:dyDescent="0.45">
      <c r="I228"/>
      <c r="J228"/>
      <c r="K228" s="101" t="s">
        <v>5741</v>
      </c>
      <c r="M228" s="62" t="s">
        <v>813</v>
      </c>
      <c r="N228" s="63" t="s">
        <v>814</v>
      </c>
      <c r="O228" s="64" t="s">
        <v>359</v>
      </c>
    </row>
    <row r="229" spans="9:15" x14ac:dyDescent="0.45">
      <c r="I229"/>
      <c r="J229"/>
      <c r="K229" s="101" t="s">
        <v>5745</v>
      </c>
      <c r="M229" s="62" t="s">
        <v>815</v>
      </c>
      <c r="N229" s="63" t="s">
        <v>816</v>
      </c>
      <c r="O229" s="64" t="s">
        <v>327</v>
      </c>
    </row>
    <row r="230" spans="9:15" x14ac:dyDescent="0.45">
      <c r="I230"/>
      <c r="J230"/>
      <c r="K230" s="101" t="s">
        <v>5732</v>
      </c>
      <c r="M230" s="62" t="s">
        <v>817</v>
      </c>
      <c r="N230" s="63" t="s">
        <v>818</v>
      </c>
      <c r="O230" s="64" t="s">
        <v>625</v>
      </c>
    </row>
    <row r="231" spans="9:15" x14ac:dyDescent="0.45">
      <c r="I231"/>
      <c r="J231"/>
      <c r="K231" s="101" t="s">
        <v>5633</v>
      </c>
      <c r="M231" s="62" t="s">
        <v>819</v>
      </c>
      <c r="N231" s="63" t="s">
        <v>820</v>
      </c>
      <c r="O231" s="64" t="s">
        <v>327</v>
      </c>
    </row>
    <row r="232" spans="9:15" x14ac:dyDescent="0.45">
      <c r="I232"/>
      <c r="J232"/>
      <c r="K232" s="101" t="s">
        <v>5661</v>
      </c>
      <c r="M232" s="62" t="s">
        <v>821</v>
      </c>
      <c r="N232" s="63" t="s">
        <v>822</v>
      </c>
      <c r="O232" s="64" t="s">
        <v>330</v>
      </c>
    </row>
    <row r="233" spans="9:15" x14ac:dyDescent="0.45">
      <c r="I233"/>
      <c r="J233"/>
      <c r="K233" s="51" t="s">
        <v>239</v>
      </c>
      <c r="M233" s="62" t="s">
        <v>823</v>
      </c>
      <c r="N233" s="63" t="s">
        <v>824</v>
      </c>
      <c r="O233" s="64" t="s">
        <v>330</v>
      </c>
    </row>
    <row r="234" spans="9:15" x14ac:dyDescent="0.45">
      <c r="I234"/>
      <c r="J234"/>
      <c r="K234" s="101" t="s">
        <v>5697</v>
      </c>
      <c r="M234" s="62" t="s">
        <v>825</v>
      </c>
      <c r="N234" s="63" t="s">
        <v>826</v>
      </c>
      <c r="O234" s="64" t="s">
        <v>330</v>
      </c>
    </row>
    <row r="235" spans="9:15" x14ac:dyDescent="0.45">
      <c r="I235"/>
      <c r="J235"/>
      <c r="K235" s="51" t="s">
        <v>224</v>
      </c>
      <c r="M235" s="62" t="s">
        <v>827</v>
      </c>
      <c r="N235" s="63" t="s">
        <v>828</v>
      </c>
      <c r="O235" s="64" t="s">
        <v>330</v>
      </c>
    </row>
    <row r="236" spans="9:15" x14ac:dyDescent="0.45">
      <c r="I236"/>
      <c r="J236"/>
      <c r="K236" s="51" t="s">
        <v>166</v>
      </c>
      <c r="M236" s="62" t="s">
        <v>829</v>
      </c>
      <c r="N236" s="63" t="s">
        <v>830</v>
      </c>
      <c r="O236" s="64" t="s">
        <v>330</v>
      </c>
    </row>
    <row r="237" spans="9:15" x14ac:dyDescent="0.45">
      <c r="I237"/>
      <c r="J237"/>
      <c r="K237" s="51" t="s">
        <v>240</v>
      </c>
      <c r="M237" s="62" t="s">
        <v>831</v>
      </c>
      <c r="N237" s="63" t="s">
        <v>832</v>
      </c>
      <c r="O237" s="64" t="s">
        <v>318</v>
      </c>
    </row>
    <row r="238" spans="9:15" x14ac:dyDescent="0.45">
      <c r="I238"/>
      <c r="J238"/>
      <c r="K238" s="101" t="s">
        <v>5743</v>
      </c>
      <c r="M238" s="62" t="s">
        <v>833</v>
      </c>
      <c r="N238" s="63" t="s">
        <v>834</v>
      </c>
      <c r="O238" s="64" t="s">
        <v>330</v>
      </c>
    </row>
    <row r="239" spans="9:15" x14ac:dyDescent="0.45">
      <c r="I239"/>
      <c r="J239"/>
      <c r="K239" s="102"/>
      <c r="M239" s="62" t="s">
        <v>835</v>
      </c>
      <c r="N239" s="63" t="s">
        <v>836</v>
      </c>
      <c r="O239" s="64" t="s">
        <v>403</v>
      </c>
    </row>
    <row r="240" spans="9:15" x14ac:dyDescent="0.45">
      <c r="I240"/>
      <c r="J240"/>
      <c r="K240" s="102"/>
      <c r="M240" s="62" t="s">
        <v>837</v>
      </c>
      <c r="N240" s="63" t="s">
        <v>838</v>
      </c>
      <c r="O240" s="64" t="s">
        <v>403</v>
      </c>
    </row>
    <row r="241" spans="9:15" x14ac:dyDescent="0.45">
      <c r="I241"/>
      <c r="J241"/>
      <c r="K241" s="102"/>
      <c r="M241" s="62" t="s">
        <v>839</v>
      </c>
      <c r="N241" s="63" t="s">
        <v>840</v>
      </c>
      <c r="O241" s="64" t="s">
        <v>437</v>
      </c>
    </row>
    <row r="242" spans="9:15" x14ac:dyDescent="0.45">
      <c r="I242"/>
      <c r="J242"/>
      <c r="K242" s="102"/>
      <c r="M242" s="62" t="s">
        <v>841</v>
      </c>
      <c r="N242" s="63" t="s">
        <v>842</v>
      </c>
      <c r="O242" s="64" t="s">
        <v>330</v>
      </c>
    </row>
    <row r="243" spans="9:15" x14ac:dyDescent="0.45">
      <c r="I243"/>
      <c r="J243"/>
      <c r="K243" s="102"/>
      <c r="M243" s="71" t="s">
        <v>843</v>
      </c>
      <c r="N243" s="72" t="s">
        <v>844</v>
      </c>
      <c r="O243" s="64" t="s">
        <v>330</v>
      </c>
    </row>
    <row r="244" spans="9:15" x14ac:dyDescent="0.45">
      <c r="I244"/>
      <c r="J244"/>
      <c r="K244" s="102"/>
      <c r="M244" s="62" t="s">
        <v>845</v>
      </c>
      <c r="N244" s="63" t="s">
        <v>846</v>
      </c>
      <c r="O244" s="64" t="s">
        <v>330</v>
      </c>
    </row>
    <row r="245" spans="9:15" x14ac:dyDescent="0.45">
      <c r="I245"/>
      <c r="J245"/>
      <c r="K245" s="102"/>
      <c r="M245" s="62" t="s">
        <v>847</v>
      </c>
      <c r="N245" s="63" t="s">
        <v>848</v>
      </c>
      <c r="O245" s="64" t="s">
        <v>849</v>
      </c>
    </row>
    <row r="246" spans="9:15" x14ac:dyDescent="0.45">
      <c r="I246"/>
      <c r="J246"/>
      <c r="K246" s="102"/>
      <c r="M246" s="62" t="s">
        <v>850</v>
      </c>
      <c r="N246" s="63" t="s">
        <v>851</v>
      </c>
      <c r="O246" s="64" t="s">
        <v>625</v>
      </c>
    </row>
    <row r="247" spans="9:15" x14ac:dyDescent="0.45">
      <c r="I247"/>
      <c r="J247"/>
      <c r="K247" s="102"/>
      <c r="M247" s="62" t="s">
        <v>852</v>
      </c>
      <c r="N247" s="63" t="s">
        <v>853</v>
      </c>
      <c r="O247" s="64" t="s">
        <v>330</v>
      </c>
    </row>
    <row r="248" spans="9:15" x14ac:dyDescent="0.45">
      <c r="I248"/>
      <c r="J248"/>
      <c r="K248" s="102"/>
      <c r="M248" s="65" t="s">
        <v>854</v>
      </c>
      <c r="N248" s="66" t="s">
        <v>855</v>
      </c>
      <c r="O248" s="64" t="s">
        <v>330</v>
      </c>
    </row>
    <row r="249" spans="9:15" x14ac:dyDescent="0.45">
      <c r="I249"/>
      <c r="J249"/>
      <c r="K249" s="102"/>
      <c r="M249" s="62" t="s">
        <v>856</v>
      </c>
      <c r="N249" s="63" t="s">
        <v>857</v>
      </c>
      <c r="O249" s="64" t="s">
        <v>518</v>
      </c>
    </row>
    <row r="250" spans="9:15" x14ac:dyDescent="0.45">
      <c r="I250"/>
      <c r="J250"/>
      <c r="K250" s="102"/>
      <c r="M250" s="62" t="s">
        <v>858</v>
      </c>
      <c r="N250" s="63" t="s">
        <v>859</v>
      </c>
      <c r="O250" s="64" t="s">
        <v>330</v>
      </c>
    </row>
    <row r="251" spans="9:15" x14ac:dyDescent="0.45">
      <c r="I251"/>
      <c r="J251"/>
      <c r="K251" s="102"/>
      <c r="M251" s="62" t="s">
        <v>860</v>
      </c>
      <c r="N251" s="72" t="s">
        <v>861</v>
      </c>
      <c r="O251" s="64" t="s">
        <v>330</v>
      </c>
    </row>
    <row r="252" spans="9:15" x14ac:dyDescent="0.45">
      <c r="I252"/>
      <c r="J252"/>
      <c r="K252" s="102"/>
      <c r="M252" s="62" t="s">
        <v>862</v>
      </c>
      <c r="N252" s="63" t="s">
        <v>863</v>
      </c>
      <c r="O252" s="64" t="s">
        <v>864</v>
      </c>
    </row>
    <row r="253" spans="9:15" x14ac:dyDescent="0.45">
      <c r="I253"/>
      <c r="J253"/>
      <c r="K253" s="102"/>
      <c r="M253" s="62" t="s">
        <v>865</v>
      </c>
      <c r="N253" s="63" t="s">
        <v>866</v>
      </c>
      <c r="O253" s="64" t="s">
        <v>330</v>
      </c>
    </row>
    <row r="254" spans="9:15" x14ac:dyDescent="0.45">
      <c r="I254"/>
      <c r="J254"/>
      <c r="K254" s="102"/>
      <c r="M254" s="62" t="s">
        <v>867</v>
      </c>
      <c r="N254" s="63" t="s">
        <v>868</v>
      </c>
      <c r="O254" s="64" t="s">
        <v>330</v>
      </c>
    </row>
    <row r="255" spans="9:15" x14ac:dyDescent="0.45">
      <c r="I255"/>
      <c r="J255"/>
      <c r="K255" s="102"/>
      <c r="M255" s="62" t="s">
        <v>869</v>
      </c>
      <c r="N255" s="63" t="s">
        <v>870</v>
      </c>
      <c r="O255" s="64" t="s">
        <v>871</v>
      </c>
    </row>
    <row r="256" spans="9:15" x14ac:dyDescent="0.45">
      <c r="I256"/>
      <c r="J256"/>
      <c r="K256" s="102"/>
      <c r="M256" s="62" t="s">
        <v>872</v>
      </c>
      <c r="N256" s="63" t="s">
        <v>873</v>
      </c>
      <c r="O256" s="64" t="s">
        <v>330</v>
      </c>
    </row>
    <row r="257" spans="9:15" x14ac:dyDescent="0.45">
      <c r="I257"/>
      <c r="J257"/>
      <c r="K257" s="102"/>
      <c r="M257" s="62" t="s">
        <v>874</v>
      </c>
      <c r="N257" s="63" t="s">
        <v>875</v>
      </c>
      <c r="O257" s="64" t="s">
        <v>876</v>
      </c>
    </row>
    <row r="258" spans="9:15" x14ac:dyDescent="0.45">
      <c r="I258"/>
      <c r="J258"/>
      <c r="K258" s="102"/>
      <c r="M258" s="62" t="s">
        <v>877</v>
      </c>
      <c r="N258" s="63" t="s">
        <v>878</v>
      </c>
      <c r="O258" s="64" t="s">
        <v>509</v>
      </c>
    </row>
    <row r="259" spans="9:15" x14ac:dyDescent="0.45">
      <c r="I259"/>
      <c r="J259"/>
      <c r="K259" s="102"/>
      <c r="M259" s="62" t="s">
        <v>879</v>
      </c>
      <c r="N259" s="63" t="s">
        <v>880</v>
      </c>
      <c r="O259" s="64" t="s">
        <v>425</v>
      </c>
    </row>
    <row r="260" spans="9:15" x14ac:dyDescent="0.45">
      <c r="I260"/>
      <c r="J260"/>
      <c r="K260" s="102"/>
      <c r="M260" s="62" t="s">
        <v>881</v>
      </c>
      <c r="N260" s="63" t="s">
        <v>882</v>
      </c>
      <c r="O260" s="64" t="s">
        <v>327</v>
      </c>
    </row>
    <row r="261" spans="9:15" x14ac:dyDescent="0.45">
      <c r="I261"/>
      <c r="J261"/>
      <c r="K261" s="102"/>
      <c r="M261" s="62" t="s">
        <v>883</v>
      </c>
      <c r="N261" s="63" t="s">
        <v>884</v>
      </c>
      <c r="O261" s="64" t="s">
        <v>330</v>
      </c>
    </row>
    <row r="262" spans="9:15" x14ac:dyDescent="0.45">
      <c r="I262"/>
      <c r="J262"/>
      <c r="K262" s="102"/>
      <c r="M262" s="62" t="s">
        <v>885</v>
      </c>
      <c r="N262" s="63" t="s">
        <v>886</v>
      </c>
      <c r="O262" s="64" t="s">
        <v>330</v>
      </c>
    </row>
    <row r="263" spans="9:15" x14ac:dyDescent="0.45">
      <c r="I263"/>
      <c r="J263"/>
      <c r="K263" s="102"/>
      <c r="M263" s="62" t="s">
        <v>887</v>
      </c>
      <c r="N263" s="63" t="s">
        <v>888</v>
      </c>
      <c r="O263" s="64" t="s">
        <v>359</v>
      </c>
    </row>
    <row r="264" spans="9:15" x14ac:dyDescent="0.45">
      <c r="I264"/>
      <c r="J264"/>
      <c r="K264" s="102"/>
      <c r="M264" s="62" t="s">
        <v>889</v>
      </c>
      <c r="N264" s="63" t="s">
        <v>890</v>
      </c>
      <c r="O264" s="64" t="s">
        <v>330</v>
      </c>
    </row>
    <row r="265" spans="9:15" x14ac:dyDescent="0.45">
      <c r="I265"/>
      <c r="J265"/>
      <c r="K265" s="102"/>
      <c r="M265" s="62" t="s">
        <v>891</v>
      </c>
      <c r="N265" s="63" t="s">
        <v>892</v>
      </c>
      <c r="O265" s="64" t="s">
        <v>330</v>
      </c>
    </row>
    <row r="266" spans="9:15" x14ac:dyDescent="0.45">
      <c r="I266"/>
      <c r="J266"/>
      <c r="K266" s="102"/>
      <c r="M266" s="62" t="s">
        <v>893</v>
      </c>
      <c r="N266" s="63" t="s">
        <v>894</v>
      </c>
      <c r="O266" s="64" t="s">
        <v>549</v>
      </c>
    </row>
    <row r="267" spans="9:15" x14ac:dyDescent="0.45">
      <c r="I267"/>
      <c r="J267"/>
      <c r="K267" s="102"/>
      <c r="M267" s="62" t="s">
        <v>895</v>
      </c>
      <c r="N267" s="63" t="s">
        <v>896</v>
      </c>
      <c r="O267" s="64" t="s">
        <v>330</v>
      </c>
    </row>
    <row r="268" spans="9:15" x14ac:dyDescent="0.45">
      <c r="I268"/>
      <c r="J268"/>
      <c r="K268" s="102"/>
      <c r="M268" s="62" t="s">
        <v>897</v>
      </c>
      <c r="N268" s="63" t="s">
        <v>898</v>
      </c>
      <c r="O268" s="64" t="s">
        <v>330</v>
      </c>
    </row>
    <row r="269" spans="9:15" x14ac:dyDescent="0.45">
      <c r="I269"/>
      <c r="J269"/>
      <c r="K269" s="102"/>
      <c r="M269" s="69" t="s">
        <v>899</v>
      </c>
      <c r="N269" s="70" t="s">
        <v>900</v>
      </c>
      <c r="O269" s="63" t="s">
        <v>373</v>
      </c>
    </row>
    <row r="270" spans="9:15" x14ac:dyDescent="0.45">
      <c r="I270"/>
      <c r="J270"/>
      <c r="K270" s="102"/>
      <c r="M270" s="69" t="s">
        <v>901</v>
      </c>
      <c r="N270" s="70" t="s">
        <v>902</v>
      </c>
      <c r="O270" s="63" t="s">
        <v>373</v>
      </c>
    </row>
    <row r="271" spans="9:15" x14ac:dyDescent="0.45">
      <c r="I271"/>
      <c r="J271"/>
      <c r="K271" s="102"/>
      <c r="M271" s="62" t="s">
        <v>903</v>
      </c>
      <c r="N271" s="63" t="s">
        <v>904</v>
      </c>
      <c r="O271" s="64" t="s">
        <v>905</v>
      </c>
    </row>
    <row r="272" spans="9:15" x14ac:dyDescent="0.45">
      <c r="I272"/>
      <c r="J272"/>
      <c r="K272" s="102"/>
      <c r="M272" s="62" t="s">
        <v>906</v>
      </c>
      <c r="N272" s="63" t="s">
        <v>907</v>
      </c>
      <c r="O272" s="64" t="s">
        <v>743</v>
      </c>
    </row>
    <row r="273" spans="9:15" x14ac:dyDescent="0.45">
      <c r="I273"/>
      <c r="J273"/>
      <c r="K273" s="102"/>
      <c r="M273" s="62" t="s">
        <v>908</v>
      </c>
      <c r="N273" s="63" t="s">
        <v>909</v>
      </c>
      <c r="O273" s="64" t="s">
        <v>910</v>
      </c>
    </row>
    <row r="274" spans="9:15" x14ac:dyDescent="0.45">
      <c r="I274"/>
      <c r="J274"/>
      <c r="K274" s="102"/>
      <c r="M274" s="62" t="s">
        <v>911</v>
      </c>
      <c r="N274" s="63" t="s">
        <v>912</v>
      </c>
      <c r="O274" s="64" t="s">
        <v>344</v>
      </c>
    </row>
    <row r="275" spans="9:15" x14ac:dyDescent="0.45">
      <c r="I275"/>
      <c r="J275"/>
      <c r="K275" s="102"/>
      <c r="M275" s="62" t="s">
        <v>913</v>
      </c>
      <c r="N275" s="63" t="s">
        <v>914</v>
      </c>
      <c r="O275" s="64" t="s">
        <v>327</v>
      </c>
    </row>
    <row r="276" spans="9:15" x14ac:dyDescent="0.45">
      <c r="I276"/>
      <c r="J276"/>
      <c r="K276" s="102"/>
      <c r="M276" s="62" t="s">
        <v>915</v>
      </c>
      <c r="N276" s="63" t="s">
        <v>916</v>
      </c>
      <c r="O276" s="64" t="s">
        <v>330</v>
      </c>
    </row>
    <row r="277" spans="9:15" x14ac:dyDescent="0.45">
      <c r="I277"/>
      <c r="J277"/>
      <c r="K277" s="102"/>
      <c r="M277" s="62" t="s">
        <v>917</v>
      </c>
      <c r="N277" s="63" t="s">
        <v>918</v>
      </c>
      <c r="O277" s="64" t="s">
        <v>330</v>
      </c>
    </row>
    <row r="278" spans="9:15" x14ac:dyDescent="0.45">
      <c r="I278"/>
      <c r="J278"/>
      <c r="K278" s="102"/>
      <c r="M278" s="62" t="s">
        <v>919</v>
      </c>
      <c r="N278" s="63" t="s">
        <v>920</v>
      </c>
      <c r="O278" s="64" t="s">
        <v>921</v>
      </c>
    </row>
    <row r="279" spans="9:15" x14ac:dyDescent="0.45">
      <c r="I279"/>
      <c r="J279"/>
      <c r="K279" s="102"/>
      <c r="M279" s="62" t="s">
        <v>922</v>
      </c>
      <c r="N279" s="63" t="s">
        <v>923</v>
      </c>
      <c r="O279" s="64" t="s">
        <v>327</v>
      </c>
    </row>
    <row r="280" spans="9:15" x14ac:dyDescent="0.45">
      <c r="I280"/>
      <c r="J280"/>
      <c r="K280" s="102"/>
      <c r="M280" s="62" t="s">
        <v>924</v>
      </c>
      <c r="N280" s="63" t="s">
        <v>925</v>
      </c>
      <c r="O280" s="64" t="s">
        <v>632</v>
      </c>
    </row>
    <row r="281" spans="9:15" x14ac:dyDescent="0.45">
      <c r="I281"/>
      <c r="J281"/>
      <c r="K281" s="102"/>
      <c r="M281" s="62" t="s">
        <v>926</v>
      </c>
      <c r="N281" s="63" t="s">
        <v>927</v>
      </c>
      <c r="O281" s="64" t="s">
        <v>359</v>
      </c>
    </row>
    <row r="282" spans="9:15" x14ac:dyDescent="0.45">
      <c r="I282"/>
      <c r="J282"/>
      <c r="K282" s="102"/>
      <c r="M282" s="62" t="s">
        <v>928</v>
      </c>
      <c r="N282" s="63" t="s">
        <v>929</v>
      </c>
      <c r="O282" s="64" t="s">
        <v>330</v>
      </c>
    </row>
    <row r="283" spans="9:15" x14ac:dyDescent="0.45">
      <c r="I283"/>
      <c r="J283"/>
      <c r="K283" s="102"/>
      <c r="M283" s="62" t="s">
        <v>930</v>
      </c>
      <c r="N283" s="63" t="s">
        <v>931</v>
      </c>
      <c r="O283" s="64" t="s">
        <v>515</v>
      </c>
    </row>
    <row r="284" spans="9:15" x14ac:dyDescent="0.45">
      <c r="I284"/>
      <c r="J284"/>
      <c r="K284" s="102"/>
      <c r="M284" s="62" t="s">
        <v>932</v>
      </c>
      <c r="N284" s="63" t="s">
        <v>933</v>
      </c>
      <c r="O284" s="64" t="s">
        <v>849</v>
      </c>
    </row>
    <row r="285" spans="9:15" x14ac:dyDescent="0.45">
      <c r="I285"/>
      <c r="J285"/>
      <c r="K285" s="102"/>
      <c r="M285" s="62" t="s">
        <v>934</v>
      </c>
      <c r="N285" s="63" t="s">
        <v>935</v>
      </c>
      <c r="O285" s="64" t="s">
        <v>625</v>
      </c>
    </row>
    <row r="286" spans="9:15" x14ac:dyDescent="0.45">
      <c r="I286"/>
      <c r="J286"/>
      <c r="K286" s="102"/>
      <c r="M286" s="62" t="s">
        <v>936</v>
      </c>
      <c r="N286" s="63" t="s">
        <v>937</v>
      </c>
      <c r="O286" s="64" t="s">
        <v>403</v>
      </c>
    </row>
    <row r="287" spans="9:15" x14ac:dyDescent="0.45">
      <c r="I287"/>
      <c r="J287"/>
      <c r="K287" s="102"/>
      <c r="M287" s="62" t="s">
        <v>938</v>
      </c>
      <c r="N287" s="63" t="s">
        <v>939</v>
      </c>
      <c r="O287" s="64" t="s">
        <v>330</v>
      </c>
    </row>
    <row r="288" spans="9:15" x14ac:dyDescent="0.45">
      <c r="I288"/>
      <c r="J288"/>
      <c r="K288" s="102"/>
      <c r="M288" s="62" t="s">
        <v>940</v>
      </c>
      <c r="N288" s="63" t="s">
        <v>941</v>
      </c>
      <c r="O288" s="64" t="s">
        <v>330</v>
      </c>
    </row>
    <row r="289" spans="9:15" x14ac:dyDescent="0.45">
      <c r="I289"/>
      <c r="J289"/>
      <c r="K289" s="102"/>
      <c r="M289" s="62" t="s">
        <v>942</v>
      </c>
      <c r="N289" s="63" t="s">
        <v>943</v>
      </c>
      <c r="O289" s="64" t="s">
        <v>330</v>
      </c>
    </row>
    <row r="290" spans="9:15" x14ac:dyDescent="0.45">
      <c r="I290"/>
      <c r="J290"/>
      <c r="K290" s="102"/>
      <c r="M290" s="62" t="s">
        <v>944</v>
      </c>
      <c r="N290" s="63" t="s">
        <v>945</v>
      </c>
      <c r="O290" s="64" t="s">
        <v>330</v>
      </c>
    </row>
    <row r="291" spans="9:15" x14ac:dyDescent="0.45">
      <c r="I291"/>
      <c r="J291"/>
      <c r="K291" s="102"/>
      <c r="M291" s="62" t="s">
        <v>946</v>
      </c>
      <c r="N291" s="63" t="s">
        <v>947</v>
      </c>
      <c r="O291" s="64" t="s">
        <v>330</v>
      </c>
    </row>
    <row r="292" spans="9:15" x14ac:dyDescent="0.45">
      <c r="I292"/>
      <c r="J292"/>
      <c r="K292" s="102"/>
      <c r="M292" s="62" t="s">
        <v>948</v>
      </c>
      <c r="N292" s="63" t="s">
        <v>949</v>
      </c>
      <c r="O292" s="64" t="s">
        <v>318</v>
      </c>
    </row>
    <row r="293" spans="9:15" x14ac:dyDescent="0.45">
      <c r="I293"/>
      <c r="J293"/>
      <c r="K293" s="102"/>
      <c r="M293" s="62" t="s">
        <v>950</v>
      </c>
      <c r="N293" s="63" t="s">
        <v>951</v>
      </c>
      <c r="O293" s="64" t="s">
        <v>632</v>
      </c>
    </row>
    <row r="294" spans="9:15" x14ac:dyDescent="0.45">
      <c r="I294"/>
      <c r="J294"/>
      <c r="K294" s="102"/>
      <c r="M294" s="62" t="s">
        <v>952</v>
      </c>
      <c r="N294" s="63" t="s">
        <v>953</v>
      </c>
      <c r="O294" s="64" t="s">
        <v>327</v>
      </c>
    </row>
    <row r="295" spans="9:15" x14ac:dyDescent="0.45">
      <c r="I295"/>
      <c r="J295"/>
      <c r="K295" s="102"/>
      <c r="M295" s="62" t="s">
        <v>954</v>
      </c>
      <c r="N295" s="63" t="s">
        <v>955</v>
      </c>
      <c r="O295" s="64" t="s">
        <v>321</v>
      </c>
    </row>
    <row r="296" spans="9:15" x14ac:dyDescent="0.45">
      <c r="I296"/>
      <c r="J296"/>
      <c r="K296" s="102"/>
      <c r="M296" s="62" t="s">
        <v>956</v>
      </c>
      <c r="N296" s="63" t="s">
        <v>957</v>
      </c>
      <c r="O296" s="64" t="s">
        <v>330</v>
      </c>
    </row>
    <row r="297" spans="9:15" x14ac:dyDescent="0.45">
      <c r="I297"/>
      <c r="J297"/>
      <c r="K297" s="102"/>
      <c r="M297" s="62" t="s">
        <v>958</v>
      </c>
      <c r="N297" s="63" t="s">
        <v>959</v>
      </c>
      <c r="O297" s="64" t="s">
        <v>515</v>
      </c>
    </row>
    <row r="298" spans="9:15" x14ac:dyDescent="0.45">
      <c r="I298"/>
      <c r="J298"/>
      <c r="K298" s="102"/>
      <c r="M298" s="62" t="s">
        <v>960</v>
      </c>
      <c r="N298" s="63" t="s">
        <v>961</v>
      </c>
      <c r="O298" s="64" t="s">
        <v>330</v>
      </c>
    </row>
    <row r="299" spans="9:15" x14ac:dyDescent="0.45">
      <c r="I299"/>
      <c r="J299"/>
      <c r="K299" s="102"/>
      <c r="M299" s="62" t="s">
        <v>962</v>
      </c>
      <c r="N299" s="63" t="s">
        <v>963</v>
      </c>
      <c r="O299" s="64" t="s">
        <v>453</v>
      </c>
    </row>
    <row r="300" spans="9:15" x14ac:dyDescent="0.45">
      <c r="I300"/>
      <c r="J300"/>
      <c r="K300" s="102"/>
      <c r="M300" s="62" t="s">
        <v>964</v>
      </c>
      <c r="N300" s="63" t="s">
        <v>965</v>
      </c>
      <c r="O300" s="64" t="s">
        <v>330</v>
      </c>
    </row>
    <row r="301" spans="9:15" x14ac:dyDescent="0.45">
      <c r="I301"/>
      <c r="J301"/>
      <c r="K301" s="102"/>
      <c r="M301" s="62" t="s">
        <v>966</v>
      </c>
      <c r="N301" s="63" t="s">
        <v>967</v>
      </c>
      <c r="O301" s="64" t="s">
        <v>330</v>
      </c>
    </row>
    <row r="302" spans="9:15" x14ac:dyDescent="0.45">
      <c r="I302"/>
      <c r="J302"/>
      <c r="M302" s="62" t="s">
        <v>968</v>
      </c>
      <c r="N302" s="63" t="s">
        <v>969</v>
      </c>
      <c r="O302" s="64" t="s">
        <v>330</v>
      </c>
    </row>
    <row r="303" spans="9:15" x14ac:dyDescent="0.45">
      <c r="I303"/>
      <c r="J303"/>
      <c r="M303" s="62" t="s">
        <v>970</v>
      </c>
      <c r="N303" s="63" t="s">
        <v>971</v>
      </c>
      <c r="O303" s="64" t="s">
        <v>330</v>
      </c>
    </row>
    <row r="304" spans="9:15" x14ac:dyDescent="0.45">
      <c r="I304"/>
      <c r="J304"/>
      <c r="M304" s="62" t="s">
        <v>972</v>
      </c>
      <c r="N304" s="72" t="s">
        <v>973</v>
      </c>
      <c r="O304" s="64" t="s">
        <v>330</v>
      </c>
    </row>
    <row r="305" spans="9:15" x14ac:dyDescent="0.45">
      <c r="I305"/>
      <c r="J305"/>
      <c r="M305" s="62" t="s">
        <v>974</v>
      </c>
      <c r="N305" s="72" t="s">
        <v>975</v>
      </c>
      <c r="O305" s="64" t="s">
        <v>330</v>
      </c>
    </row>
    <row r="306" spans="9:15" x14ac:dyDescent="0.45">
      <c r="I306"/>
      <c r="J306"/>
      <c r="M306" s="62" t="s">
        <v>976</v>
      </c>
      <c r="N306" s="63" t="s">
        <v>977</v>
      </c>
      <c r="O306" s="64" t="s">
        <v>625</v>
      </c>
    </row>
    <row r="307" spans="9:15" x14ac:dyDescent="0.45">
      <c r="I307"/>
      <c r="J307"/>
      <c r="M307" s="62" t="s">
        <v>978</v>
      </c>
      <c r="N307" s="63" t="s">
        <v>979</v>
      </c>
      <c r="O307" s="64" t="s">
        <v>321</v>
      </c>
    </row>
    <row r="308" spans="9:15" x14ac:dyDescent="0.45">
      <c r="I308"/>
      <c r="J308"/>
      <c r="M308" s="62" t="s">
        <v>980</v>
      </c>
      <c r="N308" s="63" t="s">
        <v>981</v>
      </c>
      <c r="O308" s="64" t="s">
        <v>344</v>
      </c>
    </row>
    <row r="309" spans="9:15" x14ac:dyDescent="0.45">
      <c r="I309"/>
      <c r="J309"/>
      <c r="M309" s="62" t="s">
        <v>982</v>
      </c>
      <c r="N309" s="63" t="s">
        <v>983</v>
      </c>
      <c r="O309" s="64" t="s">
        <v>330</v>
      </c>
    </row>
    <row r="310" spans="9:15" x14ac:dyDescent="0.45">
      <c r="I310"/>
      <c r="J310"/>
      <c r="M310" s="62" t="s">
        <v>984</v>
      </c>
      <c r="N310" s="63" t="s">
        <v>985</v>
      </c>
      <c r="O310" s="64" t="s">
        <v>632</v>
      </c>
    </row>
    <row r="311" spans="9:15" x14ac:dyDescent="0.45">
      <c r="I311"/>
      <c r="J311"/>
      <c r="M311" s="62" t="s">
        <v>986</v>
      </c>
      <c r="N311" s="63" t="s">
        <v>987</v>
      </c>
      <c r="O311" s="64" t="s">
        <v>318</v>
      </c>
    </row>
    <row r="312" spans="9:15" x14ac:dyDescent="0.45">
      <c r="I312"/>
      <c r="J312"/>
      <c r="M312" s="71" t="s">
        <v>988</v>
      </c>
      <c r="N312" s="72" t="s">
        <v>989</v>
      </c>
      <c r="O312" s="72" t="s">
        <v>330</v>
      </c>
    </row>
    <row r="313" spans="9:15" x14ac:dyDescent="0.45">
      <c r="I313"/>
      <c r="J313"/>
      <c r="M313" s="62" t="s">
        <v>990</v>
      </c>
      <c r="N313" s="63" t="s">
        <v>991</v>
      </c>
      <c r="O313" s="64" t="s">
        <v>330</v>
      </c>
    </row>
    <row r="314" spans="9:15" x14ac:dyDescent="0.45">
      <c r="I314"/>
      <c r="J314"/>
      <c r="M314" s="62" t="s">
        <v>992</v>
      </c>
      <c r="N314" s="63" t="s">
        <v>993</v>
      </c>
      <c r="O314" s="64" t="s">
        <v>327</v>
      </c>
    </row>
    <row r="315" spans="9:15" x14ac:dyDescent="0.45">
      <c r="I315"/>
      <c r="J315"/>
      <c r="M315" s="69" t="s">
        <v>994</v>
      </c>
      <c r="N315" s="70" t="s">
        <v>995</v>
      </c>
      <c r="O315" s="63" t="s">
        <v>373</v>
      </c>
    </row>
    <row r="316" spans="9:15" x14ac:dyDescent="0.45">
      <c r="I316"/>
      <c r="J316"/>
      <c r="M316" s="62" t="s">
        <v>996</v>
      </c>
      <c r="N316" s="63" t="s">
        <v>997</v>
      </c>
      <c r="O316" s="64" t="s">
        <v>330</v>
      </c>
    </row>
    <row r="317" spans="9:15" x14ac:dyDescent="0.45">
      <c r="I317"/>
      <c r="J317"/>
      <c r="M317" s="62" t="s">
        <v>998</v>
      </c>
      <c r="N317" s="63" t="s">
        <v>999</v>
      </c>
      <c r="O317" s="64" t="s">
        <v>330</v>
      </c>
    </row>
    <row r="318" spans="9:15" x14ac:dyDescent="0.45">
      <c r="I318"/>
      <c r="J318"/>
      <c r="M318" s="62" t="s">
        <v>1000</v>
      </c>
      <c r="N318" s="63" t="s">
        <v>1001</v>
      </c>
      <c r="O318" s="64" t="s">
        <v>330</v>
      </c>
    </row>
    <row r="319" spans="9:15" x14ac:dyDescent="0.45">
      <c r="I319"/>
      <c r="J319"/>
      <c r="M319" s="62" t="s">
        <v>1002</v>
      </c>
      <c r="N319" s="63" t="s">
        <v>1003</v>
      </c>
      <c r="O319" s="64" t="s">
        <v>330</v>
      </c>
    </row>
    <row r="320" spans="9:15" x14ac:dyDescent="0.45">
      <c r="I320"/>
      <c r="J320"/>
      <c r="M320" s="62" t="s">
        <v>1004</v>
      </c>
      <c r="N320" s="63" t="s">
        <v>1005</v>
      </c>
      <c r="O320" s="64" t="s">
        <v>330</v>
      </c>
    </row>
    <row r="321" spans="9:15" x14ac:dyDescent="0.45">
      <c r="I321"/>
      <c r="J321"/>
      <c r="M321" s="62" t="s">
        <v>1006</v>
      </c>
      <c r="N321" s="63" t="s">
        <v>1007</v>
      </c>
      <c r="O321" s="64" t="s">
        <v>1008</v>
      </c>
    </row>
    <row r="322" spans="9:15" x14ac:dyDescent="0.45">
      <c r="I322"/>
      <c r="J322"/>
      <c r="M322" s="62" t="s">
        <v>1009</v>
      </c>
      <c r="N322" s="63" t="s">
        <v>1010</v>
      </c>
      <c r="O322" s="64" t="s">
        <v>330</v>
      </c>
    </row>
    <row r="323" spans="9:15" x14ac:dyDescent="0.45">
      <c r="I323"/>
      <c r="J323"/>
      <c r="M323" s="62" t="s">
        <v>1011</v>
      </c>
      <c r="N323" s="63" t="s">
        <v>1012</v>
      </c>
      <c r="O323" s="64" t="s">
        <v>327</v>
      </c>
    </row>
    <row r="324" spans="9:15" x14ac:dyDescent="0.45">
      <c r="I324"/>
      <c r="J324"/>
      <c r="M324" s="62" t="s">
        <v>1013</v>
      </c>
      <c r="N324" s="63" t="s">
        <v>1014</v>
      </c>
      <c r="O324" s="64" t="s">
        <v>327</v>
      </c>
    </row>
    <row r="325" spans="9:15" x14ac:dyDescent="0.45">
      <c r="I325"/>
      <c r="J325"/>
      <c r="M325" s="62" t="s">
        <v>1015</v>
      </c>
      <c r="N325" s="63" t="s">
        <v>1016</v>
      </c>
      <c r="O325" s="64" t="s">
        <v>321</v>
      </c>
    </row>
    <row r="326" spans="9:15" x14ac:dyDescent="0.45">
      <c r="I326"/>
      <c r="J326"/>
      <c r="M326" s="62" t="s">
        <v>1017</v>
      </c>
      <c r="N326" s="63" t="s">
        <v>1018</v>
      </c>
      <c r="O326" s="64" t="s">
        <v>330</v>
      </c>
    </row>
    <row r="327" spans="9:15" x14ac:dyDescent="0.45">
      <c r="I327"/>
      <c r="J327"/>
      <c r="M327" s="62" t="s">
        <v>1019</v>
      </c>
      <c r="N327" s="63" t="s">
        <v>1020</v>
      </c>
      <c r="O327" s="64" t="s">
        <v>616</v>
      </c>
    </row>
    <row r="328" spans="9:15" x14ac:dyDescent="0.45">
      <c r="I328"/>
      <c r="J328"/>
      <c r="M328" s="62" t="s">
        <v>1021</v>
      </c>
      <c r="N328" s="63" t="s">
        <v>1022</v>
      </c>
      <c r="O328" s="64" t="s">
        <v>509</v>
      </c>
    </row>
    <row r="329" spans="9:15" x14ac:dyDescent="0.45">
      <c r="I329"/>
      <c r="J329"/>
      <c r="M329" s="62" t="s">
        <v>1023</v>
      </c>
      <c r="N329" s="63" t="s">
        <v>1024</v>
      </c>
      <c r="O329" s="64" t="s">
        <v>616</v>
      </c>
    </row>
    <row r="330" spans="9:15" x14ac:dyDescent="0.45">
      <c r="I330"/>
      <c r="J330"/>
      <c r="M330" s="62" t="s">
        <v>1025</v>
      </c>
      <c r="N330" s="63" t="s">
        <v>1026</v>
      </c>
      <c r="O330" s="64" t="s">
        <v>318</v>
      </c>
    </row>
    <row r="331" spans="9:15" x14ac:dyDescent="0.45">
      <c r="I331"/>
      <c r="J331"/>
      <c r="M331" s="62" t="s">
        <v>1027</v>
      </c>
      <c r="N331" s="63" t="s">
        <v>1028</v>
      </c>
      <c r="O331" s="64" t="s">
        <v>726</v>
      </c>
    </row>
    <row r="332" spans="9:15" x14ac:dyDescent="0.45">
      <c r="I332"/>
      <c r="J332"/>
      <c r="M332" s="62" t="s">
        <v>1029</v>
      </c>
      <c r="N332" s="63" t="s">
        <v>1030</v>
      </c>
      <c r="O332" s="64" t="s">
        <v>1031</v>
      </c>
    </row>
    <row r="333" spans="9:15" x14ac:dyDescent="0.45">
      <c r="I333"/>
      <c r="J333"/>
      <c r="M333" s="62" t="s">
        <v>1032</v>
      </c>
      <c r="N333" s="63" t="s">
        <v>1033</v>
      </c>
      <c r="O333" s="64" t="s">
        <v>667</v>
      </c>
    </row>
    <row r="334" spans="9:15" x14ac:dyDescent="0.45">
      <c r="I334"/>
      <c r="J334"/>
      <c r="M334" s="62" t="s">
        <v>1034</v>
      </c>
      <c r="N334" s="63" t="s">
        <v>1035</v>
      </c>
      <c r="O334" s="64" t="s">
        <v>1008</v>
      </c>
    </row>
    <row r="335" spans="9:15" x14ac:dyDescent="0.45">
      <c r="I335"/>
      <c r="J335"/>
      <c r="M335" s="62" t="s">
        <v>1036</v>
      </c>
      <c r="N335" s="63" t="s">
        <v>1037</v>
      </c>
      <c r="O335" s="64" t="s">
        <v>327</v>
      </c>
    </row>
    <row r="336" spans="9:15" x14ac:dyDescent="0.45">
      <c r="I336"/>
      <c r="J336"/>
      <c r="M336" s="62" t="s">
        <v>1038</v>
      </c>
      <c r="N336" s="63" t="s">
        <v>1039</v>
      </c>
      <c r="O336" s="64" t="s">
        <v>330</v>
      </c>
    </row>
    <row r="337" spans="9:15" x14ac:dyDescent="0.45">
      <c r="I337"/>
      <c r="J337"/>
      <c r="M337" s="62" t="s">
        <v>1040</v>
      </c>
      <c r="N337" s="63" t="s">
        <v>1041</v>
      </c>
      <c r="O337" s="64" t="s">
        <v>330</v>
      </c>
    </row>
    <row r="338" spans="9:15" x14ac:dyDescent="0.45">
      <c r="I338"/>
      <c r="J338"/>
      <c r="M338" s="62" t="s">
        <v>1042</v>
      </c>
      <c r="N338" s="63" t="s">
        <v>1043</v>
      </c>
      <c r="O338" s="64" t="s">
        <v>453</v>
      </c>
    </row>
    <row r="339" spans="9:15" x14ac:dyDescent="0.45">
      <c r="I339"/>
      <c r="J339"/>
      <c r="M339" s="62" t="s">
        <v>1044</v>
      </c>
      <c r="N339" s="63" t="s">
        <v>1045</v>
      </c>
      <c r="O339" s="64" t="s">
        <v>330</v>
      </c>
    </row>
    <row r="340" spans="9:15" x14ac:dyDescent="0.45">
      <c r="I340"/>
      <c r="J340"/>
      <c r="M340" s="62" t="s">
        <v>1046</v>
      </c>
      <c r="N340" s="63" t="s">
        <v>1047</v>
      </c>
      <c r="O340" s="64" t="s">
        <v>330</v>
      </c>
    </row>
    <row r="341" spans="9:15" x14ac:dyDescent="0.45">
      <c r="I341"/>
      <c r="J341"/>
      <c r="M341" s="75" t="s">
        <v>1048</v>
      </c>
      <c r="N341" s="76" t="s">
        <v>1049</v>
      </c>
      <c r="O341" s="77" t="s">
        <v>330</v>
      </c>
    </row>
    <row r="342" spans="9:15" x14ac:dyDescent="0.45">
      <c r="I342"/>
      <c r="J342"/>
      <c r="M342" s="75" t="s">
        <v>1050</v>
      </c>
      <c r="N342" s="76" t="s">
        <v>1051</v>
      </c>
      <c r="O342" s="78" t="s">
        <v>330</v>
      </c>
    </row>
    <row r="343" spans="9:15" x14ac:dyDescent="0.45">
      <c r="I343"/>
      <c r="J343"/>
      <c r="M343" s="75" t="s">
        <v>1052</v>
      </c>
      <c r="N343" s="76" t="s">
        <v>1053</v>
      </c>
      <c r="O343" s="78" t="s">
        <v>330</v>
      </c>
    </row>
    <row r="344" spans="9:15" x14ac:dyDescent="0.45">
      <c r="I344"/>
      <c r="J344"/>
      <c r="M344" s="62" t="s">
        <v>1054</v>
      </c>
      <c r="N344" s="63" t="s">
        <v>1055</v>
      </c>
      <c r="O344" s="64" t="s">
        <v>1056</v>
      </c>
    </row>
    <row r="345" spans="9:15" x14ac:dyDescent="0.45">
      <c r="I345"/>
      <c r="J345"/>
      <c r="M345" s="62" t="s">
        <v>1057</v>
      </c>
      <c r="N345" s="63" t="s">
        <v>1058</v>
      </c>
      <c r="O345" s="64" t="s">
        <v>509</v>
      </c>
    </row>
    <row r="346" spans="9:15" x14ac:dyDescent="0.45">
      <c r="I346"/>
      <c r="J346"/>
      <c r="M346" s="62" t="s">
        <v>1059</v>
      </c>
      <c r="N346" s="63" t="s">
        <v>1060</v>
      </c>
      <c r="O346" s="64" t="s">
        <v>359</v>
      </c>
    </row>
    <row r="347" spans="9:15" x14ac:dyDescent="0.45">
      <c r="I347"/>
      <c r="J347"/>
      <c r="M347" s="69" t="s">
        <v>1061</v>
      </c>
      <c r="N347" s="70" t="s">
        <v>1062</v>
      </c>
      <c r="O347" s="63" t="s">
        <v>373</v>
      </c>
    </row>
    <row r="348" spans="9:15" x14ac:dyDescent="0.45">
      <c r="I348"/>
      <c r="J348"/>
      <c r="M348" s="62" t="s">
        <v>1063</v>
      </c>
      <c r="N348" s="63" t="s">
        <v>1064</v>
      </c>
      <c r="O348" s="64" t="s">
        <v>321</v>
      </c>
    </row>
    <row r="349" spans="9:15" x14ac:dyDescent="0.45">
      <c r="I349"/>
      <c r="J349"/>
      <c r="M349" s="62" t="s">
        <v>1065</v>
      </c>
      <c r="N349" s="63" t="s">
        <v>1066</v>
      </c>
      <c r="O349" s="64" t="s">
        <v>330</v>
      </c>
    </row>
    <row r="350" spans="9:15" x14ac:dyDescent="0.45">
      <c r="I350"/>
      <c r="J350"/>
      <c r="M350" s="62" t="s">
        <v>1067</v>
      </c>
      <c r="N350" s="63" t="s">
        <v>1068</v>
      </c>
      <c r="O350" s="64" t="s">
        <v>330</v>
      </c>
    </row>
    <row r="351" spans="9:15" x14ac:dyDescent="0.45">
      <c r="I351"/>
      <c r="J351"/>
      <c r="M351" s="62" t="s">
        <v>1069</v>
      </c>
      <c r="N351" s="63" t="s">
        <v>1070</v>
      </c>
      <c r="O351" s="64" t="s">
        <v>321</v>
      </c>
    </row>
    <row r="352" spans="9:15" x14ac:dyDescent="0.45">
      <c r="I352"/>
      <c r="J352"/>
      <c r="M352" s="62" t="s">
        <v>1071</v>
      </c>
      <c r="N352" s="63" t="s">
        <v>1072</v>
      </c>
      <c r="O352" s="64" t="s">
        <v>318</v>
      </c>
    </row>
    <row r="353" spans="9:15" x14ac:dyDescent="0.45">
      <c r="I353"/>
      <c r="J353"/>
      <c r="M353" s="62" t="s">
        <v>1073</v>
      </c>
      <c r="N353" s="63" t="s">
        <v>1074</v>
      </c>
      <c r="O353" s="64" t="s">
        <v>324</v>
      </c>
    </row>
    <row r="354" spans="9:15" x14ac:dyDescent="0.45">
      <c r="I354"/>
      <c r="J354"/>
      <c r="M354" s="62" t="s">
        <v>1075</v>
      </c>
      <c r="N354" s="63" t="s">
        <v>1076</v>
      </c>
      <c r="O354" s="64" t="s">
        <v>330</v>
      </c>
    </row>
    <row r="355" spans="9:15" x14ac:dyDescent="0.45">
      <c r="I355"/>
      <c r="J355"/>
      <c r="M355" s="62" t="s">
        <v>1077</v>
      </c>
      <c r="N355" s="63" t="s">
        <v>1078</v>
      </c>
      <c r="O355" s="64" t="s">
        <v>327</v>
      </c>
    </row>
    <row r="356" spans="9:15" x14ac:dyDescent="0.45">
      <c r="I356"/>
      <c r="J356"/>
      <c r="M356" s="62" t="s">
        <v>1079</v>
      </c>
      <c r="N356" s="63" t="s">
        <v>1080</v>
      </c>
      <c r="O356" s="64" t="s">
        <v>324</v>
      </c>
    </row>
    <row r="357" spans="9:15" x14ac:dyDescent="0.45">
      <c r="I357"/>
      <c r="J357"/>
      <c r="M357" s="62" t="s">
        <v>1081</v>
      </c>
      <c r="N357" s="63" t="s">
        <v>1082</v>
      </c>
      <c r="O357" s="64" t="s">
        <v>330</v>
      </c>
    </row>
    <row r="358" spans="9:15" x14ac:dyDescent="0.45">
      <c r="I358"/>
      <c r="J358"/>
      <c r="M358" s="62" t="s">
        <v>1083</v>
      </c>
      <c r="N358" s="63" t="s">
        <v>1084</v>
      </c>
      <c r="O358" s="64" t="s">
        <v>1085</v>
      </c>
    </row>
    <row r="359" spans="9:15" x14ac:dyDescent="0.45">
      <c r="I359"/>
      <c r="J359"/>
      <c r="M359" s="62" t="s">
        <v>1086</v>
      </c>
      <c r="N359" s="63" t="s">
        <v>1087</v>
      </c>
      <c r="O359" s="64" t="s">
        <v>616</v>
      </c>
    </row>
    <row r="360" spans="9:15" x14ac:dyDescent="0.45">
      <c r="I360"/>
      <c r="J360"/>
      <c r="M360" s="62" t="s">
        <v>1088</v>
      </c>
      <c r="N360" s="63" t="s">
        <v>1089</v>
      </c>
      <c r="O360" s="64" t="s">
        <v>330</v>
      </c>
    </row>
    <row r="361" spans="9:15" x14ac:dyDescent="0.45">
      <c r="I361"/>
      <c r="J361"/>
      <c r="M361" s="62" t="s">
        <v>1090</v>
      </c>
      <c r="N361" s="63" t="s">
        <v>1091</v>
      </c>
      <c r="O361" s="64" t="s">
        <v>327</v>
      </c>
    </row>
    <row r="362" spans="9:15" x14ac:dyDescent="0.45">
      <c r="I362"/>
      <c r="J362"/>
      <c r="M362" s="62" t="s">
        <v>1092</v>
      </c>
      <c r="N362" s="63" t="s">
        <v>1093</v>
      </c>
      <c r="O362" s="64" t="s">
        <v>321</v>
      </c>
    </row>
    <row r="363" spans="9:15" x14ac:dyDescent="0.45">
      <c r="I363"/>
      <c r="J363"/>
      <c r="M363" s="62" t="s">
        <v>1094</v>
      </c>
      <c r="N363" s="63" t="s">
        <v>1095</v>
      </c>
      <c r="O363" s="64" t="s">
        <v>905</v>
      </c>
    </row>
    <row r="364" spans="9:15" x14ac:dyDescent="0.45">
      <c r="I364"/>
      <c r="J364"/>
      <c r="M364" s="62" t="s">
        <v>1096</v>
      </c>
      <c r="N364" s="63" t="s">
        <v>1097</v>
      </c>
      <c r="O364" s="64" t="s">
        <v>330</v>
      </c>
    </row>
    <row r="365" spans="9:15" x14ac:dyDescent="0.45">
      <c r="I365"/>
      <c r="J365"/>
      <c r="M365" s="62" t="s">
        <v>1098</v>
      </c>
      <c r="N365" s="63" t="s">
        <v>1099</v>
      </c>
      <c r="O365" s="64" t="s">
        <v>336</v>
      </c>
    </row>
    <row r="366" spans="9:15" x14ac:dyDescent="0.45">
      <c r="I366"/>
      <c r="J366"/>
      <c r="M366" s="62" t="s">
        <v>1100</v>
      </c>
      <c r="N366" s="63" t="s">
        <v>1101</v>
      </c>
      <c r="O366" s="64" t="s">
        <v>549</v>
      </c>
    </row>
    <row r="367" spans="9:15" x14ac:dyDescent="0.45">
      <c r="I367"/>
      <c r="J367"/>
      <c r="M367" s="62" t="s">
        <v>1102</v>
      </c>
      <c r="N367" s="63" t="s">
        <v>1103</v>
      </c>
      <c r="O367" s="64" t="s">
        <v>1104</v>
      </c>
    </row>
    <row r="368" spans="9:15" x14ac:dyDescent="0.45">
      <c r="I368"/>
      <c r="J368"/>
      <c r="M368" s="62" t="s">
        <v>1105</v>
      </c>
      <c r="N368" s="63" t="s">
        <v>1106</v>
      </c>
      <c r="O368" s="64" t="s">
        <v>330</v>
      </c>
    </row>
    <row r="369" spans="9:15" x14ac:dyDescent="0.45">
      <c r="I369"/>
      <c r="J369"/>
      <c r="M369" s="62" t="s">
        <v>1107</v>
      </c>
      <c r="N369" s="63" t="s">
        <v>1108</v>
      </c>
      <c r="O369" s="64" t="s">
        <v>330</v>
      </c>
    </row>
    <row r="370" spans="9:15" x14ac:dyDescent="0.45">
      <c r="I370"/>
      <c r="J370"/>
      <c r="M370" s="62" t="s">
        <v>1109</v>
      </c>
      <c r="N370" s="63" t="s">
        <v>1110</v>
      </c>
      <c r="O370" s="64" t="s">
        <v>330</v>
      </c>
    </row>
    <row r="371" spans="9:15" x14ac:dyDescent="0.45">
      <c r="I371"/>
      <c r="J371"/>
      <c r="M371" s="62" t="s">
        <v>1111</v>
      </c>
      <c r="N371" s="63" t="s">
        <v>1112</v>
      </c>
      <c r="O371" s="64" t="s">
        <v>632</v>
      </c>
    </row>
    <row r="372" spans="9:15" x14ac:dyDescent="0.45">
      <c r="I372"/>
      <c r="J372"/>
      <c r="M372" s="62" t="s">
        <v>1113</v>
      </c>
      <c r="N372" s="63" t="s">
        <v>1114</v>
      </c>
      <c r="O372" s="64" t="s">
        <v>318</v>
      </c>
    </row>
    <row r="373" spans="9:15" x14ac:dyDescent="0.45">
      <c r="I373"/>
      <c r="J373"/>
      <c r="M373" s="62" t="s">
        <v>1115</v>
      </c>
      <c r="N373" s="63" t="s">
        <v>1116</v>
      </c>
      <c r="O373" s="64" t="s">
        <v>632</v>
      </c>
    </row>
    <row r="374" spans="9:15" x14ac:dyDescent="0.45">
      <c r="I374"/>
      <c r="J374"/>
      <c r="M374" s="62" t="s">
        <v>1117</v>
      </c>
      <c r="N374" s="63" t="s">
        <v>1118</v>
      </c>
      <c r="O374" s="64" t="s">
        <v>330</v>
      </c>
    </row>
    <row r="375" spans="9:15" x14ac:dyDescent="0.45">
      <c r="I375"/>
      <c r="J375"/>
      <c r="M375" s="62" t="s">
        <v>1119</v>
      </c>
      <c r="N375" s="63" t="s">
        <v>1120</v>
      </c>
      <c r="O375" s="64" t="s">
        <v>596</v>
      </c>
    </row>
    <row r="376" spans="9:15" x14ac:dyDescent="0.45">
      <c r="I376"/>
      <c r="J376"/>
      <c r="M376" s="62" t="s">
        <v>1121</v>
      </c>
      <c r="N376" s="63" t="s">
        <v>1122</v>
      </c>
      <c r="O376" s="64" t="s">
        <v>330</v>
      </c>
    </row>
    <row r="377" spans="9:15" x14ac:dyDescent="0.45">
      <c r="I377"/>
      <c r="J377"/>
      <c r="M377" s="62" t="s">
        <v>1123</v>
      </c>
      <c r="N377" s="63" t="s">
        <v>1124</v>
      </c>
      <c r="O377" s="64" t="s">
        <v>1125</v>
      </c>
    </row>
    <row r="378" spans="9:15" x14ac:dyDescent="0.45">
      <c r="I378"/>
      <c r="J378"/>
      <c r="M378" s="62" t="s">
        <v>1126</v>
      </c>
      <c r="N378" s="63" t="s">
        <v>1127</v>
      </c>
      <c r="O378" s="64" t="s">
        <v>330</v>
      </c>
    </row>
    <row r="379" spans="9:15" x14ac:dyDescent="0.45">
      <c r="I379"/>
      <c r="J379"/>
      <c r="M379" s="62" t="s">
        <v>1128</v>
      </c>
      <c r="N379" s="63" t="s">
        <v>1129</v>
      </c>
      <c r="O379" s="64" t="s">
        <v>417</v>
      </c>
    </row>
    <row r="380" spans="9:15" x14ac:dyDescent="0.45">
      <c r="I380"/>
      <c r="J380"/>
      <c r="M380" s="62" t="s">
        <v>1130</v>
      </c>
      <c r="N380" s="63" t="s">
        <v>1131</v>
      </c>
      <c r="O380" s="64" t="s">
        <v>327</v>
      </c>
    </row>
    <row r="381" spans="9:15" x14ac:dyDescent="0.45">
      <c r="I381"/>
      <c r="J381"/>
      <c r="M381" s="62" t="s">
        <v>1132</v>
      </c>
      <c r="N381" s="63" t="s">
        <v>1133</v>
      </c>
      <c r="O381" s="64" t="s">
        <v>1056</v>
      </c>
    </row>
    <row r="382" spans="9:15" x14ac:dyDescent="0.45">
      <c r="I382"/>
      <c r="J382"/>
      <c r="M382" s="62" t="s">
        <v>1134</v>
      </c>
      <c r="N382" s="63" t="s">
        <v>1135</v>
      </c>
      <c r="O382" s="64" t="s">
        <v>453</v>
      </c>
    </row>
    <row r="383" spans="9:15" x14ac:dyDescent="0.45">
      <c r="I383"/>
      <c r="J383"/>
      <c r="M383" s="62" t="s">
        <v>1136</v>
      </c>
      <c r="N383" s="63" t="s">
        <v>1137</v>
      </c>
      <c r="O383" s="64" t="s">
        <v>330</v>
      </c>
    </row>
    <row r="384" spans="9:15" x14ac:dyDescent="0.45">
      <c r="I384"/>
      <c r="J384"/>
      <c r="M384" s="62" t="s">
        <v>1138</v>
      </c>
      <c r="N384" s="63" t="s">
        <v>1139</v>
      </c>
      <c r="O384" s="64" t="s">
        <v>330</v>
      </c>
    </row>
    <row r="385" spans="9:15" x14ac:dyDescent="0.45">
      <c r="I385"/>
      <c r="J385"/>
      <c r="M385" s="62" t="s">
        <v>1140</v>
      </c>
      <c r="N385" s="63" t="s">
        <v>1141</v>
      </c>
      <c r="O385" s="64" t="s">
        <v>327</v>
      </c>
    </row>
    <row r="386" spans="9:15" x14ac:dyDescent="0.45">
      <c r="I386"/>
      <c r="J386"/>
      <c r="M386" s="62" t="s">
        <v>1142</v>
      </c>
      <c r="N386" s="63" t="s">
        <v>1143</v>
      </c>
      <c r="O386" s="64" t="s">
        <v>425</v>
      </c>
    </row>
    <row r="387" spans="9:15" x14ac:dyDescent="0.45">
      <c r="I387"/>
      <c r="J387"/>
      <c r="M387" s="62" t="s">
        <v>1144</v>
      </c>
      <c r="N387" s="63" t="s">
        <v>1145</v>
      </c>
      <c r="O387" s="64" t="s">
        <v>330</v>
      </c>
    </row>
    <row r="388" spans="9:15" x14ac:dyDescent="0.45">
      <c r="I388"/>
      <c r="J388"/>
      <c r="M388" s="62" t="s">
        <v>1146</v>
      </c>
      <c r="N388" s="63" t="s">
        <v>1147</v>
      </c>
      <c r="O388" s="64" t="s">
        <v>509</v>
      </c>
    </row>
    <row r="389" spans="9:15" x14ac:dyDescent="0.45">
      <c r="I389"/>
      <c r="J389"/>
      <c r="M389" s="62" t="s">
        <v>1148</v>
      </c>
      <c r="N389" s="63" t="s">
        <v>1149</v>
      </c>
      <c r="O389" s="64" t="s">
        <v>330</v>
      </c>
    </row>
    <row r="390" spans="9:15" x14ac:dyDescent="0.45">
      <c r="I390"/>
      <c r="J390"/>
      <c r="M390" s="62" t="s">
        <v>1150</v>
      </c>
      <c r="N390" s="63" t="s">
        <v>1151</v>
      </c>
      <c r="O390" s="64" t="s">
        <v>632</v>
      </c>
    </row>
    <row r="391" spans="9:15" x14ac:dyDescent="0.45">
      <c r="I391"/>
      <c r="J391"/>
      <c r="M391" s="62" t="s">
        <v>1152</v>
      </c>
      <c r="N391" s="63" t="s">
        <v>1153</v>
      </c>
      <c r="O391" s="64" t="s">
        <v>321</v>
      </c>
    </row>
    <row r="392" spans="9:15" x14ac:dyDescent="0.45">
      <c r="I392"/>
      <c r="J392"/>
      <c r="M392" s="62" t="s">
        <v>1154</v>
      </c>
      <c r="N392" s="63" t="s">
        <v>1155</v>
      </c>
      <c r="O392" s="64" t="s">
        <v>330</v>
      </c>
    </row>
    <row r="393" spans="9:15" x14ac:dyDescent="0.45">
      <c r="I393"/>
      <c r="J393"/>
      <c r="M393" s="69" t="s">
        <v>1156</v>
      </c>
      <c r="N393" s="70" t="s">
        <v>1157</v>
      </c>
      <c r="O393" s="63" t="s">
        <v>373</v>
      </c>
    </row>
    <row r="394" spans="9:15" x14ac:dyDescent="0.45">
      <c r="I394"/>
      <c r="J394"/>
      <c r="M394" s="62" t="s">
        <v>1158</v>
      </c>
      <c r="N394" s="63" t="s">
        <v>1159</v>
      </c>
      <c r="O394" s="64" t="s">
        <v>321</v>
      </c>
    </row>
    <row r="395" spans="9:15" x14ac:dyDescent="0.45">
      <c r="I395"/>
      <c r="J395"/>
      <c r="M395" s="62" t="s">
        <v>1160</v>
      </c>
      <c r="N395" s="63" t="s">
        <v>1161</v>
      </c>
      <c r="O395" s="64" t="s">
        <v>330</v>
      </c>
    </row>
    <row r="396" spans="9:15" x14ac:dyDescent="0.45">
      <c r="I396"/>
      <c r="J396"/>
      <c r="M396" s="79" t="s">
        <v>1162</v>
      </c>
      <c r="N396" s="76" t="s">
        <v>1163</v>
      </c>
      <c r="O396" s="78" t="s">
        <v>330</v>
      </c>
    </row>
    <row r="397" spans="9:15" x14ac:dyDescent="0.45">
      <c r="I397"/>
      <c r="J397"/>
      <c r="M397" s="62" t="s">
        <v>1164</v>
      </c>
      <c r="N397" s="72" t="s">
        <v>1165</v>
      </c>
      <c r="O397" s="64" t="s">
        <v>321</v>
      </c>
    </row>
    <row r="398" spans="9:15" x14ac:dyDescent="0.45">
      <c r="I398"/>
      <c r="J398"/>
      <c r="M398" s="62" t="s">
        <v>1166</v>
      </c>
      <c r="N398" s="63" t="s">
        <v>1167</v>
      </c>
      <c r="O398" s="64" t="s">
        <v>344</v>
      </c>
    </row>
    <row r="399" spans="9:15" x14ac:dyDescent="0.45">
      <c r="I399"/>
      <c r="J399"/>
      <c r="M399" s="62" t="s">
        <v>1168</v>
      </c>
      <c r="N399" s="63" t="s">
        <v>1169</v>
      </c>
      <c r="O399" s="64" t="s">
        <v>344</v>
      </c>
    </row>
    <row r="400" spans="9:15" x14ac:dyDescent="0.45">
      <c r="I400"/>
      <c r="J400"/>
      <c r="M400" s="62" t="s">
        <v>1170</v>
      </c>
      <c r="N400" s="63" t="s">
        <v>1171</v>
      </c>
      <c r="O400" s="64" t="s">
        <v>336</v>
      </c>
    </row>
    <row r="401" spans="9:15" x14ac:dyDescent="0.45">
      <c r="I401"/>
      <c r="J401"/>
      <c r="M401" s="62" t="s">
        <v>1172</v>
      </c>
      <c r="N401" s="63" t="s">
        <v>1173</v>
      </c>
      <c r="O401" s="64" t="s">
        <v>336</v>
      </c>
    </row>
    <row r="402" spans="9:15" x14ac:dyDescent="0.45">
      <c r="I402"/>
      <c r="J402"/>
      <c r="M402" s="62" t="s">
        <v>1174</v>
      </c>
      <c r="N402" s="63" t="s">
        <v>1175</v>
      </c>
      <c r="O402" s="64" t="s">
        <v>330</v>
      </c>
    </row>
    <row r="403" spans="9:15" x14ac:dyDescent="0.45">
      <c r="I403"/>
      <c r="J403"/>
      <c r="M403" s="62" t="s">
        <v>1176</v>
      </c>
      <c r="N403" s="63" t="s">
        <v>1177</v>
      </c>
      <c r="O403" s="64" t="s">
        <v>330</v>
      </c>
    </row>
    <row r="404" spans="9:15" x14ac:dyDescent="0.45">
      <c r="I404"/>
      <c r="J404"/>
      <c r="M404" s="62" t="s">
        <v>1178</v>
      </c>
      <c r="N404" s="63" t="s">
        <v>1179</v>
      </c>
      <c r="O404" s="64" t="s">
        <v>330</v>
      </c>
    </row>
    <row r="405" spans="9:15" x14ac:dyDescent="0.45">
      <c r="I405"/>
      <c r="J405"/>
      <c r="M405" s="62" t="s">
        <v>1180</v>
      </c>
      <c r="N405" s="63" t="s">
        <v>1181</v>
      </c>
      <c r="O405" s="64" t="s">
        <v>453</v>
      </c>
    </row>
    <row r="406" spans="9:15" x14ac:dyDescent="0.45">
      <c r="I406"/>
      <c r="J406"/>
      <c r="M406" s="62" t="s">
        <v>1182</v>
      </c>
      <c r="N406" s="63" t="s">
        <v>1183</v>
      </c>
      <c r="O406" s="64" t="s">
        <v>532</v>
      </c>
    </row>
    <row r="407" spans="9:15" x14ac:dyDescent="0.45">
      <c r="I407"/>
      <c r="J407"/>
      <c r="M407" s="62" t="s">
        <v>1184</v>
      </c>
      <c r="N407" s="72" t="s">
        <v>1185</v>
      </c>
      <c r="O407" s="64" t="s">
        <v>330</v>
      </c>
    </row>
    <row r="408" spans="9:15" x14ac:dyDescent="0.45">
      <c r="I408"/>
      <c r="J408"/>
      <c r="M408" s="62" t="s">
        <v>1186</v>
      </c>
      <c r="N408" s="72" t="s">
        <v>1187</v>
      </c>
      <c r="O408" s="64" t="s">
        <v>327</v>
      </c>
    </row>
    <row r="409" spans="9:15" x14ac:dyDescent="0.45">
      <c r="I409"/>
      <c r="J409"/>
      <c r="M409" s="62" t="s">
        <v>1188</v>
      </c>
      <c r="N409" s="72" t="s">
        <v>1189</v>
      </c>
      <c r="O409" s="64" t="s">
        <v>327</v>
      </c>
    </row>
    <row r="410" spans="9:15" x14ac:dyDescent="0.45">
      <c r="I410"/>
      <c r="J410"/>
      <c r="M410" s="62" t="s">
        <v>1190</v>
      </c>
      <c r="N410" s="63" t="s">
        <v>1191</v>
      </c>
      <c r="O410" s="64" t="s">
        <v>509</v>
      </c>
    </row>
    <row r="411" spans="9:15" x14ac:dyDescent="0.45">
      <c r="I411"/>
      <c r="J411"/>
      <c r="M411" s="62" t="s">
        <v>1192</v>
      </c>
      <c r="N411" s="63" t="s">
        <v>1193</v>
      </c>
      <c r="O411" s="64" t="s">
        <v>509</v>
      </c>
    </row>
    <row r="412" spans="9:15" x14ac:dyDescent="0.45">
      <c r="I412"/>
      <c r="J412"/>
      <c r="M412" s="62" t="s">
        <v>1194</v>
      </c>
      <c r="N412" s="72" t="s">
        <v>1195</v>
      </c>
      <c r="O412" s="64" t="s">
        <v>321</v>
      </c>
    </row>
    <row r="413" spans="9:15" x14ac:dyDescent="0.45">
      <c r="I413"/>
      <c r="J413"/>
      <c r="M413" s="62" t="s">
        <v>1196</v>
      </c>
      <c r="N413" s="72" t="s">
        <v>1197</v>
      </c>
      <c r="O413" s="64" t="s">
        <v>321</v>
      </c>
    </row>
    <row r="414" spans="9:15" x14ac:dyDescent="0.45">
      <c r="I414"/>
      <c r="J414"/>
      <c r="M414" s="62" t="s">
        <v>1198</v>
      </c>
      <c r="N414" s="63" t="s">
        <v>1199</v>
      </c>
      <c r="O414" s="64" t="s">
        <v>330</v>
      </c>
    </row>
    <row r="415" spans="9:15" x14ac:dyDescent="0.45">
      <c r="I415"/>
      <c r="J415"/>
      <c r="M415" s="62" t="s">
        <v>1200</v>
      </c>
      <c r="N415" s="63" t="s">
        <v>1201</v>
      </c>
      <c r="O415" s="64" t="s">
        <v>330</v>
      </c>
    </row>
    <row r="416" spans="9:15" x14ac:dyDescent="0.45">
      <c r="I416"/>
      <c r="J416"/>
      <c r="M416" s="62" t="s">
        <v>1202</v>
      </c>
      <c r="N416" s="72" t="s">
        <v>1203</v>
      </c>
      <c r="O416" s="64" t="s">
        <v>330</v>
      </c>
    </row>
    <row r="417" spans="9:15" x14ac:dyDescent="0.45">
      <c r="I417"/>
      <c r="J417"/>
      <c r="M417" s="62" t="s">
        <v>1204</v>
      </c>
      <c r="N417" s="72" t="s">
        <v>1205</v>
      </c>
      <c r="O417" s="64" t="s">
        <v>330</v>
      </c>
    </row>
    <row r="418" spans="9:15" x14ac:dyDescent="0.45">
      <c r="I418"/>
      <c r="J418"/>
      <c r="M418" s="62" t="s">
        <v>1206</v>
      </c>
      <c r="N418" s="63" t="s">
        <v>1207</v>
      </c>
      <c r="O418" s="64" t="s">
        <v>318</v>
      </c>
    </row>
    <row r="419" spans="9:15" x14ac:dyDescent="0.45">
      <c r="I419"/>
      <c r="J419"/>
      <c r="M419" s="62" t="s">
        <v>1208</v>
      </c>
      <c r="N419" s="63" t="s">
        <v>1209</v>
      </c>
      <c r="O419" s="64" t="s">
        <v>318</v>
      </c>
    </row>
    <row r="420" spans="9:15" x14ac:dyDescent="0.45">
      <c r="I420"/>
      <c r="J420"/>
      <c r="M420" s="62" t="s">
        <v>1210</v>
      </c>
      <c r="N420" s="63" t="s">
        <v>1211</v>
      </c>
      <c r="O420" s="64" t="s">
        <v>318</v>
      </c>
    </row>
    <row r="421" spans="9:15" x14ac:dyDescent="0.45">
      <c r="I421"/>
      <c r="J421"/>
      <c r="M421" s="62" t="s">
        <v>1212</v>
      </c>
      <c r="N421" s="63" t="s">
        <v>1213</v>
      </c>
      <c r="O421" s="64" t="s">
        <v>327</v>
      </c>
    </row>
    <row r="422" spans="9:15" x14ac:dyDescent="0.45">
      <c r="I422"/>
      <c r="J422"/>
      <c r="M422" s="80" t="s">
        <v>1214</v>
      </c>
      <c r="N422" s="81" t="s">
        <v>1215</v>
      </c>
      <c r="O422" s="82" t="s">
        <v>330</v>
      </c>
    </row>
    <row r="423" spans="9:15" x14ac:dyDescent="0.45">
      <c r="I423"/>
      <c r="J423"/>
      <c r="M423" s="62" t="s">
        <v>1216</v>
      </c>
      <c r="N423" s="63" t="s">
        <v>1217</v>
      </c>
      <c r="O423" s="64" t="s">
        <v>1218</v>
      </c>
    </row>
    <row r="424" spans="9:15" x14ac:dyDescent="0.45">
      <c r="I424"/>
      <c r="J424"/>
      <c r="M424" s="62" t="s">
        <v>1219</v>
      </c>
      <c r="N424" s="63" t="s">
        <v>1220</v>
      </c>
      <c r="O424" s="64" t="s">
        <v>344</v>
      </c>
    </row>
    <row r="425" spans="9:15" x14ac:dyDescent="0.45">
      <c r="I425"/>
      <c r="J425"/>
      <c r="M425" s="62" t="s">
        <v>1221</v>
      </c>
      <c r="N425" s="63" t="s">
        <v>1222</v>
      </c>
      <c r="O425" s="64" t="s">
        <v>330</v>
      </c>
    </row>
    <row r="426" spans="9:15" x14ac:dyDescent="0.45">
      <c r="I426"/>
      <c r="J426"/>
      <c r="M426" s="62" t="s">
        <v>1223</v>
      </c>
      <c r="N426" s="63" t="s">
        <v>1224</v>
      </c>
      <c r="O426" s="64" t="s">
        <v>318</v>
      </c>
    </row>
    <row r="427" spans="9:15" x14ac:dyDescent="0.45">
      <c r="I427"/>
      <c r="J427"/>
      <c r="M427" s="62" t="s">
        <v>1225</v>
      </c>
      <c r="N427" s="63" t="s">
        <v>1226</v>
      </c>
      <c r="O427" s="64" t="s">
        <v>330</v>
      </c>
    </row>
    <row r="428" spans="9:15" x14ac:dyDescent="0.45">
      <c r="I428"/>
      <c r="J428"/>
      <c r="M428" s="62" t="s">
        <v>1227</v>
      </c>
      <c r="N428" s="63" t="s">
        <v>1228</v>
      </c>
      <c r="O428" s="64" t="s">
        <v>330</v>
      </c>
    </row>
    <row r="429" spans="9:15" x14ac:dyDescent="0.45">
      <c r="I429"/>
      <c r="J429"/>
      <c r="M429" s="62" t="s">
        <v>1229</v>
      </c>
      <c r="N429" s="63" t="s">
        <v>1230</v>
      </c>
      <c r="O429" s="64" t="s">
        <v>330</v>
      </c>
    </row>
    <row r="430" spans="9:15" x14ac:dyDescent="0.45">
      <c r="I430"/>
      <c r="J430"/>
      <c r="M430" s="62" t="s">
        <v>1231</v>
      </c>
      <c r="N430" s="63" t="s">
        <v>1232</v>
      </c>
      <c r="O430" s="64" t="s">
        <v>327</v>
      </c>
    </row>
    <row r="431" spans="9:15" x14ac:dyDescent="0.45">
      <c r="I431"/>
      <c r="J431"/>
      <c r="M431" s="62" t="s">
        <v>1233</v>
      </c>
      <c r="N431" s="63" t="s">
        <v>1234</v>
      </c>
      <c r="O431" s="64" t="s">
        <v>330</v>
      </c>
    </row>
    <row r="432" spans="9:15" x14ac:dyDescent="0.45">
      <c r="I432"/>
      <c r="J432"/>
      <c r="M432" s="62" t="s">
        <v>1235</v>
      </c>
      <c r="N432" s="63" t="s">
        <v>1236</v>
      </c>
      <c r="O432" s="64" t="s">
        <v>1237</v>
      </c>
    </row>
    <row r="433" spans="9:15" x14ac:dyDescent="0.45">
      <c r="I433"/>
      <c r="J433"/>
      <c r="M433" s="62" t="s">
        <v>1238</v>
      </c>
      <c r="N433" s="63" t="s">
        <v>1239</v>
      </c>
      <c r="O433" s="64" t="s">
        <v>330</v>
      </c>
    </row>
    <row r="434" spans="9:15" x14ac:dyDescent="0.45">
      <c r="I434"/>
      <c r="J434"/>
      <c r="M434" s="62" t="s">
        <v>1240</v>
      </c>
      <c r="N434" s="63" t="s">
        <v>1241</v>
      </c>
      <c r="O434" s="64" t="s">
        <v>327</v>
      </c>
    </row>
    <row r="435" spans="9:15" x14ac:dyDescent="0.45">
      <c r="I435"/>
      <c r="J435"/>
      <c r="M435" s="62" t="s">
        <v>1242</v>
      </c>
      <c r="N435" s="63" t="s">
        <v>1243</v>
      </c>
      <c r="O435" s="64" t="s">
        <v>327</v>
      </c>
    </row>
    <row r="436" spans="9:15" x14ac:dyDescent="0.45">
      <c r="I436"/>
      <c r="J436"/>
      <c r="M436" s="62" t="s">
        <v>1244</v>
      </c>
      <c r="N436" s="63" t="s">
        <v>1245</v>
      </c>
      <c r="O436" s="64" t="s">
        <v>330</v>
      </c>
    </row>
    <row r="437" spans="9:15" x14ac:dyDescent="0.45">
      <c r="I437"/>
      <c r="J437"/>
      <c r="M437" s="62" t="s">
        <v>1246</v>
      </c>
      <c r="N437" s="63" t="s">
        <v>1247</v>
      </c>
      <c r="O437" s="64" t="s">
        <v>437</v>
      </c>
    </row>
    <row r="438" spans="9:15" x14ac:dyDescent="0.45">
      <c r="I438"/>
      <c r="J438"/>
      <c r="M438" s="62" t="s">
        <v>1248</v>
      </c>
      <c r="N438" s="63" t="s">
        <v>1249</v>
      </c>
      <c r="O438" s="64" t="s">
        <v>327</v>
      </c>
    </row>
    <row r="439" spans="9:15" x14ac:dyDescent="0.45">
      <c r="I439"/>
      <c r="J439"/>
      <c r="M439" s="62" t="s">
        <v>1250</v>
      </c>
      <c r="N439" s="63" t="s">
        <v>1251</v>
      </c>
      <c r="O439" s="64" t="s">
        <v>905</v>
      </c>
    </row>
    <row r="440" spans="9:15" x14ac:dyDescent="0.45">
      <c r="I440"/>
      <c r="J440"/>
      <c r="M440" s="62" t="s">
        <v>1252</v>
      </c>
      <c r="N440" s="63" t="s">
        <v>1253</v>
      </c>
      <c r="O440" s="64" t="s">
        <v>1254</v>
      </c>
    </row>
    <row r="441" spans="9:15" x14ac:dyDescent="0.45">
      <c r="I441"/>
      <c r="J441"/>
      <c r="M441" s="62" t="s">
        <v>1255</v>
      </c>
      <c r="N441" s="63" t="s">
        <v>1256</v>
      </c>
      <c r="O441" s="64" t="s">
        <v>549</v>
      </c>
    </row>
    <row r="442" spans="9:15" x14ac:dyDescent="0.45">
      <c r="I442"/>
      <c r="J442"/>
      <c r="M442" s="62" t="s">
        <v>1257</v>
      </c>
      <c r="N442" s="63" t="s">
        <v>1258</v>
      </c>
      <c r="O442" s="64" t="s">
        <v>324</v>
      </c>
    </row>
    <row r="443" spans="9:15" x14ac:dyDescent="0.45">
      <c r="I443"/>
      <c r="J443"/>
      <c r="M443" s="62" t="s">
        <v>1259</v>
      </c>
      <c r="N443" s="63" t="s">
        <v>1260</v>
      </c>
      <c r="O443" s="64" t="s">
        <v>324</v>
      </c>
    </row>
    <row r="444" spans="9:15" x14ac:dyDescent="0.45">
      <c r="I444"/>
      <c r="J444"/>
      <c r="M444" s="62" t="s">
        <v>1261</v>
      </c>
      <c r="N444" s="63" t="s">
        <v>1262</v>
      </c>
      <c r="O444" s="64" t="s">
        <v>743</v>
      </c>
    </row>
    <row r="445" spans="9:15" x14ac:dyDescent="0.45">
      <c r="I445"/>
      <c r="J445"/>
      <c r="M445" s="62" t="s">
        <v>1263</v>
      </c>
      <c r="N445" s="63" t="s">
        <v>1264</v>
      </c>
      <c r="O445" s="64" t="s">
        <v>330</v>
      </c>
    </row>
    <row r="446" spans="9:15" x14ac:dyDescent="0.45">
      <c r="I446"/>
      <c r="J446"/>
      <c r="M446" s="62" t="s">
        <v>1265</v>
      </c>
      <c r="N446" s="63" t="s">
        <v>1266</v>
      </c>
      <c r="O446" s="64" t="s">
        <v>330</v>
      </c>
    </row>
    <row r="447" spans="9:15" x14ac:dyDescent="0.45">
      <c r="I447"/>
      <c r="J447"/>
      <c r="M447" s="62" t="s">
        <v>1267</v>
      </c>
      <c r="N447" s="63" t="s">
        <v>1268</v>
      </c>
      <c r="O447" s="64" t="s">
        <v>321</v>
      </c>
    </row>
    <row r="448" spans="9:15" x14ac:dyDescent="0.45">
      <c r="I448"/>
      <c r="J448"/>
      <c r="M448" s="62" t="s">
        <v>1269</v>
      </c>
      <c r="N448" s="63" t="s">
        <v>1270</v>
      </c>
      <c r="O448" s="64" t="s">
        <v>330</v>
      </c>
    </row>
    <row r="449" spans="9:15" x14ac:dyDescent="0.45">
      <c r="I449"/>
      <c r="J449"/>
      <c r="M449" s="62" t="s">
        <v>1271</v>
      </c>
      <c r="N449" s="63" t="s">
        <v>1272</v>
      </c>
      <c r="O449" s="64" t="s">
        <v>518</v>
      </c>
    </row>
    <row r="450" spans="9:15" x14ac:dyDescent="0.45">
      <c r="I450"/>
      <c r="J450"/>
      <c r="M450" s="62" t="s">
        <v>1273</v>
      </c>
      <c r="N450" s="63" t="s">
        <v>1274</v>
      </c>
      <c r="O450" s="64" t="s">
        <v>330</v>
      </c>
    </row>
    <row r="451" spans="9:15" x14ac:dyDescent="0.45">
      <c r="I451"/>
      <c r="J451"/>
      <c r="M451" s="62" t="s">
        <v>1275</v>
      </c>
      <c r="N451" s="63" t="s">
        <v>1276</v>
      </c>
      <c r="O451" s="64" t="s">
        <v>330</v>
      </c>
    </row>
    <row r="452" spans="9:15" x14ac:dyDescent="0.45">
      <c r="I452"/>
      <c r="J452"/>
      <c r="M452" s="71" t="s">
        <v>1277</v>
      </c>
      <c r="N452" s="72" t="s">
        <v>1278</v>
      </c>
      <c r="O452" s="64" t="s">
        <v>330</v>
      </c>
    </row>
    <row r="453" spans="9:15" x14ac:dyDescent="0.45">
      <c r="I453"/>
      <c r="J453"/>
      <c r="M453" s="75" t="s">
        <v>1279</v>
      </c>
      <c r="N453" s="76" t="s">
        <v>1280</v>
      </c>
      <c r="O453" s="77" t="s">
        <v>330</v>
      </c>
    </row>
    <row r="454" spans="9:15" x14ac:dyDescent="0.45">
      <c r="I454"/>
      <c r="J454"/>
      <c r="M454" s="62" t="s">
        <v>1281</v>
      </c>
      <c r="N454" s="63" t="s">
        <v>1282</v>
      </c>
      <c r="O454" s="64" t="s">
        <v>596</v>
      </c>
    </row>
    <row r="455" spans="9:15" x14ac:dyDescent="0.45">
      <c r="I455"/>
      <c r="J455"/>
      <c r="M455" s="62" t="s">
        <v>1283</v>
      </c>
      <c r="N455" s="63" t="s">
        <v>1284</v>
      </c>
      <c r="O455" s="64" t="s">
        <v>330</v>
      </c>
    </row>
    <row r="456" spans="9:15" x14ac:dyDescent="0.45">
      <c r="I456"/>
      <c r="J456"/>
      <c r="M456" s="62" t="s">
        <v>1285</v>
      </c>
      <c r="N456" s="63" t="s">
        <v>1286</v>
      </c>
      <c r="O456" s="64" t="s">
        <v>330</v>
      </c>
    </row>
    <row r="457" spans="9:15" x14ac:dyDescent="0.45">
      <c r="I457"/>
      <c r="J457"/>
      <c r="M457" s="62" t="s">
        <v>1287</v>
      </c>
      <c r="N457" s="63" t="s">
        <v>1288</v>
      </c>
      <c r="O457" s="64" t="s">
        <v>321</v>
      </c>
    </row>
    <row r="458" spans="9:15" x14ac:dyDescent="0.45">
      <c r="I458"/>
      <c r="J458"/>
      <c r="M458" s="62" t="s">
        <v>1289</v>
      </c>
      <c r="N458" s="63" t="s">
        <v>1290</v>
      </c>
      <c r="O458" s="64" t="s">
        <v>327</v>
      </c>
    </row>
    <row r="459" spans="9:15" x14ac:dyDescent="0.45">
      <c r="I459"/>
      <c r="J459"/>
      <c r="M459" s="62" t="s">
        <v>1291</v>
      </c>
      <c r="N459" s="63" t="s">
        <v>1292</v>
      </c>
      <c r="O459" s="64" t="s">
        <v>330</v>
      </c>
    </row>
    <row r="460" spans="9:15" x14ac:dyDescent="0.45">
      <c r="I460"/>
      <c r="J460"/>
      <c r="M460" s="62" t="s">
        <v>1293</v>
      </c>
      <c r="N460" s="63" t="s">
        <v>1294</v>
      </c>
      <c r="O460" s="64" t="s">
        <v>330</v>
      </c>
    </row>
    <row r="461" spans="9:15" x14ac:dyDescent="0.45">
      <c r="I461"/>
      <c r="J461"/>
      <c r="M461" s="62" t="s">
        <v>1295</v>
      </c>
      <c r="N461" s="63" t="s">
        <v>1296</v>
      </c>
      <c r="O461" s="64" t="s">
        <v>344</v>
      </c>
    </row>
    <row r="462" spans="9:15" x14ac:dyDescent="0.45">
      <c r="I462"/>
      <c r="J462"/>
      <c r="M462" s="62" t="s">
        <v>1297</v>
      </c>
      <c r="N462" s="63" t="s">
        <v>1298</v>
      </c>
      <c r="O462" s="64" t="s">
        <v>330</v>
      </c>
    </row>
    <row r="463" spans="9:15" x14ac:dyDescent="0.45">
      <c r="I463"/>
      <c r="J463"/>
      <c r="M463" s="62" t="s">
        <v>1299</v>
      </c>
      <c r="N463" s="63" t="s">
        <v>1300</v>
      </c>
      <c r="O463" s="64" t="s">
        <v>521</v>
      </c>
    </row>
    <row r="464" spans="9:15" x14ac:dyDescent="0.45">
      <c r="I464"/>
      <c r="J464"/>
      <c r="M464" s="62" t="s">
        <v>1301</v>
      </c>
      <c r="N464" s="63" t="s">
        <v>1302</v>
      </c>
      <c r="O464" s="64" t="s">
        <v>330</v>
      </c>
    </row>
    <row r="465" spans="9:15" x14ac:dyDescent="0.45">
      <c r="I465"/>
      <c r="J465"/>
      <c r="M465" s="62" t="s">
        <v>1303</v>
      </c>
      <c r="N465" s="63" t="s">
        <v>1304</v>
      </c>
      <c r="O465" s="64" t="s">
        <v>330</v>
      </c>
    </row>
    <row r="466" spans="9:15" x14ac:dyDescent="0.45">
      <c r="I466"/>
      <c r="J466"/>
      <c r="M466" s="62" t="s">
        <v>1305</v>
      </c>
      <c r="N466" s="63" t="s">
        <v>1306</v>
      </c>
      <c r="O466" s="64" t="s">
        <v>330</v>
      </c>
    </row>
    <row r="467" spans="9:15" x14ac:dyDescent="0.45">
      <c r="I467"/>
      <c r="J467"/>
      <c r="M467" s="62" t="s">
        <v>1307</v>
      </c>
      <c r="N467" s="63" t="s">
        <v>1308</v>
      </c>
      <c r="O467" s="64" t="s">
        <v>453</v>
      </c>
    </row>
    <row r="468" spans="9:15" x14ac:dyDescent="0.45">
      <c r="I468"/>
      <c r="J468"/>
      <c r="M468" s="62" t="s">
        <v>1309</v>
      </c>
      <c r="N468" s="63" t="s">
        <v>1310</v>
      </c>
      <c r="O468" s="64" t="s">
        <v>625</v>
      </c>
    </row>
    <row r="469" spans="9:15" x14ac:dyDescent="0.45">
      <c r="I469"/>
      <c r="J469"/>
      <c r="M469" s="62" t="s">
        <v>1311</v>
      </c>
      <c r="N469" s="63" t="s">
        <v>1312</v>
      </c>
      <c r="O469" s="64" t="s">
        <v>330</v>
      </c>
    </row>
    <row r="470" spans="9:15" x14ac:dyDescent="0.45">
      <c r="I470"/>
      <c r="J470"/>
      <c r="M470" s="62" t="s">
        <v>1313</v>
      </c>
      <c r="N470" s="63" t="s">
        <v>1314</v>
      </c>
      <c r="O470" s="64" t="s">
        <v>324</v>
      </c>
    </row>
    <row r="471" spans="9:15" x14ac:dyDescent="0.45">
      <c r="I471"/>
      <c r="J471"/>
      <c r="M471" s="62" t="s">
        <v>1315</v>
      </c>
      <c r="N471" s="63" t="s">
        <v>1316</v>
      </c>
      <c r="O471" s="64" t="s">
        <v>330</v>
      </c>
    </row>
    <row r="472" spans="9:15" x14ac:dyDescent="0.45">
      <c r="I472"/>
      <c r="J472"/>
      <c r="M472" s="62" t="s">
        <v>1317</v>
      </c>
      <c r="N472" s="63" t="s">
        <v>1318</v>
      </c>
      <c r="O472" s="64" t="s">
        <v>330</v>
      </c>
    </row>
    <row r="473" spans="9:15" x14ac:dyDescent="0.45">
      <c r="I473"/>
      <c r="J473"/>
      <c r="M473" s="62" t="s">
        <v>1319</v>
      </c>
      <c r="N473" s="63" t="s">
        <v>1320</v>
      </c>
      <c r="O473" s="64" t="s">
        <v>425</v>
      </c>
    </row>
    <row r="474" spans="9:15" x14ac:dyDescent="0.45">
      <c r="I474"/>
      <c r="J474"/>
      <c r="M474" s="62" t="s">
        <v>1321</v>
      </c>
      <c r="N474" s="63" t="s">
        <v>1322</v>
      </c>
      <c r="O474" s="64" t="s">
        <v>425</v>
      </c>
    </row>
    <row r="475" spans="9:15" x14ac:dyDescent="0.45">
      <c r="I475"/>
      <c r="J475"/>
      <c r="M475" s="62" t="s">
        <v>1323</v>
      </c>
      <c r="N475" s="63" t="s">
        <v>1324</v>
      </c>
      <c r="O475" s="64" t="s">
        <v>330</v>
      </c>
    </row>
    <row r="476" spans="9:15" x14ac:dyDescent="0.45">
      <c r="I476"/>
      <c r="J476"/>
      <c r="M476" s="62" t="s">
        <v>1325</v>
      </c>
      <c r="N476" s="63" t="s">
        <v>1326</v>
      </c>
      <c r="O476" s="64" t="s">
        <v>330</v>
      </c>
    </row>
    <row r="477" spans="9:15" x14ac:dyDescent="0.45">
      <c r="I477"/>
      <c r="J477"/>
      <c r="M477" s="62" t="s">
        <v>1327</v>
      </c>
      <c r="N477" s="63" t="s">
        <v>1328</v>
      </c>
      <c r="O477" s="64" t="s">
        <v>330</v>
      </c>
    </row>
    <row r="478" spans="9:15" x14ac:dyDescent="0.45">
      <c r="I478"/>
      <c r="J478"/>
      <c r="M478" s="62" t="s">
        <v>1329</v>
      </c>
      <c r="N478" s="63" t="s">
        <v>1330</v>
      </c>
      <c r="O478" s="64" t="s">
        <v>549</v>
      </c>
    </row>
    <row r="479" spans="9:15" x14ac:dyDescent="0.45">
      <c r="I479"/>
      <c r="J479"/>
      <c r="M479" s="62" t="s">
        <v>1331</v>
      </c>
      <c r="N479" s="63" t="s">
        <v>1332</v>
      </c>
      <c r="O479" s="64" t="s">
        <v>318</v>
      </c>
    </row>
    <row r="480" spans="9:15" x14ac:dyDescent="0.45">
      <c r="I480"/>
      <c r="J480"/>
      <c r="M480" s="62" t="s">
        <v>1333</v>
      </c>
      <c r="N480" s="63" t="s">
        <v>1334</v>
      </c>
      <c r="O480" s="64" t="s">
        <v>515</v>
      </c>
    </row>
    <row r="481" spans="9:15" x14ac:dyDescent="0.45">
      <c r="I481"/>
      <c r="J481"/>
      <c r="M481" s="62" t="s">
        <v>1335</v>
      </c>
      <c r="N481" s="63" t="s">
        <v>1336</v>
      </c>
      <c r="O481" s="64" t="s">
        <v>425</v>
      </c>
    </row>
    <row r="482" spans="9:15" x14ac:dyDescent="0.45">
      <c r="I482"/>
      <c r="J482"/>
      <c r="M482" s="62" t="s">
        <v>1337</v>
      </c>
      <c r="N482" s="63" t="s">
        <v>1338</v>
      </c>
      <c r="O482" s="64" t="s">
        <v>321</v>
      </c>
    </row>
    <row r="483" spans="9:15" x14ac:dyDescent="0.45">
      <c r="I483"/>
      <c r="J483"/>
      <c r="M483" s="62" t="s">
        <v>1339</v>
      </c>
      <c r="N483" s="63" t="s">
        <v>1340</v>
      </c>
      <c r="O483" s="64" t="s">
        <v>321</v>
      </c>
    </row>
    <row r="484" spans="9:15" x14ac:dyDescent="0.45">
      <c r="I484"/>
      <c r="J484"/>
      <c r="M484" s="62" t="s">
        <v>1341</v>
      </c>
      <c r="N484" s="63" t="s">
        <v>1342</v>
      </c>
      <c r="O484" s="64" t="s">
        <v>327</v>
      </c>
    </row>
    <row r="485" spans="9:15" x14ac:dyDescent="0.45">
      <c r="I485"/>
      <c r="J485"/>
      <c r="M485" s="62" t="s">
        <v>1343</v>
      </c>
      <c r="N485" s="63" t="s">
        <v>1344</v>
      </c>
      <c r="O485" s="64" t="s">
        <v>549</v>
      </c>
    </row>
    <row r="486" spans="9:15" x14ac:dyDescent="0.45">
      <c r="I486"/>
      <c r="J486"/>
      <c r="M486" s="62" t="s">
        <v>1345</v>
      </c>
      <c r="N486" s="63" t="s">
        <v>1346</v>
      </c>
      <c r="O486" s="64" t="s">
        <v>321</v>
      </c>
    </row>
    <row r="487" spans="9:15" x14ac:dyDescent="0.45">
      <c r="I487"/>
      <c r="J487"/>
      <c r="M487" s="62" t="s">
        <v>1347</v>
      </c>
      <c r="N487" s="63" t="s">
        <v>1348</v>
      </c>
      <c r="O487" s="64" t="s">
        <v>330</v>
      </c>
    </row>
    <row r="488" spans="9:15" x14ac:dyDescent="0.45">
      <c r="I488"/>
      <c r="J488"/>
      <c r="M488" s="62" t="s">
        <v>1349</v>
      </c>
      <c r="N488" s="63" t="s">
        <v>1350</v>
      </c>
      <c r="O488" s="64" t="s">
        <v>871</v>
      </c>
    </row>
    <row r="489" spans="9:15" x14ac:dyDescent="0.45">
      <c r="I489"/>
      <c r="J489"/>
      <c r="M489" s="62" t="s">
        <v>1351</v>
      </c>
      <c r="N489" s="63" t="s">
        <v>1352</v>
      </c>
      <c r="O489" s="64" t="s">
        <v>321</v>
      </c>
    </row>
    <row r="490" spans="9:15" x14ac:dyDescent="0.45">
      <c r="I490"/>
      <c r="J490"/>
      <c r="M490" s="62" t="s">
        <v>1353</v>
      </c>
      <c r="N490" s="63" t="s">
        <v>1354</v>
      </c>
      <c r="O490" s="64" t="s">
        <v>344</v>
      </c>
    </row>
    <row r="491" spans="9:15" x14ac:dyDescent="0.45">
      <c r="I491"/>
      <c r="J491"/>
      <c r="M491" s="62" t="s">
        <v>1355</v>
      </c>
      <c r="N491" s="63" t="s">
        <v>1356</v>
      </c>
      <c r="O491" s="64" t="s">
        <v>321</v>
      </c>
    </row>
    <row r="492" spans="9:15" x14ac:dyDescent="0.45">
      <c r="I492"/>
      <c r="J492"/>
      <c r="M492" s="62" t="s">
        <v>1357</v>
      </c>
      <c r="N492" s="63" t="s">
        <v>1358</v>
      </c>
      <c r="O492" s="64" t="s">
        <v>330</v>
      </c>
    </row>
    <row r="493" spans="9:15" x14ac:dyDescent="0.45">
      <c r="I493"/>
      <c r="J493"/>
      <c r="M493" s="62" t="s">
        <v>1359</v>
      </c>
      <c r="N493" s="63" t="s">
        <v>1360</v>
      </c>
      <c r="O493" s="64" t="s">
        <v>330</v>
      </c>
    </row>
    <row r="494" spans="9:15" x14ac:dyDescent="0.45">
      <c r="I494"/>
      <c r="J494"/>
      <c r="M494" s="62" t="s">
        <v>1361</v>
      </c>
      <c r="N494" s="63" t="s">
        <v>1362</v>
      </c>
      <c r="O494" s="64" t="s">
        <v>625</v>
      </c>
    </row>
    <row r="495" spans="9:15" x14ac:dyDescent="0.45">
      <c r="I495"/>
      <c r="J495"/>
      <c r="M495" s="62" t="s">
        <v>1363</v>
      </c>
      <c r="N495" s="63" t="s">
        <v>1364</v>
      </c>
      <c r="O495" s="64" t="s">
        <v>330</v>
      </c>
    </row>
    <row r="496" spans="9:15" x14ac:dyDescent="0.45">
      <c r="I496"/>
      <c r="J496"/>
      <c r="M496" s="71" t="s">
        <v>1365</v>
      </c>
      <c r="N496" s="72" t="s">
        <v>1366</v>
      </c>
      <c r="O496" s="64" t="s">
        <v>330</v>
      </c>
    </row>
    <row r="497" spans="9:15" x14ac:dyDescent="0.45">
      <c r="I497"/>
      <c r="J497"/>
      <c r="M497" s="62" t="s">
        <v>1367</v>
      </c>
      <c r="N497" s="63" t="s">
        <v>1368</v>
      </c>
      <c r="O497" s="64" t="s">
        <v>330</v>
      </c>
    </row>
    <row r="498" spans="9:15" x14ac:dyDescent="0.45">
      <c r="I498"/>
      <c r="J498"/>
      <c r="M498" s="62" t="s">
        <v>1369</v>
      </c>
      <c r="N498" s="63" t="s">
        <v>1370</v>
      </c>
      <c r="O498" s="64" t="s">
        <v>1254</v>
      </c>
    </row>
    <row r="499" spans="9:15" x14ac:dyDescent="0.45">
      <c r="I499"/>
      <c r="J499"/>
      <c r="M499" s="62" t="s">
        <v>1371</v>
      </c>
      <c r="N499" s="63" t="s">
        <v>1372</v>
      </c>
      <c r="O499" s="64" t="s">
        <v>330</v>
      </c>
    </row>
    <row r="500" spans="9:15" x14ac:dyDescent="0.45">
      <c r="I500"/>
      <c r="J500"/>
      <c r="M500" s="62" t="s">
        <v>1373</v>
      </c>
      <c r="N500" s="63" t="s">
        <v>1374</v>
      </c>
      <c r="O500" s="64" t="s">
        <v>330</v>
      </c>
    </row>
    <row r="501" spans="9:15" x14ac:dyDescent="0.45">
      <c r="I501"/>
      <c r="J501"/>
      <c r="M501" s="62" t="s">
        <v>1375</v>
      </c>
      <c r="N501" s="63" t="s">
        <v>1376</v>
      </c>
      <c r="O501" s="64" t="s">
        <v>330</v>
      </c>
    </row>
    <row r="502" spans="9:15" x14ac:dyDescent="0.45">
      <c r="I502"/>
      <c r="J502"/>
      <c r="M502" s="62" t="s">
        <v>1377</v>
      </c>
      <c r="N502" s="63" t="s">
        <v>1378</v>
      </c>
      <c r="O502" s="64" t="s">
        <v>330</v>
      </c>
    </row>
    <row r="503" spans="9:15" x14ac:dyDescent="0.45">
      <c r="I503"/>
      <c r="J503"/>
      <c r="M503" s="62" t="s">
        <v>1379</v>
      </c>
      <c r="N503" s="63" t="s">
        <v>1380</v>
      </c>
      <c r="O503" s="64" t="s">
        <v>330</v>
      </c>
    </row>
    <row r="504" spans="9:15" x14ac:dyDescent="0.45">
      <c r="I504"/>
      <c r="J504"/>
      <c r="M504" s="62" t="s">
        <v>1381</v>
      </c>
      <c r="N504" s="63" t="s">
        <v>1382</v>
      </c>
      <c r="O504" s="64" t="s">
        <v>414</v>
      </c>
    </row>
    <row r="505" spans="9:15" x14ac:dyDescent="0.45">
      <c r="I505"/>
      <c r="J505"/>
      <c r="M505" s="62" t="s">
        <v>1383</v>
      </c>
      <c r="N505" s="63" t="s">
        <v>1384</v>
      </c>
      <c r="O505" s="64" t="s">
        <v>327</v>
      </c>
    </row>
    <row r="506" spans="9:15" x14ac:dyDescent="0.45">
      <c r="I506"/>
      <c r="J506"/>
      <c r="M506" s="62" t="s">
        <v>1385</v>
      </c>
      <c r="N506" s="63" t="s">
        <v>1386</v>
      </c>
      <c r="O506" s="64" t="s">
        <v>318</v>
      </c>
    </row>
    <row r="507" spans="9:15" x14ac:dyDescent="0.45">
      <c r="I507"/>
      <c r="J507"/>
      <c r="M507" s="62" t="s">
        <v>1387</v>
      </c>
      <c r="N507" s="63" t="s">
        <v>1388</v>
      </c>
      <c r="O507" s="64" t="s">
        <v>1125</v>
      </c>
    </row>
    <row r="508" spans="9:15" x14ac:dyDescent="0.45">
      <c r="I508"/>
      <c r="J508"/>
      <c r="M508" s="62" t="s">
        <v>1389</v>
      </c>
      <c r="N508" s="63" t="s">
        <v>1390</v>
      </c>
      <c r="O508" s="64" t="s">
        <v>632</v>
      </c>
    </row>
    <row r="509" spans="9:15" x14ac:dyDescent="0.45">
      <c r="I509"/>
      <c r="J509"/>
      <c r="M509" s="62" t="s">
        <v>1391</v>
      </c>
      <c r="N509" s="63" t="s">
        <v>1392</v>
      </c>
      <c r="O509" s="64" t="s">
        <v>532</v>
      </c>
    </row>
    <row r="510" spans="9:15" x14ac:dyDescent="0.45">
      <c r="I510"/>
      <c r="J510"/>
      <c r="M510" s="62" t="s">
        <v>1393</v>
      </c>
      <c r="N510" s="63" t="s">
        <v>1394</v>
      </c>
      <c r="O510" s="64" t="s">
        <v>515</v>
      </c>
    </row>
    <row r="511" spans="9:15" x14ac:dyDescent="0.45">
      <c r="I511"/>
      <c r="J511"/>
      <c r="M511" s="71" t="s">
        <v>1395</v>
      </c>
      <c r="N511" s="72" t="s">
        <v>1396</v>
      </c>
      <c r="O511" s="72" t="s">
        <v>330</v>
      </c>
    </row>
    <row r="512" spans="9:15" x14ac:dyDescent="0.45">
      <c r="I512"/>
      <c r="J512"/>
      <c r="M512" s="62" t="s">
        <v>1397</v>
      </c>
      <c r="N512" s="63" t="s">
        <v>1398</v>
      </c>
      <c r="O512" s="64" t="s">
        <v>330</v>
      </c>
    </row>
    <row r="513" spans="9:15" x14ac:dyDescent="0.45">
      <c r="I513"/>
      <c r="J513"/>
      <c r="M513" s="62" t="s">
        <v>1399</v>
      </c>
      <c r="N513" s="63" t="s">
        <v>1400</v>
      </c>
      <c r="O513" s="64" t="s">
        <v>330</v>
      </c>
    </row>
    <row r="514" spans="9:15" x14ac:dyDescent="0.45">
      <c r="I514"/>
      <c r="J514"/>
      <c r="M514" s="62" t="s">
        <v>1401</v>
      </c>
      <c r="N514" s="63" t="s">
        <v>1402</v>
      </c>
      <c r="O514" s="64" t="s">
        <v>327</v>
      </c>
    </row>
    <row r="515" spans="9:15" x14ac:dyDescent="0.45">
      <c r="I515"/>
      <c r="J515"/>
      <c r="M515" s="62" t="s">
        <v>1403</v>
      </c>
      <c r="N515" s="63" t="s">
        <v>1404</v>
      </c>
      <c r="O515" s="64" t="s">
        <v>330</v>
      </c>
    </row>
    <row r="516" spans="9:15" x14ac:dyDescent="0.45">
      <c r="I516"/>
      <c r="J516"/>
      <c r="M516" s="62" t="s">
        <v>1405</v>
      </c>
      <c r="N516" s="63" t="s">
        <v>1406</v>
      </c>
      <c r="O516" s="64" t="s">
        <v>330</v>
      </c>
    </row>
    <row r="517" spans="9:15" x14ac:dyDescent="0.45">
      <c r="I517"/>
      <c r="J517"/>
      <c r="M517" s="62" t="s">
        <v>1407</v>
      </c>
      <c r="N517" s="63" t="s">
        <v>1408</v>
      </c>
      <c r="O517" s="64" t="s">
        <v>318</v>
      </c>
    </row>
    <row r="518" spans="9:15" x14ac:dyDescent="0.45">
      <c r="I518"/>
      <c r="J518"/>
      <c r="M518" s="62" t="s">
        <v>1409</v>
      </c>
      <c r="N518" s="63" t="s">
        <v>1410</v>
      </c>
      <c r="O518" s="64" t="s">
        <v>330</v>
      </c>
    </row>
    <row r="519" spans="9:15" x14ac:dyDescent="0.45">
      <c r="I519"/>
      <c r="J519"/>
      <c r="M519" s="62" t="s">
        <v>1411</v>
      </c>
      <c r="N519" s="63" t="s">
        <v>1412</v>
      </c>
      <c r="O519" s="64" t="s">
        <v>330</v>
      </c>
    </row>
    <row r="520" spans="9:15" x14ac:dyDescent="0.45">
      <c r="I520"/>
      <c r="J520"/>
      <c r="M520" s="62" t="s">
        <v>1413</v>
      </c>
      <c r="N520" s="63" t="s">
        <v>1414</v>
      </c>
      <c r="O520" s="64" t="s">
        <v>324</v>
      </c>
    </row>
    <row r="521" spans="9:15" x14ac:dyDescent="0.45">
      <c r="I521"/>
      <c r="J521"/>
      <c r="M521" s="62" t="s">
        <v>1415</v>
      </c>
      <c r="N521" s="63" t="s">
        <v>1416</v>
      </c>
      <c r="O521" s="64" t="s">
        <v>330</v>
      </c>
    </row>
    <row r="522" spans="9:15" x14ac:dyDescent="0.45">
      <c r="I522"/>
      <c r="J522"/>
      <c r="M522" s="62" t="s">
        <v>1417</v>
      </c>
      <c r="N522" s="63" t="s">
        <v>1418</v>
      </c>
      <c r="O522" s="64" t="s">
        <v>318</v>
      </c>
    </row>
    <row r="523" spans="9:15" x14ac:dyDescent="0.45">
      <c r="I523"/>
      <c r="J523"/>
      <c r="M523" s="62" t="s">
        <v>1419</v>
      </c>
      <c r="N523" s="63" t="s">
        <v>1420</v>
      </c>
      <c r="O523" s="64" t="s">
        <v>330</v>
      </c>
    </row>
    <row r="524" spans="9:15" x14ac:dyDescent="0.45">
      <c r="I524"/>
      <c r="J524"/>
      <c r="M524" s="62" t="s">
        <v>1421</v>
      </c>
      <c r="N524" s="63" t="s">
        <v>1422</v>
      </c>
      <c r="O524" s="64" t="s">
        <v>330</v>
      </c>
    </row>
    <row r="525" spans="9:15" x14ac:dyDescent="0.45">
      <c r="I525"/>
      <c r="J525"/>
      <c r="M525" s="62" t="s">
        <v>1423</v>
      </c>
      <c r="N525" s="63" t="s">
        <v>1424</v>
      </c>
      <c r="O525" s="64" t="s">
        <v>330</v>
      </c>
    </row>
    <row r="526" spans="9:15" x14ac:dyDescent="0.45">
      <c r="I526"/>
      <c r="J526"/>
      <c r="M526" s="62" t="s">
        <v>1425</v>
      </c>
      <c r="N526" s="63" t="s">
        <v>1426</v>
      </c>
      <c r="O526" s="64" t="s">
        <v>480</v>
      </c>
    </row>
    <row r="527" spans="9:15" x14ac:dyDescent="0.45">
      <c r="I527"/>
      <c r="J527"/>
      <c r="M527" s="62" t="s">
        <v>1427</v>
      </c>
      <c r="N527" s="63" t="s">
        <v>1428</v>
      </c>
      <c r="O527" s="64" t="s">
        <v>330</v>
      </c>
    </row>
    <row r="528" spans="9:15" x14ac:dyDescent="0.45">
      <c r="I528"/>
      <c r="J528"/>
      <c r="M528" s="62" t="s">
        <v>1429</v>
      </c>
      <c r="N528" s="63" t="s">
        <v>1430</v>
      </c>
      <c r="O528" s="64" t="s">
        <v>1431</v>
      </c>
    </row>
    <row r="529" spans="9:15" x14ac:dyDescent="0.45">
      <c r="I529"/>
      <c r="J529"/>
      <c r="M529" s="62" t="s">
        <v>1432</v>
      </c>
      <c r="N529" s="63" t="s">
        <v>1433</v>
      </c>
      <c r="O529" s="64" t="s">
        <v>330</v>
      </c>
    </row>
    <row r="530" spans="9:15" x14ac:dyDescent="0.45">
      <c r="I530"/>
      <c r="J530"/>
      <c r="M530" s="62" t="s">
        <v>1434</v>
      </c>
      <c r="N530" s="63" t="s">
        <v>1435</v>
      </c>
      <c r="O530" s="64" t="s">
        <v>330</v>
      </c>
    </row>
    <row r="531" spans="9:15" x14ac:dyDescent="0.45">
      <c r="I531"/>
      <c r="J531"/>
      <c r="M531" s="62" t="s">
        <v>1436</v>
      </c>
      <c r="N531" s="63" t="s">
        <v>1437</v>
      </c>
      <c r="O531" s="64" t="s">
        <v>330</v>
      </c>
    </row>
    <row r="532" spans="9:15" x14ac:dyDescent="0.45">
      <c r="I532"/>
      <c r="J532"/>
      <c r="M532" s="62" t="s">
        <v>1438</v>
      </c>
      <c r="N532" s="63" t="s">
        <v>1439</v>
      </c>
      <c r="O532" s="64" t="s">
        <v>321</v>
      </c>
    </row>
    <row r="533" spans="9:15" x14ac:dyDescent="0.45">
      <c r="I533"/>
      <c r="J533"/>
      <c r="M533" s="62" t="s">
        <v>1440</v>
      </c>
      <c r="N533" s="63" t="s">
        <v>1441</v>
      </c>
      <c r="O533" s="64" t="s">
        <v>509</v>
      </c>
    </row>
    <row r="534" spans="9:15" x14ac:dyDescent="0.45">
      <c r="I534"/>
      <c r="J534"/>
      <c r="M534" s="62" t="s">
        <v>1442</v>
      </c>
      <c r="N534" s="63" t="s">
        <v>1443</v>
      </c>
      <c r="O534" s="64" t="s">
        <v>330</v>
      </c>
    </row>
    <row r="535" spans="9:15" x14ac:dyDescent="0.45">
      <c r="I535"/>
      <c r="J535"/>
      <c r="M535" s="62" t="s">
        <v>1444</v>
      </c>
      <c r="N535" s="63" t="s">
        <v>1445</v>
      </c>
      <c r="O535" s="64" t="s">
        <v>425</v>
      </c>
    </row>
    <row r="536" spans="9:15" x14ac:dyDescent="0.45">
      <c r="I536"/>
      <c r="J536"/>
      <c r="M536" s="62" t="s">
        <v>1446</v>
      </c>
      <c r="N536" s="63" t="s">
        <v>1447</v>
      </c>
      <c r="O536" s="64" t="s">
        <v>330</v>
      </c>
    </row>
    <row r="537" spans="9:15" x14ac:dyDescent="0.45">
      <c r="I537"/>
      <c r="J537"/>
      <c r="M537" s="75" t="s">
        <v>1448</v>
      </c>
      <c r="N537" s="76" t="s">
        <v>1449</v>
      </c>
      <c r="O537" s="77" t="s">
        <v>1450</v>
      </c>
    </row>
    <row r="538" spans="9:15" x14ac:dyDescent="0.45">
      <c r="I538"/>
      <c r="J538"/>
      <c r="M538" s="62" t="s">
        <v>1451</v>
      </c>
      <c r="N538" s="63" t="s">
        <v>1452</v>
      </c>
      <c r="O538" s="64" t="s">
        <v>330</v>
      </c>
    </row>
    <row r="539" spans="9:15" x14ac:dyDescent="0.45">
      <c r="I539"/>
      <c r="J539"/>
      <c r="M539" s="62" t="s">
        <v>1453</v>
      </c>
      <c r="N539" s="63" t="s">
        <v>1454</v>
      </c>
      <c r="O539" s="64" t="s">
        <v>1455</v>
      </c>
    </row>
    <row r="540" spans="9:15" x14ac:dyDescent="0.45">
      <c r="I540"/>
      <c r="J540"/>
      <c r="M540" s="62" t="s">
        <v>1456</v>
      </c>
      <c r="N540" s="63" t="s">
        <v>1457</v>
      </c>
      <c r="O540" s="64" t="s">
        <v>327</v>
      </c>
    </row>
    <row r="541" spans="9:15" x14ac:dyDescent="0.45">
      <c r="I541"/>
      <c r="J541"/>
      <c r="M541" s="62" t="s">
        <v>1458</v>
      </c>
      <c r="N541" s="63" t="s">
        <v>1459</v>
      </c>
      <c r="O541" s="64" t="s">
        <v>743</v>
      </c>
    </row>
    <row r="542" spans="9:15" x14ac:dyDescent="0.45">
      <c r="I542"/>
      <c r="J542"/>
      <c r="M542" s="62" t="s">
        <v>1460</v>
      </c>
      <c r="N542" s="63" t="s">
        <v>1461</v>
      </c>
      <c r="O542" s="64" t="s">
        <v>330</v>
      </c>
    </row>
    <row r="543" spans="9:15" x14ac:dyDescent="0.45">
      <c r="I543"/>
      <c r="J543"/>
      <c r="M543" s="62" t="s">
        <v>1462</v>
      </c>
      <c r="N543" s="63" t="s">
        <v>1463</v>
      </c>
      <c r="O543" s="64" t="s">
        <v>330</v>
      </c>
    </row>
    <row r="544" spans="9:15" x14ac:dyDescent="0.45">
      <c r="I544"/>
      <c r="J544"/>
      <c r="M544" s="62" t="s">
        <v>1464</v>
      </c>
      <c r="N544" s="63" t="s">
        <v>1465</v>
      </c>
      <c r="O544" s="64" t="s">
        <v>327</v>
      </c>
    </row>
    <row r="545" spans="9:15" x14ac:dyDescent="0.45">
      <c r="I545"/>
      <c r="J545"/>
      <c r="M545" s="62" t="s">
        <v>1466</v>
      </c>
      <c r="N545" s="63" t="s">
        <v>1467</v>
      </c>
      <c r="O545" s="64" t="s">
        <v>318</v>
      </c>
    </row>
    <row r="546" spans="9:15" x14ac:dyDescent="0.45">
      <c r="I546"/>
      <c r="J546"/>
      <c r="M546" s="62" t="s">
        <v>1468</v>
      </c>
      <c r="N546" s="63" t="s">
        <v>1469</v>
      </c>
      <c r="O546" s="64" t="s">
        <v>625</v>
      </c>
    </row>
    <row r="547" spans="9:15" x14ac:dyDescent="0.45">
      <c r="I547"/>
      <c r="J547"/>
      <c r="M547" s="62" t="s">
        <v>1470</v>
      </c>
      <c r="N547" s="63" t="s">
        <v>1471</v>
      </c>
      <c r="O547" s="64" t="s">
        <v>327</v>
      </c>
    </row>
    <row r="548" spans="9:15" x14ac:dyDescent="0.45">
      <c r="I548"/>
      <c r="J548"/>
      <c r="M548" s="62" t="s">
        <v>1472</v>
      </c>
      <c r="N548" s="63" t="s">
        <v>1473</v>
      </c>
      <c r="O548" s="64" t="s">
        <v>403</v>
      </c>
    </row>
    <row r="549" spans="9:15" x14ac:dyDescent="0.45">
      <c r="I549"/>
      <c r="J549"/>
      <c r="M549" s="62" t="s">
        <v>1474</v>
      </c>
      <c r="N549" s="63" t="s">
        <v>1475</v>
      </c>
      <c r="O549" s="64" t="s">
        <v>324</v>
      </c>
    </row>
    <row r="550" spans="9:15" x14ac:dyDescent="0.45">
      <c r="I550"/>
      <c r="J550"/>
      <c r="M550" s="62" t="s">
        <v>1476</v>
      </c>
      <c r="N550" s="63" t="s">
        <v>1477</v>
      </c>
      <c r="O550" s="64" t="s">
        <v>330</v>
      </c>
    </row>
    <row r="551" spans="9:15" x14ac:dyDescent="0.45">
      <c r="I551"/>
      <c r="J551"/>
      <c r="M551" s="62" t="s">
        <v>1478</v>
      </c>
      <c r="N551" s="63" t="s">
        <v>1479</v>
      </c>
      <c r="O551" s="64" t="s">
        <v>324</v>
      </c>
    </row>
    <row r="552" spans="9:15" x14ac:dyDescent="0.45">
      <c r="I552"/>
      <c r="J552"/>
      <c r="M552" s="62" t="s">
        <v>1480</v>
      </c>
      <c r="N552" s="63" t="s">
        <v>1481</v>
      </c>
      <c r="O552" s="64" t="s">
        <v>876</v>
      </c>
    </row>
    <row r="553" spans="9:15" x14ac:dyDescent="0.45">
      <c r="I553"/>
      <c r="J553"/>
      <c r="M553" s="62" t="s">
        <v>1482</v>
      </c>
      <c r="N553" s="63" t="s">
        <v>1483</v>
      </c>
      <c r="O553" s="64" t="s">
        <v>509</v>
      </c>
    </row>
    <row r="554" spans="9:15" x14ac:dyDescent="0.45">
      <c r="I554"/>
      <c r="J554"/>
      <c r="M554" s="62" t="s">
        <v>1484</v>
      </c>
      <c r="N554" s="63" t="s">
        <v>1485</v>
      </c>
      <c r="O554" s="64" t="s">
        <v>344</v>
      </c>
    </row>
    <row r="555" spans="9:15" x14ac:dyDescent="0.45">
      <c r="I555"/>
      <c r="J555"/>
      <c r="M555" s="62" t="s">
        <v>1486</v>
      </c>
      <c r="N555" s="63" t="s">
        <v>1487</v>
      </c>
      <c r="O555" s="64" t="s">
        <v>324</v>
      </c>
    </row>
    <row r="556" spans="9:15" x14ac:dyDescent="0.45">
      <c r="I556"/>
      <c r="J556"/>
      <c r="M556" s="62" t="s">
        <v>1488</v>
      </c>
      <c r="N556" s="63" t="s">
        <v>1489</v>
      </c>
      <c r="O556" s="64" t="s">
        <v>330</v>
      </c>
    </row>
    <row r="557" spans="9:15" x14ac:dyDescent="0.45">
      <c r="I557"/>
      <c r="J557"/>
      <c r="M557" s="62" t="s">
        <v>1490</v>
      </c>
      <c r="N557" s="63" t="s">
        <v>1491</v>
      </c>
      <c r="O557" s="64" t="s">
        <v>330</v>
      </c>
    </row>
    <row r="558" spans="9:15" x14ac:dyDescent="0.45">
      <c r="I558"/>
      <c r="J558"/>
      <c r="M558" s="62" t="s">
        <v>1492</v>
      </c>
      <c r="N558" s="63" t="s">
        <v>1493</v>
      </c>
      <c r="O558" s="64" t="s">
        <v>330</v>
      </c>
    </row>
    <row r="559" spans="9:15" x14ac:dyDescent="0.45">
      <c r="I559"/>
      <c r="J559"/>
      <c r="M559" s="62" t="s">
        <v>1494</v>
      </c>
      <c r="N559" s="63" t="s">
        <v>1495</v>
      </c>
      <c r="O559" s="64" t="s">
        <v>1496</v>
      </c>
    </row>
    <row r="560" spans="9:15" x14ac:dyDescent="0.45">
      <c r="I560"/>
      <c r="J560"/>
      <c r="M560" s="75" t="s">
        <v>1497</v>
      </c>
      <c r="N560" s="76" t="s">
        <v>1498</v>
      </c>
      <c r="O560" s="77" t="s">
        <v>344</v>
      </c>
    </row>
    <row r="561" spans="9:15" x14ac:dyDescent="0.45">
      <c r="I561"/>
      <c r="J561"/>
      <c r="M561" s="62" t="s">
        <v>1499</v>
      </c>
      <c r="N561" s="63" t="s">
        <v>1500</v>
      </c>
      <c r="O561" s="64" t="s">
        <v>330</v>
      </c>
    </row>
    <row r="562" spans="9:15" x14ac:dyDescent="0.45">
      <c r="I562"/>
      <c r="J562"/>
      <c r="M562" s="62" t="s">
        <v>1501</v>
      </c>
      <c r="N562" s="63" t="s">
        <v>1502</v>
      </c>
      <c r="O562" s="64" t="s">
        <v>1237</v>
      </c>
    </row>
    <row r="563" spans="9:15" x14ac:dyDescent="0.45">
      <c r="I563"/>
      <c r="J563"/>
      <c r="M563" s="83" t="s">
        <v>1503</v>
      </c>
      <c r="N563" s="84" t="s">
        <v>1504</v>
      </c>
      <c r="O563" s="64" t="s">
        <v>321</v>
      </c>
    </row>
    <row r="564" spans="9:15" x14ac:dyDescent="0.45">
      <c r="I564"/>
      <c r="J564"/>
      <c r="M564" s="62" t="s">
        <v>1505</v>
      </c>
      <c r="N564" s="63" t="s">
        <v>1506</v>
      </c>
      <c r="O564" s="64" t="s">
        <v>330</v>
      </c>
    </row>
    <row r="565" spans="9:15" x14ac:dyDescent="0.45">
      <c r="I565"/>
      <c r="J565"/>
      <c r="M565" s="62" t="s">
        <v>1507</v>
      </c>
      <c r="N565" s="63" t="s">
        <v>1508</v>
      </c>
      <c r="O565" s="64" t="s">
        <v>318</v>
      </c>
    </row>
    <row r="566" spans="9:15" x14ac:dyDescent="0.45">
      <c r="I566"/>
      <c r="J566"/>
      <c r="M566" s="62" t="s">
        <v>1509</v>
      </c>
      <c r="N566" s="63" t="s">
        <v>1510</v>
      </c>
      <c r="O566" s="64" t="s">
        <v>359</v>
      </c>
    </row>
    <row r="567" spans="9:15" x14ac:dyDescent="0.45">
      <c r="I567"/>
      <c r="J567"/>
      <c r="M567" s="62" t="s">
        <v>1511</v>
      </c>
      <c r="N567" s="63" t="s">
        <v>1512</v>
      </c>
      <c r="O567" s="64" t="s">
        <v>613</v>
      </c>
    </row>
    <row r="568" spans="9:15" x14ac:dyDescent="0.45">
      <c r="I568"/>
      <c r="J568"/>
      <c r="M568" s="62" t="s">
        <v>1513</v>
      </c>
      <c r="N568" s="63" t="s">
        <v>1514</v>
      </c>
      <c r="O568" s="64" t="s">
        <v>330</v>
      </c>
    </row>
    <row r="569" spans="9:15" x14ac:dyDescent="0.45">
      <c r="I569"/>
      <c r="J569"/>
      <c r="M569" s="62" t="s">
        <v>1515</v>
      </c>
      <c r="N569" s="63" t="s">
        <v>1516</v>
      </c>
      <c r="O569" s="64" t="s">
        <v>876</v>
      </c>
    </row>
    <row r="570" spans="9:15" x14ac:dyDescent="0.45">
      <c r="I570"/>
      <c r="J570"/>
      <c r="M570" s="62" t="s">
        <v>1517</v>
      </c>
      <c r="N570" s="63" t="s">
        <v>1518</v>
      </c>
      <c r="O570" s="64" t="s">
        <v>318</v>
      </c>
    </row>
    <row r="571" spans="9:15" x14ac:dyDescent="0.45">
      <c r="I571"/>
      <c r="J571"/>
      <c r="M571" s="62" t="s">
        <v>1519</v>
      </c>
      <c r="N571" s="63" t="s">
        <v>1520</v>
      </c>
      <c r="O571" s="64" t="s">
        <v>330</v>
      </c>
    </row>
    <row r="572" spans="9:15" x14ac:dyDescent="0.45">
      <c r="I572"/>
      <c r="J572"/>
      <c r="M572" s="62" t="s">
        <v>1521</v>
      </c>
      <c r="N572" s="63" t="s">
        <v>1522</v>
      </c>
      <c r="O572" s="64" t="s">
        <v>344</v>
      </c>
    </row>
    <row r="573" spans="9:15" x14ac:dyDescent="0.45">
      <c r="I573"/>
      <c r="J573"/>
      <c r="M573" s="62" t="s">
        <v>1523</v>
      </c>
      <c r="N573" s="63" t="s">
        <v>1524</v>
      </c>
      <c r="O573" s="64" t="s">
        <v>632</v>
      </c>
    </row>
    <row r="574" spans="9:15" x14ac:dyDescent="0.45">
      <c r="I574"/>
      <c r="J574"/>
      <c r="M574" s="62" t="s">
        <v>1525</v>
      </c>
      <c r="N574" s="63" t="s">
        <v>1526</v>
      </c>
      <c r="O574" s="64" t="s">
        <v>330</v>
      </c>
    </row>
    <row r="575" spans="9:15" x14ac:dyDescent="0.45">
      <c r="I575"/>
      <c r="J575"/>
      <c r="M575" s="62" t="s">
        <v>1527</v>
      </c>
      <c r="N575" s="63" t="s">
        <v>1528</v>
      </c>
      <c r="O575" s="64" t="s">
        <v>344</v>
      </c>
    </row>
    <row r="576" spans="9:15" x14ac:dyDescent="0.45">
      <c r="I576"/>
      <c r="J576"/>
      <c r="M576" s="62" t="s">
        <v>1529</v>
      </c>
      <c r="N576" s="63" t="s">
        <v>1530</v>
      </c>
      <c r="O576" s="64" t="s">
        <v>625</v>
      </c>
    </row>
    <row r="577" spans="9:15" x14ac:dyDescent="0.45">
      <c r="I577"/>
      <c r="J577"/>
      <c r="M577" s="85" t="s">
        <v>1531</v>
      </c>
      <c r="N577" s="86" t="s">
        <v>1532</v>
      </c>
      <c r="O577" s="86" t="s">
        <v>632</v>
      </c>
    </row>
    <row r="578" spans="9:15" x14ac:dyDescent="0.45">
      <c r="I578"/>
      <c r="J578"/>
      <c r="M578" s="62" t="s">
        <v>1533</v>
      </c>
      <c r="N578" s="63" t="s">
        <v>1534</v>
      </c>
      <c r="O578" s="64" t="s">
        <v>1254</v>
      </c>
    </row>
    <row r="579" spans="9:15" x14ac:dyDescent="0.45">
      <c r="I579"/>
      <c r="J579"/>
      <c r="M579" s="62" t="s">
        <v>1535</v>
      </c>
      <c r="N579" s="63" t="s">
        <v>1536</v>
      </c>
      <c r="O579" s="64" t="s">
        <v>321</v>
      </c>
    </row>
    <row r="580" spans="9:15" x14ac:dyDescent="0.45">
      <c r="I580"/>
      <c r="J580"/>
      <c r="M580" s="62" t="s">
        <v>1537</v>
      </c>
      <c r="N580" s="63" t="s">
        <v>1538</v>
      </c>
      <c r="O580" s="64" t="s">
        <v>324</v>
      </c>
    </row>
    <row r="581" spans="9:15" x14ac:dyDescent="0.45">
      <c r="I581"/>
      <c r="J581"/>
      <c r="M581" s="62" t="s">
        <v>1539</v>
      </c>
      <c r="N581" s="63" t="s">
        <v>1540</v>
      </c>
      <c r="O581" s="64" t="s">
        <v>330</v>
      </c>
    </row>
    <row r="582" spans="9:15" x14ac:dyDescent="0.45">
      <c r="I582"/>
      <c r="J582"/>
      <c r="M582" s="62" t="s">
        <v>1541</v>
      </c>
      <c r="N582" s="63" t="s">
        <v>1542</v>
      </c>
      <c r="O582" s="64" t="s">
        <v>321</v>
      </c>
    </row>
    <row r="583" spans="9:15" x14ac:dyDescent="0.45">
      <c r="I583"/>
      <c r="J583"/>
      <c r="M583" s="62" t="s">
        <v>1543</v>
      </c>
      <c r="N583" s="63" t="s">
        <v>1544</v>
      </c>
      <c r="O583" s="64" t="s">
        <v>403</v>
      </c>
    </row>
    <row r="584" spans="9:15" x14ac:dyDescent="0.45">
      <c r="I584"/>
      <c r="J584"/>
      <c r="M584" s="62" t="s">
        <v>1545</v>
      </c>
      <c r="N584" s="63" t="s">
        <v>1546</v>
      </c>
      <c r="O584" s="64" t="s">
        <v>327</v>
      </c>
    </row>
    <row r="585" spans="9:15" x14ac:dyDescent="0.45">
      <c r="I585"/>
      <c r="J585"/>
      <c r="M585" s="62" t="s">
        <v>1547</v>
      </c>
      <c r="N585" s="63" t="s">
        <v>1548</v>
      </c>
      <c r="O585" s="64" t="s">
        <v>330</v>
      </c>
    </row>
    <row r="586" spans="9:15" x14ac:dyDescent="0.45">
      <c r="I586"/>
      <c r="J586"/>
      <c r="M586" s="62" t="s">
        <v>1549</v>
      </c>
      <c r="N586" s="63" t="s">
        <v>1550</v>
      </c>
      <c r="O586" s="64" t="s">
        <v>549</v>
      </c>
    </row>
    <row r="587" spans="9:15" x14ac:dyDescent="0.45">
      <c r="I587"/>
      <c r="J587"/>
      <c r="M587" s="62" t="s">
        <v>1551</v>
      </c>
      <c r="N587" s="63" t="s">
        <v>1552</v>
      </c>
      <c r="O587" s="64" t="s">
        <v>327</v>
      </c>
    </row>
    <row r="588" spans="9:15" x14ac:dyDescent="0.45">
      <c r="I588"/>
      <c r="J588"/>
      <c r="M588" s="62" t="s">
        <v>1553</v>
      </c>
      <c r="N588" s="63" t="s">
        <v>1554</v>
      </c>
      <c r="O588" s="64" t="s">
        <v>437</v>
      </c>
    </row>
    <row r="589" spans="9:15" x14ac:dyDescent="0.45">
      <c r="I589"/>
      <c r="J589"/>
      <c r="M589" s="62" t="s">
        <v>1555</v>
      </c>
      <c r="N589" s="63" t="s">
        <v>1556</v>
      </c>
      <c r="O589" s="64" t="s">
        <v>723</v>
      </c>
    </row>
    <row r="590" spans="9:15" x14ac:dyDescent="0.45">
      <c r="I590"/>
      <c r="J590"/>
      <c r="M590" s="62" t="s">
        <v>1557</v>
      </c>
      <c r="N590" s="63" t="s">
        <v>1558</v>
      </c>
      <c r="O590" s="64" t="s">
        <v>327</v>
      </c>
    </row>
    <row r="591" spans="9:15" x14ac:dyDescent="0.45">
      <c r="I591"/>
      <c r="J591"/>
      <c r="M591" s="62" t="s">
        <v>1559</v>
      </c>
      <c r="N591" s="63" t="s">
        <v>1560</v>
      </c>
      <c r="O591" s="64" t="s">
        <v>330</v>
      </c>
    </row>
    <row r="592" spans="9:15" x14ac:dyDescent="0.45">
      <c r="I592"/>
      <c r="J592"/>
      <c r="M592" s="62" t="s">
        <v>1561</v>
      </c>
      <c r="N592" s="63" t="s">
        <v>1562</v>
      </c>
      <c r="O592" s="64" t="s">
        <v>632</v>
      </c>
    </row>
    <row r="593" spans="9:15" x14ac:dyDescent="0.45">
      <c r="I593"/>
      <c r="J593"/>
      <c r="M593" s="62" t="s">
        <v>1563</v>
      </c>
      <c r="N593" s="63" t="s">
        <v>1564</v>
      </c>
      <c r="O593" s="64" t="s">
        <v>330</v>
      </c>
    </row>
    <row r="594" spans="9:15" x14ac:dyDescent="0.45">
      <c r="I594"/>
      <c r="J594"/>
      <c r="M594" s="62" t="s">
        <v>1565</v>
      </c>
      <c r="N594" s="63" t="s">
        <v>1566</v>
      </c>
      <c r="O594" s="64" t="s">
        <v>330</v>
      </c>
    </row>
    <row r="595" spans="9:15" x14ac:dyDescent="0.45">
      <c r="I595"/>
      <c r="J595"/>
      <c r="M595" s="62" t="s">
        <v>1567</v>
      </c>
      <c r="N595" s="63" t="s">
        <v>1568</v>
      </c>
      <c r="O595" s="64" t="s">
        <v>318</v>
      </c>
    </row>
    <row r="596" spans="9:15" x14ac:dyDescent="0.45">
      <c r="I596"/>
      <c r="J596"/>
      <c r="M596" s="62" t="s">
        <v>1569</v>
      </c>
      <c r="N596" s="63" t="s">
        <v>1570</v>
      </c>
      <c r="O596" s="64" t="s">
        <v>453</v>
      </c>
    </row>
    <row r="597" spans="9:15" x14ac:dyDescent="0.45">
      <c r="I597"/>
      <c r="J597"/>
      <c r="M597" s="62" t="s">
        <v>1571</v>
      </c>
      <c r="N597" s="63" t="s">
        <v>1572</v>
      </c>
      <c r="O597" s="64" t="s">
        <v>549</v>
      </c>
    </row>
    <row r="598" spans="9:15" x14ac:dyDescent="0.45">
      <c r="I598"/>
      <c r="J598"/>
      <c r="M598" s="62" t="s">
        <v>1573</v>
      </c>
      <c r="N598" s="63" t="s">
        <v>1574</v>
      </c>
      <c r="O598" s="64" t="s">
        <v>1056</v>
      </c>
    </row>
    <row r="599" spans="9:15" x14ac:dyDescent="0.45">
      <c r="I599"/>
      <c r="J599"/>
      <c r="M599" s="62" t="s">
        <v>1575</v>
      </c>
      <c r="N599" s="63" t="s">
        <v>1576</v>
      </c>
      <c r="O599" s="64" t="s">
        <v>330</v>
      </c>
    </row>
    <row r="600" spans="9:15" x14ac:dyDescent="0.45">
      <c r="I600"/>
      <c r="J600"/>
      <c r="M600" s="62" t="s">
        <v>1577</v>
      </c>
      <c r="N600" s="63" t="s">
        <v>1578</v>
      </c>
      <c r="O600" s="64" t="s">
        <v>330</v>
      </c>
    </row>
    <row r="601" spans="9:15" x14ac:dyDescent="0.45">
      <c r="I601"/>
      <c r="J601"/>
      <c r="M601" s="62" t="s">
        <v>1579</v>
      </c>
      <c r="N601" s="63" t="s">
        <v>1580</v>
      </c>
      <c r="O601" s="64" t="s">
        <v>723</v>
      </c>
    </row>
    <row r="602" spans="9:15" x14ac:dyDescent="0.45">
      <c r="I602"/>
      <c r="J602"/>
      <c r="M602" s="62" t="s">
        <v>1581</v>
      </c>
      <c r="N602" s="63" t="s">
        <v>1582</v>
      </c>
      <c r="O602" s="64" t="s">
        <v>518</v>
      </c>
    </row>
    <row r="603" spans="9:15" x14ac:dyDescent="0.45">
      <c r="I603"/>
      <c r="J603"/>
      <c r="M603" s="62" t="s">
        <v>1583</v>
      </c>
      <c r="N603" s="63" t="s">
        <v>1584</v>
      </c>
      <c r="O603" s="64" t="s">
        <v>324</v>
      </c>
    </row>
    <row r="604" spans="9:15" x14ac:dyDescent="0.45">
      <c r="I604"/>
      <c r="J604"/>
      <c r="M604" s="62" t="s">
        <v>1585</v>
      </c>
      <c r="N604" s="63" t="s">
        <v>1586</v>
      </c>
      <c r="O604" s="64" t="s">
        <v>330</v>
      </c>
    </row>
    <row r="605" spans="9:15" x14ac:dyDescent="0.45">
      <c r="I605"/>
      <c r="J605"/>
      <c r="M605" s="62" t="s">
        <v>1587</v>
      </c>
      <c r="N605" s="63" t="s">
        <v>1588</v>
      </c>
      <c r="O605" s="64" t="s">
        <v>330</v>
      </c>
    </row>
    <row r="606" spans="9:15" x14ac:dyDescent="0.45">
      <c r="I606"/>
      <c r="J606"/>
      <c r="M606" s="62" t="s">
        <v>1589</v>
      </c>
      <c r="N606" s="63" t="s">
        <v>1590</v>
      </c>
      <c r="O606" s="64" t="s">
        <v>330</v>
      </c>
    </row>
    <row r="607" spans="9:15" x14ac:dyDescent="0.45">
      <c r="I607"/>
      <c r="J607"/>
      <c r="M607" s="62" t="s">
        <v>1591</v>
      </c>
      <c r="N607" s="63" t="s">
        <v>1592</v>
      </c>
      <c r="O607" s="64" t="s">
        <v>330</v>
      </c>
    </row>
    <row r="608" spans="9:15" x14ac:dyDescent="0.45">
      <c r="I608"/>
      <c r="J608"/>
      <c r="M608" s="62" t="s">
        <v>1593</v>
      </c>
      <c r="N608" s="63" t="s">
        <v>1594</v>
      </c>
      <c r="O608" s="64" t="s">
        <v>509</v>
      </c>
    </row>
    <row r="609" spans="9:15" x14ac:dyDescent="0.45">
      <c r="I609"/>
      <c r="J609"/>
      <c r="M609" s="62" t="s">
        <v>1595</v>
      </c>
      <c r="N609" s="63" t="s">
        <v>1596</v>
      </c>
      <c r="O609" s="64" t="s">
        <v>330</v>
      </c>
    </row>
    <row r="610" spans="9:15" x14ac:dyDescent="0.45">
      <c r="I610"/>
      <c r="J610"/>
      <c r="M610" s="62" t="s">
        <v>1597</v>
      </c>
      <c r="N610" s="63" t="s">
        <v>1598</v>
      </c>
      <c r="O610" s="64" t="s">
        <v>344</v>
      </c>
    </row>
    <row r="611" spans="9:15" x14ac:dyDescent="0.45">
      <c r="I611"/>
      <c r="J611"/>
      <c r="M611" s="62" t="s">
        <v>1599</v>
      </c>
      <c r="N611" s="63" t="s">
        <v>1600</v>
      </c>
      <c r="O611" s="64" t="s">
        <v>1601</v>
      </c>
    </row>
    <row r="612" spans="9:15" x14ac:dyDescent="0.45">
      <c r="I612"/>
      <c r="J612"/>
      <c r="M612" s="62" t="s">
        <v>1602</v>
      </c>
      <c r="N612" s="63" t="s">
        <v>1603</v>
      </c>
      <c r="O612" s="64" t="s">
        <v>572</v>
      </c>
    </row>
    <row r="613" spans="9:15" x14ac:dyDescent="0.45">
      <c r="I613"/>
      <c r="J613"/>
      <c r="M613" s="62" t="s">
        <v>1604</v>
      </c>
      <c r="N613" s="63" t="s">
        <v>1605</v>
      </c>
      <c r="O613" s="64" t="s">
        <v>515</v>
      </c>
    </row>
    <row r="614" spans="9:15" x14ac:dyDescent="0.45">
      <c r="I614"/>
      <c r="J614"/>
      <c r="M614" s="62" t="s">
        <v>1606</v>
      </c>
      <c r="N614" s="63" t="s">
        <v>1607</v>
      </c>
      <c r="O614" s="64" t="s">
        <v>330</v>
      </c>
    </row>
    <row r="615" spans="9:15" x14ac:dyDescent="0.45">
      <c r="I615"/>
      <c r="J615"/>
      <c r="M615" s="62" t="s">
        <v>1608</v>
      </c>
      <c r="N615" s="63" t="s">
        <v>1609</v>
      </c>
      <c r="O615" s="64" t="s">
        <v>518</v>
      </c>
    </row>
    <row r="616" spans="9:15" x14ac:dyDescent="0.45">
      <c r="I616"/>
      <c r="J616"/>
      <c r="M616" s="62" t="s">
        <v>1610</v>
      </c>
      <c r="N616" s="63" t="s">
        <v>1611</v>
      </c>
      <c r="O616" s="64" t="s">
        <v>905</v>
      </c>
    </row>
    <row r="617" spans="9:15" x14ac:dyDescent="0.45">
      <c r="I617"/>
      <c r="J617"/>
      <c r="M617" s="62" t="s">
        <v>1612</v>
      </c>
      <c r="N617" s="63" t="s">
        <v>1613</v>
      </c>
      <c r="O617" s="64" t="s">
        <v>509</v>
      </c>
    </row>
    <row r="618" spans="9:15" x14ac:dyDescent="0.45">
      <c r="I618"/>
      <c r="J618"/>
      <c r="M618" s="62" t="s">
        <v>1614</v>
      </c>
      <c r="N618" s="63" t="s">
        <v>1615</v>
      </c>
      <c r="O618" s="64" t="s">
        <v>549</v>
      </c>
    </row>
    <row r="619" spans="9:15" x14ac:dyDescent="0.45">
      <c r="I619"/>
      <c r="J619"/>
      <c r="M619" s="62" t="s">
        <v>1616</v>
      </c>
      <c r="N619" s="63" t="s">
        <v>1617</v>
      </c>
      <c r="O619" s="64" t="s">
        <v>324</v>
      </c>
    </row>
    <row r="620" spans="9:15" x14ac:dyDescent="0.45">
      <c r="I620"/>
      <c r="J620"/>
      <c r="M620" s="62" t="s">
        <v>1618</v>
      </c>
      <c r="N620" s="63" t="s">
        <v>1619</v>
      </c>
      <c r="O620" s="64" t="s">
        <v>330</v>
      </c>
    </row>
    <row r="621" spans="9:15" x14ac:dyDescent="0.45">
      <c r="I621"/>
      <c r="J621"/>
      <c r="M621" s="62" t="s">
        <v>1620</v>
      </c>
      <c r="N621" s="63" t="s">
        <v>1621</v>
      </c>
      <c r="O621" s="64" t="s">
        <v>341</v>
      </c>
    </row>
    <row r="622" spans="9:15" x14ac:dyDescent="0.45">
      <c r="I622"/>
      <c r="J622"/>
      <c r="M622" s="62" t="s">
        <v>1622</v>
      </c>
      <c r="N622" s="63" t="s">
        <v>1623</v>
      </c>
      <c r="O622" s="64" t="s">
        <v>318</v>
      </c>
    </row>
    <row r="623" spans="9:15" x14ac:dyDescent="0.45">
      <c r="I623"/>
      <c r="J623"/>
      <c r="M623" s="62" t="s">
        <v>1624</v>
      </c>
      <c r="N623" s="63" t="s">
        <v>1625</v>
      </c>
      <c r="O623" s="64" t="s">
        <v>330</v>
      </c>
    </row>
    <row r="624" spans="9:15" x14ac:dyDescent="0.45">
      <c r="I624"/>
      <c r="J624"/>
      <c r="M624" s="62" t="s">
        <v>1626</v>
      </c>
      <c r="N624" s="63" t="s">
        <v>1627</v>
      </c>
      <c r="O624" s="64" t="s">
        <v>330</v>
      </c>
    </row>
    <row r="625" spans="9:15" x14ac:dyDescent="0.45">
      <c r="I625"/>
      <c r="J625"/>
      <c r="M625" s="62" t="s">
        <v>1628</v>
      </c>
      <c r="N625" s="63" t="s">
        <v>1629</v>
      </c>
      <c r="O625" s="64" t="s">
        <v>321</v>
      </c>
    </row>
    <row r="626" spans="9:15" x14ac:dyDescent="0.45">
      <c r="I626"/>
      <c r="J626"/>
      <c r="M626" s="62" t="s">
        <v>1630</v>
      </c>
      <c r="N626" s="63" t="s">
        <v>1631</v>
      </c>
      <c r="O626" s="64" t="s">
        <v>327</v>
      </c>
    </row>
    <row r="627" spans="9:15" x14ac:dyDescent="0.45">
      <c r="I627"/>
      <c r="J627"/>
      <c r="M627" s="62" t="s">
        <v>1632</v>
      </c>
      <c r="N627" s="63" t="s">
        <v>1633</v>
      </c>
      <c r="O627" s="64" t="s">
        <v>327</v>
      </c>
    </row>
    <row r="628" spans="9:15" x14ac:dyDescent="0.45">
      <c r="I628"/>
      <c r="J628"/>
      <c r="M628" s="62" t="s">
        <v>1634</v>
      </c>
      <c r="N628" s="63" t="s">
        <v>1635</v>
      </c>
      <c r="O628" s="64" t="s">
        <v>330</v>
      </c>
    </row>
    <row r="629" spans="9:15" x14ac:dyDescent="0.45">
      <c r="I629"/>
      <c r="J629"/>
      <c r="M629" s="62" t="s">
        <v>1636</v>
      </c>
      <c r="N629" s="63" t="s">
        <v>1637</v>
      </c>
      <c r="O629" s="64" t="s">
        <v>341</v>
      </c>
    </row>
    <row r="630" spans="9:15" x14ac:dyDescent="0.45">
      <c r="I630"/>
      <c r="J630"/>
      <c r="M630" s="62" t="s">
        <v>1638</v>
      </c>
      <c r="N630" s="63" t="s">
        <v>1639</v>
      </c>
      <c r="O630" s="64" t="s">
        <v>330</v>
      </c>
    </row>
    <row r="631" spans="9:15" x14ac:dyDescent="0.45">
      <c r="I631"/>
      <c r="J631"/>
      <c r="M631" s="62" t="s">
        <v>1640</v>
      </c>
      <c r="N631" s="63" t="s">
        <v>1641</v>
      </c>
      <c r="O631" s="64" t="s">
        <v>330</v>
      </c>
    </row>
    <row r="632" spans="9:15" x14ac:dyDescent="0.45">
      <c r="I632"/>
      <c r="J632"/>
      <c r="M632" s="62" t="s">
        <v>1642</v>
      </c>
      <c r="N632" s="63" t="s">
        <v>1643</v>
      </c>
      <c r="O632" s="64" t="s">
        <v>549</v>
      </c>
    </row>
    <row r="633" spans="9:15" x14ac:dyDescent="0.45">
      <c r="I633"/>
      <c r="J633"/>
      <c r="M633" s="62" t="s">
        <v>1644</v>
      </c>
      <c r="N633" s="63" t="s">
        <v>1645</v>
      </c>
      <c r="O633" s="64" t="s">
        <v>330</v>
      </c>
    </row>
    <row r="634" spans="9:15" x14ac:dyDescent="0.45">
      <c r="I634"/>
      <c r="J634"/>
      <c r="M634" s="62" t="s">
        <v>1646</v>
      </c>
      <c r="N634" s="63" t="s">
        <v>1647</v>
      </c>
      <c r="O634" s="64" t="s">
        <v>489</v>
      </c>
    </row>
    <row r="635" spans="9:15" x14ac:dyDescent="0.45">
      <c r="I635"/>
      <c r="J635"/>
      <c r="M635" s="62" t="s">
        <v>1648</v>
      </c>
      <c r="N635" s="63" t="s">
        <v>1649</v>
      </c>
      <c r="O635" s="64" t="s">
        <v>1237</v>
      </c>
    </row>
    <row r="636" spans="9:15" x14ac:dyDescent="0.45">
      <c r="I636"/>
      <c r="J636"/>
      <c r="M636" s="62" t="s">
        <v>1650</v>
      </c>
      <c r="N636" s="63" t="s">
        <v>1651</v>
      </c>
      <c r="O636" s="64" t="s">
        <v>330</v>
      </c>
    </row>
    <row r="637" spans="9:15" x14ac:dyDescent="0.45">
      <c r="I637"/>
      <c r="J637"/>
      <c r="M637" s="62" t="s">
        <v>1652</v>
      </c>
      <c r="N637" s="63" t="s">
        <v>1653</v>
      </c>
      <c r="O637" s="64" t="s">
        <v>344</v>
      </c>
    </row>
    <row r="638" spans="9:15" x14ac:dyDescent="0.45">
      <c r="I638"/>
      <c r="J638"/>
      <c r="M638" s="62" t="s">
        <v>1654</v>
      </c>
      <c r="N638" s="63" t="s">
        <v>1655</v>
      </c>
      <c r="O638" s="64" t="s">
        <v>330</v>
      </c>
    </row>
    <row r="639" spans="9:15" x14ac:dyDescent="0.45">
      <c r="I639"/>
      <c r="J639"/>
      <c r="M639" s="62" t="s">
        <v>1656</v>
      </c>
      <c r="N639" s="63" t="s">
        <v>1657</v>
      </c>
      <c r="O639" s="64" t="s">
        <v>330</v>
      </c>
    </row>
    <row r="640" spans="9:15" x14ac:dyDescent="0.45">
      <c r="I640"/>
      <c r="J640"/>
      <c r="M640" s="62" t="s">
        <v>1658</v>
      </c>
      <c r="N640" s="63" t="s">
        <v>1659</v>
      </c>
      <c r="O640" s="64" t="s">
        <v>327</v>
      </c>
    </row>
    <row r="641" spans="9:15" x14ac:dyDescent="0.45">
      <c r="I641"/>
      <c r="J641"/>
      <c r="M641" s="62" t="s">
        <v>1660</v>
      </c>
      <c r="N641" s="63" t="s">
        <v>1661</v>
      </c>
      <c r="O641" s="64" t="s">
        <v>330</v>
      </c>
    </row>
    <row r="642" spans="9:15" x14ac:dyDescent="0.45">
      <c r="I642"/>
      <c r="J642"/>
      <c r="M642" s="71" t="s">
        <v>1662</v>
      </c>
      <c r="N642" s="72" t="s">
        <v>1663</v>
      </c>
      <c r="O642" s="64" t="s">
        <v>330</v>
      </c>
    </row>
    <row r="643" spans="9:15" x14ac:dyDescent="0.45">
      <c r="I643"/>
      <c r="J643"/>
      <c r="M643" s="62" t="s">
        <v>1664</v>
      </c>
      <c r="N643" s="63" t="s">
        <v>1665</v>
      </c>
      <c r="O643" s="64" t="s">
        <v>330</v>
      </c>
    </row>
    <row r="644" spans="9:15" x14ac:dyDescent="0.45">
      <c r="I644"/>
      <c r="J644"/>
      <c r="M644" s="62" t="s">
        <v>1666</v>
      </c>
      <c r="N644" s="63" t="s">
        <v>1667</v>
      </c>
      <c r="O644" s="64" t="s">
        <v>1008</v>
      </c>
    </row>
    <row r="645" spans="9:15" x14ac:dyDescent="0.45">
      <c r="I645"/>
      <c r="J645"/>
      <c r="M645" s="62" t="s">
        <v>1668</v>
      </c>
      <c r="N645" s="63" t="s">
        <v>1669</v>
      </c>
      <c r="O645" s="64" t="s">
        <v>625</v>
      </c>
    </row>
    <row r="646" spans="9:15" x14ac:dyDescent="0.45">
      <c r="I646"/>
      <c r="J646"/>
      <c r="M646" s="62" t="s">
        <v>1670</v>
      </c>
      <c r="N646" s="63" t="s">
        <v>1671</v>
      </c>
      <c r="O646" s="64" t="s">
        <v>330</v>
      </c>
    </row>
    <row r="647" spans="9:15" x14ac:dyDescent="0.45">
      <c r="I647"/>
      <c r="J647"/>
      <c r="M647" s="62" t="s">
        <v>1672</v>
      </c>
      <c r="N647" s="63" t="s">
        <v>1673</v>
      </c>
      <c r="O647" s="64" t="s">
        <v>509</v>
      </c>
    </row>
    <row r="648" spans="9:15" x14ac:dyDescent="0.45">
      <c r="I648"/>
      <c r="J648"/>
      <c r="M648" s="62" t="s">
        <v>1674</v>
      </c>
      <c r="N648" s="63" t="s">
        <v>1675</v>
      </c>
      <c r="O648" s="64" t="s">
        <v>330</v>
      </c>
    </row>
    <row r="649" spans="9:15" x14ac:dyDescent="0.45">
      <c r="I649"/>
      <c r="J649"/>
      <c r="M649" s="62" t="s">
        <v>1676</v>
      </c>
      <c r="N649" s="63" t="s">
        <v>1677</v>
      </c>
      <c r="O649" s="64" t="s">
        <v>321</v>
      </c>
    </row>
    <row r="650" spans="9:15" x14ac:dyDescent="0.45">
      <c r="I650"/>
      <c r="J650"/>
      <c r="M650" s="62" t="s">
        <v>1678</v>
      </c>
      <c r="N650" s="63" t="s">
        <v>1679</v>
      </c>
      <c r="O650" s="64" t="s">
        <v>330</v>
      </c>
    </row>
    <row r="651" spans="9:15" x14ac:dyDescent="0.45">
      <c r="I651"/>
      <c r="J651"/>
      <c r="M651" s="62" t="s">
        <v>1680</v>
      </c>
      <c r="N651" s="63" t="s">
        <v>1681</v>
      </c>
      <c r="O651" s="64" t="s">
        <v>330</v>
      </c>
    </row>
    <row r="652" spans="9:15" x14ac:dyDescent="0.45">
      <c r="I652"/>
      <c r="J652"/>
      <c r="M652" s="62" t="s">
        <v>1682</v>
      </c>
      <c r="N652" s="63" t="s">
        <v>1683</v>
      </c>
      <c r="O652" s="64" t="s">
        <v>321</v>
      </c>
    </row>
    <row r="653" spans="9:15" x14ac:dyDescent="0.45">
      <c r="I653"/>
      <c r="J653"/>
      <c r="M653" s="62" t="s">
        <v>1684</v>
      </c>
      <c r="N653" s="63" t="s">
        <v>1685</v>
      </c>
      <c r="O653" s="64" t="s">
        <v>327</v>
      </c>
    </row>
    <row r="654" spans="9:15" x14ac:dyDescent="0.45">
      <c r="I654"/>
      <c r="J654"/>
      <c r="M654" s="62" t="s">
        <v>1686</v>
      </c>
      <c r="N654" s="74" t="s">
        <v>1687</v>
      </c>
      <c r="O654" s="64" t="s">
        <v>330</v>
      </c>
    </row>
    <row r="655" spans="9:15" x14ac:dyDescent="0.45">
      <c r="I655"/>
      <c r="J655"/>
      <c r="M655" s="75" t="s">
        <v>1688</v>
      </c>
      <c r="N655" s="76" t="s">
        <v>1689</v>
      </c>
      <c r="O655" s="77" t="s">
        <v>327</v>
      </c>
    </row>
    <row r="656" spans="9:15" x14ac:dyDescent="0.45">
      <c r="I656"/>
      <c r="J656"/>
      <c r="M656" s="62" t="s">
        <v>1690</v>
      </c>
      <c r="N656" s="63" t="s">
        <v>1691</v>
      </c>
      <c r="O656" s="64" t="s">
        <v>330</v>
      </c>
    </row>
    <row r="657" spans="9:15" x14ac:dyDescent="0.45">
      <c r="I657"/>
      <c r="J657"/>
      <c r="M657" s="62" t="s">
        <v>1692</v>
      </c>
      <c r="N657" s="63" t="s">
        <v>1693</v>
      </c>
      <c r="O657" s="64" t="s">
        <v>1694</v>
      </c>
    </row>
    <row r="658" spans="9:15" x14ac:dyDescent="0.45">
      <c r="I658"/>
      <c r="J658"/>
      <c r="M658" s="62" t="s">
        <v>1695</v>
      </c>
      <c r="N658" s="63" t="s">
        <v>1696</v>
      </c>
      <c r="O658" s="64" t="s">
        <v>1697</v>
      </c>
    </row>
    <row r="659" spans="9:15" x14ac:dyDescent="0.45">
      <c r="I659"/>
      <c r="J659"/>
      <c r="M659" s="62" t="s">
        <v>1698</v>
      </c>
      <c r="N659" s="63" t="s">
        <v>1699</v>
      </c>
      <c r="O659" s="64" t="s">
        <v>480</v>
      </c>
    </row>
    <row r="660" spans="9:15" x14ac:dyDescent="0.45">
      <c r="I660"/>
      <c r="J660"/>
      <c r="M660" s="62" t="s">
        <v>1700</v>
      </c>
      <c r="N660" s="63" t="s">
        <v>1701</v>
      </c>
      <c r="O660" s="64" t="s">
        <v>330</v>
      </c>
    </row>
    <row r="661" spans="9:15" x14ac:dyDescent="0.45">
      <c r="I661"/>
      <c r="J661"/>
      <c r="M661" s="62" t="s">
        <v>1702</v>
      </c>
      <c r="N661" s="63" t="s">
        <v>1703</v>
      </c>
      <c r="O661" s="64" t="s">
        <v>330</v>
      </c>
    </row>
    <row r="662" spans="9:15" x14ac:dyDescent="0.45">
      <c r="I662"/>
      <c r="J662"/>
      <c r="M662" s="62" t="s">
        <v>1704</v>
      </c>
      <c r="N662" s="63" t="s">
        <v>1705</v>
      </c>
      <c r="O662" s="64" t="s">
        <v>330</v>
      </c>
    </row>
    <row r="663" spans="9:15" x14ac:dyDescent="0.45">
      <c r="I663"/>
      <c r="J663"/>
      <c r="M663" s="62" t="s">
        <v>1706</v>
      </c>
      <c r="N663" s="63" t="s">
        <v>1707</v>
      </c>
      <c r="O663" s="64" t="s">
        <v>327</v>
      </c>
    </row>
    <row r="664" spans="9:15" x14ac:dyDescent="0.45">
      <c r="I664"/>
      <c r="J664"/>
      <c r="M664" s="62" t="s">
        <v>1708</v>
      </c>
      <c r="N664" s="63" t="s">
        <v>1709</v>
      </c>
      <c r="O664" s="64" t="s">
        <v>321</v>
      </c>
    </row>
    <row r="665" spans="9:15" x14ac:dyDescent="0.45">
      <c r="I665"/>
      <c r="J665"/>
      <c r="M665" s="62" t="s">
        <v>1710</v>
      </c>
      <c r="N665" s="63" t="s">
        <v>1711</v>
      </c>
      <c r="O665" s="64" t="s">
        <v>1712</v>
      </c>
    </row>
    <row r="666" spans="9:15" x14ac:dyDescent="0.45">
      <c r="I666"/>
      <c r="J666"/>
      <c r="M666" s="62" t="s">
        <v>1713</v>
      </c>
      <c r="N666" s="63" t="s">
        <v>1714</v>
      </c>
      <c r="O666" s="64" t="s">
        <v>330</v>
      </c>
    </row>
    <row r="667" spans="9:15" x14ac:dyDescent="0.45">
      <c r="I667"/>
      <c r="J667"/>
      <c r="M667" s="62" t="s">
        <v>1715</v>
      </c>
      <c r="N667" s="63" t="s">
        <v>1716</v>
      </c>
      <c r="O667" s="64" t="s">
        <v>344</v>
      </c>
    </row>
    <row r="668" spans="9:15" x14ac:dyDescent="0.45">
      <c r="I668"/>
      <c r="J668"/>
      <c r="M668" s="62" t="s">
        <v>1717</v>
      </c>
      <c r="N668" s="63" t="s">
        <v>1718</v>
      </c>
      <c r="O668" s="64" t="s">
        <v>327</v>
      </c>
    </row>
    <row r="669" spans="9:15" x14ac:dyDescent="0.45">
      <c r="I669"/>
      <c r="J669"/>
      <c r="M669" s="62" t="s">
        <v>1719</v>
      </c>
      <c r="N669" s="63" t="s">
        <v>1720</v>
      </c>
      <c r="O669" s="64" t="s">
        <v>327</v>
      </c>
    </row>
    <row r="670" spans="9:15" x14ac:dyDescent="0.45">
      <c r="I670"/>
      <c r="J670"/>
      <c r="M670" s="62" t="s">
        <v>1721</v>
      </c>
      <c r="N670" s="63" t="s">
        <v>1722</v>
      </c>
      <c r="O670" s="64" t="s">
        <v>330</v>
      </c>
    </row>
    <row r="671" spans="9:15" x14ac:dyDescent="0.45">
      <c r="I671"/>
      <c r="J671"/>
      <c r="M671" s="62" t="s">
        <v>1723</v>
      </c>
      <c r="N671" s="63" t="s">
        <v>1724</v>
      </c>
      <c r="O671" s="64" t="s">
        <v>330</v>
      </c>
    </row>
    <row r="672" spans="9:15" x14ac:dyDescent="0.45">
      <c r="I672"/>
      <c r="J672"/>
      <c r="M672" s="62" t="s">
        <v>1725</v>
      </c>
      <c r="N672" s="63" t="s">
        <v>1726</v>
      </c>
      <c r="O672" s="64" t="s">
        <v>632</v>
      </c>
    </row>
    <row r="673" spans="9:15" x14ac:dyDescent="0.45">
      <c r="I673"/>
      <c r="J673"/>
      <c r="M673" s="62" t="s">
        <v>1727</v>
      </c>
      <c r="N673" s="63" t="s">
        <v>1728</v>
      </c>
      <c r="O673" s="64" t="s">
        <v>327</v>
      </c>
    </row>
    <row r="674" spans="9:15" x14ac:dyDescent="0.45">
      <c r="I674"/>
      <c r="J674"/>
      <c r="M674" s="62" t="s">
        <v>1729</v>
      </c>
      <c r="N674" s="63" t="s">
        <v>1730</v>
      </c>
      <c r="O674" s="64" t="s">
        <v>318</v>
      </c>
    </row>
    <row r="675" spans="9:15" x14ac:dyDescent="0.45">
      <c r="I675"/>
      <c r="J675"/>
      <c r="M675" s="62" t="s">
        <v>1731</v>
      </c>
      <c r="N675" s="63" t="s">
        <v>1732</v>
      </c>
      <c r="O675" s="64" t="s">
        <v>330</v>
      </c>
    </row>
    <row r="676" spans="9:15" x14ac:dyDescent="0.45">
      <c r="I676"/>
      <c r="J676"/>
      <c r="M676" s="62" t="s">
        <v>1733</v>
      </c>
      <c r="N676" s="63" t="s">
        <v>1734</v>
      </c>
      <c r="O676" s="64" t="s">
        <v>330</v>
      </c>
    </row>
    <row r="677" spans="9:15" x14ac:dyDescent="0.45">
      <c r="I677"/>
      <c r="J677"/>
      <c r="M677" s="62" t="s">
        <v>1735</v>
      </c>
      <c r="N677" s="63" t="s">
        <v>1736</v>
      </c>
      <c r="O677" s="64" t="s">
        <v>330</v>
      </c>
    </row>
    <row r="678" spans="9:15" x14ac:dyDescent="0.45">
      <c r="I678"/>
      <c r="J678"/>
      <c r="M678" s="62" t="s">
        <v>1737</v>
      </c>
      <c r="N678" s="63" t="s">
        <v>1738</v>
      </c>
      <c r="O678" s="64" t="s">
        <v>330</v>
      </c>
    </row>
    <row r="679" spans="9:15" x14ac:dyDescent="0.45">
      <c r="I679"/>
      <c r="J679"/>
      <c r="M679" s="62" t="s">
        <v>1739</v>
      </c>
      <c r="N679" s="63" t="s">
        <v>1740</v>
      </c>
      <c r="O679" s="64" t="s">
        <v>330</v>
      </c>
    </row>
    <row r="680" spans="9:15" x14ac:dyDescent="0.45">
      <c r="I680"/>
      <c r="J680"/>
      <c r="M680" s="62" t="s">
        <v>1741</v>
      </c>
      <c r="N680" s="63" t="s">
        <v>1742</v>
      </c>
      <c r="O680" s="64" t="s">
        <v>318</v>
      </c>
    </row>
    <row r="681" spans="9:15" x14ac:dyDescent="0.45">
      <c r="I681"/>
      <c r="J681"/>
      <c r="M681" s="62" t="s">
        <v>1743</v>
      </c>
      <c r="N681" s="63" t="s">
        <v>1744</v>
      </c>
      <c r="O681" s="64" t="s">
        <v>330</v>
      </c>
    </row>
    <row r="682" spans="9:15" x14ac:dyDescent="0.45">
      <c r="I682"/>
      <c r="J682"/>
      <c r="M682" s="62" t="s">
        <v>1745</v>
      </c>
      <c r="N682" s="63" t="s">
        <v>1746</v>
      </c>
      <c r="O682" s="64" t="s">
        <v>515</v>
      </c>
    </row>
    <row r="683" spans="9:15" x14ac:dyDescent="0.45">
      <c r="I683"/>
      <c r="J683"/>
      <c r="M683" s="62" t="s">
        <v>1747</v>
      </c>
      <c r="N683" s="63" t="s">
        <v>1748</v>
      </c>
      <c r="O683" s="64" t="s">
        <v>509</v>
      </c>
    </row>
    <row r="684" spans="9:15" x14ac:dyDescent="0.45">
      <c r="I684"/>
      <c r="J684"/>
      <c r="M684" s="62" t="s">
        <v>1749</v>
      </c>
      <c r="N684" s="63" t="s">
        <v>1750</v>
      </c>
      <c r="O684" s="64" t="s">
        <v>330</v>
      </c>
    </row>
    <row r="685" spans="9:15" x14ac:dyDescent="0.45">
      <c r="I685"/>
      <c r="J685"/>
      <c r="M685" s="62" t="s">
        <v>1751</v>
      </c>
      <c r="N685" s="63" t="s">
        <v>1752</v>
      </c>
      <c r="O685" s="64" t="s">
        <v>321</v>
      </c>
    </row>
    <row r="686" spans="9:15" x14ac:dyDescent="0.45">
      <c r="I686"/>
      <c r="J686"/>
      <c r="M686" s="62" t="s">
        <v>1753</v>
      </c>
      <c r="N686" s="63" t="s">
        <v>1754</v>
      </c>
      <c r="O686" s="64" t="s">
        <v>549</v>
      </c>
    </row>
    <row r="687" spans="9:15" x14ac:dyDescent="0.45">
      <c r="I687"/>
      <c r="J687"/>
      <c r="M687" s="62" t="s">
        <v>1755</v>
      </c>
      <c r="N687" s="63" t="s">
        <v>1756</v>
      </c>
      <c r="O687" s="64" t="s">
        <v>1757</v>
      </c>
    </row>
    <row r="688" spans="9:15" x14ac:dyDescent="0.45">
      <c r="I688"/>
      <c r="J688"/>
      <c r="M688" s="62" t="s">
        <v>1758</v>
      </c>
      <c r="N688" s="63" t="s">
        <v>1759</v>
      </c>
      <c r="O688" s="64" t="s">
        <v>1712</v>
      </c>
    </row>
    <row r="689" spans="9:15" x14ac:dyDescent="0.45">
      <c r="I689"/>
      <c r="J689"/>
      <c r="M689" s="62" t="s">
        <v>1760</v>
      </c>
      <c r="N689" s="63" t="s">
        <v>1761</v>
      </c>
      <c r="O689" s="64" t="s">
        <v>1762</v>
      </c>
    </row>
    <row r="690" spans="9:15" x14ac:dyDescent="0.45">
      <c r="I690"/>
      <c r="J690"/>
      <c r="M690" s="62" t="s">
        <v>1763</v>
      </c>
      <c r="N690" s="63" t="s">
        <v>1764</v>
      </c>
      <c r="O690" s="64" t="s">
        <v>330</v>
      </c>
    </row>
    <row r="691" spans="9:15" x14ac:dyDescent="0.45">
      <c r="I691"/>
      <c r="J691"/>
      <c r="M691" s="62" t="s">
        <v>1765</v>
      </c>
      <c r="N691" s="63" t="s">
        <v>1766</v>
      </c>
      <c r="O691" s="64" t="s">
        <v>425</v>
      </c>
    </row>
    <row r="692" spans="9:15" x14ac:dyDescent="0.45">
      <c r="I692"/>
      <c r="J692"/>
      <c r="M692" s="62" t="s">
        <v>1767</v>
      </c>
      <c r="N692" s="63" t="s">
        <v>1768</v>
      </c>
      <c r="O692" s="64" t="s">
        <v>318</v>
      </c>
    </row>
    <row r="693" spans="9:15" x14ac:dyDescent="0.45">
      <c r="I693"/>
      <c r="J693"/>
      <c r="M693" s="62" t="s">
        <v>1769</v>
      </c>
      <c r="N693" s="63" t="s">
        <v>1770</v>
      </c>
      <c r="O693" s="64" t="s">
        <v>453</v>
      </c>
    </row>
    <row r="694" spans="9:15" x14ac:dyDescent="0.45">
      <c r="I694"/>
      <c r="J694"/>
      <c r="M694" s="62" t="s">
        <v>1771</v>
      </c>
      <c r="N694" s="63" t="s">
        <v>1772</v>
      </c>
      <c r="O694" s="64" t="s">
        <v>330</v>
      </c>
    </row>
    <row r="695" spans="9:15" x14ac:dyDescent="0.45">
      <c r="I695"/>
      <c r="J695"/>
      <c r="M695" s="62" t="s">
        <v>1773</v>
      </c>
      <c r="N695" s="63" t="s">
        <v>1774</v>
      </c>
      <c r="O695" s="64" t="s">
        <v>330</v>
      </c>
    </row>
    <row r="696" spans="9:15" x14ac:dyDescent="0.45">
      <c r="I696"/>
      <c r="J696"/>
      <c r="M696" s="62" t="s">
        <v>1775</v>
      </c>
      <c r="N696" s="63" t="s">
        <v>1776</v>
      </c>
      <c r="O696" s="64" t="s">
        <v>417</v>
      </c>
    </row>
    <row r="697" spans="9:15" x14ac:dyDescent="0.45">
      <c r="I697"/>
      <c r="J697"/>
      <c r="M697" s="62" t="s">
        <v>1777</v>
      </c>
      <c r="N697" s="63" t="s">
        <v>1778</v>
      </c>
      <c r="O697" s="64" t="s">
        <v>330</v>
      </c>
    </row>
    <row r="698" spans="9:15" x14ac:dyDescent="0.45">
      <c r="I698"/>
      <c r="J698"/>
      <c r="M698" s="62" t="s">
        <v>1779</v>
      </c>
      <c r="N698" s="63" t="s">
        <v>1780</v>
      </c>
      <c r="O698" s="64" t="s">
        <v>330</v>
      </c>
    </row>
    <row r="699" spans="9:15" x14ac:dyDescent="0.45">
      <c r="I699"/>
      <c r="J699"/>
      <c r="M699" s="62" t="s">
        <v>1781</v>
      </c>
      <c r="N699" s="63" t="s">
        <v>1782</v>
      </c>
      <c r="O699" s="64" t="s">
        <v>330</v>
      </c>
    </row>
    <row r="700" spans="9:15" x14ac:dyDescent="0.45">
      <c r="I700"/>
      <c r="J700"/>
      <c r="M700" s="62" t="s">
        <v>1783</v>
      </c>
      <c r="N700" s="63" t="s">
        <v>1784</v>
      </c>
      <c r="O700" s="64" t="s">
        <v>330</v>
      </c>
    </row>
    <row r="701" spans="9:15" x14ac:dyDescent="0.45">
      <c r="I701"/>
      <c r="J701"/>
      <c r="M701" s="62" t="s">
        <v>1785</v>
      </c>
      <c r="N701" s="63" t="s">
        <v>1786</v>
      </c>
      <c r="O701" s="64" t="s">
        <v>417</v>
      </c>
    </row>
    <row r="702" spans="9:15" x14ac:dyDescent="0.45">
      <c r="I702"/>
      <c r="J702"/>
      <c r="M702" s="62" t="s">
        <v>1787</v>
      </c>
      <c r="N702" s="63" t="s">
        <v>1788</v>
      </c>
      <c r="O702" s="64" t="s">
        <v>330</v>
      </c>
    </row>
    <row r="703" spans="9:15" x14ac:dyDescent="0.45">
      <c r="I703"/>
      <c r="J703"/>
      <c r="M703" s="62" t="s">
        <v>1789</v>
      </c>
      <c r="N703" s="72" t="s">
        <v>1790</v>
      </c>
      <c r="O703" s="63" t="s">
        <v>330</v>
      </c>
    </row>
    <row r="704" spans="9:15" x14ac:dyDescent="0.45">
      <c r="I704"/>
      <c r="J704"/>
      <c r="M704" s="62" t="s">
        <v>1791</v>
      </c>
      <c r="N704" s="63" t="s">
        <v>1792</v>
      </c>
      <c r="O704" s="64" t="s">
        <v>330</v>
      </c>
    </row>
    <row r="705" spans="9:15" x14ac:dyDescent="0.45">
      <c r="I705"/>
      <c r="J705"/>
      <c r="M705" s="62" t="s">
        <v>1793</v>
      </c>
      <c r="N705" s="63" t="s">
        <v>1794</v>
      </c>
      <c r="O705" s="64" t="s">
        <v>632</v>
      </c>
    </row>
    <row r="706" spans="9:15" x14ac:dyDescent="0.45">
      <c r="I706"/>
      <c r="J706"/>
      <c r="M706" s="62" t="s">
        <v>1795</v>
      </c>
      <c r="N706" s="63" t="s">
        <v>1796</v>
      </c>
      <c r="O706" s="64" t="s">
        <v>330</v>
      </c>
    </row>
    <row r="707" spans="9:15" x14ac:dyDescent="0.45">
      <c r="I707"/>
      <c r="J707"/>
      <c r="M707" s="62" t="s">
        <v>1797</v>
      </c>
      <c r="N707" s="63" t="s">
        <v>1798</v>
      </c>
      <c r="O707" s="64" t="s">
        <v>330</v>
      </c>
    </row>
    <row r="708" spans="9:15" x14ac:dyDescent="0.45">
      <c r="I708"/>
      <c r="J708"/>
      <c r="M708" s="62" t="s">
        <v>1799</v>
      </c>
      <c r="N708" s="63" t="s">
        <v>1800</v>
      </c>
      <c r="O708" s="64" t="s">
        <v>330</v>
      </c>
    </row>
    <row r="709" spans="9:15" x14ac:dyDescent="0.45">
      <c r="I709"/>
      <c r="J709"/>
      <c r="M709" s="62" t="s">
        <v>1801</v>
      </c>
      <c r="N709" s="63" t="s">
        <v>1802</v>
      </c>
      <c r="O709" s="64" t="s">
        <v>330</v>
      </c>
    </row>
    <row r="710" spans="9:15" x14ac:dyDescent="0.45">
      <c r="I710"/>
      <c r="J710"/>
      <c r="M710" s="62" t="s">
        <v>1803</v>
      </c>
      <c r="N710" s="63" t="s">
        <v>1804</v>
      </c>
      <c r="O710" s="64" t="s">
        <v>330</v>
      </c>
    </row>
    <row r="711" spans="9:15" x14ac:dyDescent="0.45">
      <c r="I711"/>
      <c r="J711"/>
      <c r="M711" s="62" t="s">
        <v>1805</v>
      </c>
      <c r="N711" s="63" t="s">
        <v>1806</v>
      </c>
      <c r="O711" s="64" t="s">
        <v>330</v>
      </c>
    </row>
    <row r="712" spans="9:15" x14ac:dyDescent="0.45">
      <c r="I712"/>
      <c r="J712"/>
      <c r="M712" s="62" t="s">
        <v>1807</v>
      </c>
      <c r="N712" s="63" t="s">
        <v>1808</v>
      </c>
      <c r="O712" s="64" t="s">
        <v>330</v>
      </c>
    </row>
    <row r="713" spans="9:15" x14ac:dyDescent="0.45">
      <c r="I713"/>
      <c r="J713"/>
      <c r="M713" s="62" t="s">
        <v>1809</v>
      </c>
      <c r="N713" s="63" t="s">
        <v>1810</v>
      </c>
      <c r="O713" s="64" t="s">
        <v>330</v>
      </c>
    </row>
    <row r="714" spans="9:15" x14ac:dyDescent="0.45">
      <c r="I714"/>
      <c r="J714"/>
      <c r="M714" s="62" t="s">
        <v>1811</v>
      </c>
      <c r="N714" s="63" t="s">
        <v>1812</v>
      </c>
      <c r="O714" s="64" t="s">
        <v>632</v>
      </c>
    </row>
    <row r="715" spans="9:15" x14ac:dyDescent="0.45">
      <c r="I715"/>
      <c r="J715"/>
      <c r="M715" s="62" t="s">
        <v>1813</v>
      </c>
      <c r="N715" s="63" t="s">
        <v>1814</v>
      </c>
      <c r="O715" s="64" t="s">
        <v>321</v>
      </c>
    </row>
    <row r="716" spans="9:15" x14ac:dyDescent="0.45">
      <c r="I716"/>
      <c r="J716"/>
      <c r="M716" s="62" t="s">
        <v>1815</v>
      </c>
      <c r="N716" s="63" t="s">
        <v>1816</v>
      </c>
      <c r="O716" s="64" t="s">
        <v>330</v>
      </c>
    </row>
    <row r="717" spans="9:15" x14ac:dyDescent="0.45">
      <c r="I717"/>
      <c r="J717"/>
      <c r="M717" s="62" t="s">
        <v>1817</v>
      </c>
      <c r="N717" s="63" t="s">
        <v>1818</v>
      </c>
      <c r="O717" s="64" t="s">
        <v>330</v>
      </c>
    </row>
    <row r="718" spans="9:15" x14ac:dyDescent="0.45">
      <c r="I718"/>
      <c r="J718"/>
      <c r="M718" s="62" t="s">
        <v>1819</v>
      </c>
      <c r="N718" s="63" t="s">
        <v>1820</v>
      </c>
      <c r="O718" s="64" t="s">
        <v>341</v>
      </c>
    </row>
    <row r="719" spans="9:15" x14ac:dyDescent="0.45">
      <c r="I719"/>
      <c r="J719"/>
      <c r="M719" s="62" t="s">
        <v>1821</v>
      </c>
      <c r="N719" s="63" t="s">
        <v>1822</v>
      </c>
      <c r="O719" s="64" t="s">
        <v>330</v>
      </c>
    </row>
    <row r="720" spans="9:15" x14ac:dyDescent="0.45">
      <c r="I720"/>
      <c r="J720"/>
      <c r="M720" s="62" t="s">
        <v>1823</v>
      </c>
      <c r="N720" s="63" t="s">
        <v>1824</v>
      </c>
      <c r="O720" s="64" t="s">
        <v>330</v>
      </c>
    </row>
    <row r="721" spans="9:15" x14ac:dyDescent="0.45">
      <c r="I721"/>
      <c r="J721"/>
      <c r="M721" s="62" t="s">
        <v>1825</v>
      </c>
      <c r="N721" s="63" t="s">
        <v>1826</v>
      </c>
      <c r="O721" s="64" t="s">
        <v>330</v>
      </c>
    </row>
    <row r="722" spans="9:15" x14ac:dyDescent="0.45">
      <c r="I722"/>
      <c r="J722"/>
      <c r="M722" s="62" t="s">
        <v>1827</v>
      </c>
      <c r="N722" s="63" t="s">
        <v>1828</v>
      </c>
      <c r="O722" s="64" t="s">
        <v>330</v>
      </c>
    </row>
    <row r="723" spans="9:15" x14ac:dyDescent="0.45">
      <c r="I723"/>
      <c r="J723"/>
      <c r="M723" s="62" t="s">
        <v>1829</v>
      </c>
      <c r="N723" s="63" t="s">
        <v>1830</v>
      </c>
      <c r="O723" s="64" t="s">
        <v>330</v>
      </c>
    </row>
    <row r="724" spans="9:15" x14ac:dyDescent="0.45">
      <c r="I724"/>
      <c r="J724"/>
      <c r="M724" s="62" t="s">
        <v>1831</v>
      </c>
      <c r="N724" s="63" t="s">
        <v>1832</v>
      </c>
      <c r="O724" s="64" t="s">
        <v>330</v>
      </c>
    </row>
    <row r="725" spans="9:15" x14ac:dyDescent="0.45">
      <c r="I725"/>
      <c r="J725"/>
      <c r="M725" s="62" t="s">
        <v>1833</v>
      </c>
      <c r="N725" s="63" t="s">
        <v>1834</v>
      </c>
      <c r="O725" s="64" t="s">
        <v>1762</v>
      </c>
    </row>
    <row r="726" spans="9:15" x14ac:dyDescent="0.45">
      <c r="I726"/>
      <c r="J726"/>
      <c r="M726" s="62" t="s">
        <v>1835</v>
      </c>
      <c r="N726" s="63" t="s">
        <v>1836</v>
      </c>
      <c r="O726" s="64" t="s">
        <v>330</v>
      </c>
    </row>
    <row r="727" spans="9:15" x14ac:dyDescent="0.45">
      <c r="I727"/>
      <c r="J727"/>
      <c r="M727" s="62" t="s">
        <v>1837</v>
      </c>
      <c r="N727" s="63" t="s">
        <v>1838</v>
      </c>
      <c r="O727" s="64" t="s">
        <v>1056</v>
      </c>
    </row>
    <row r="728" spans="9:15" x14ac:dyDescent="0.45">
      <c r="I728"/>
      <c r="J728"/>
      <c r="M728" s="62" t="s">
        <v>1839</v>
      </c>
      <c r="N728" s="63" t="s">
        <v>1840</v>
      </c>
      <c r="O728" s="64" t="s">
        <v>359</v>
      </c>
    </row>
    <row r="729" spans="9:15" x14ac:dyDescent="0.45">
      <c r="I729"/>
      <c r="J729"/>
      <c r="M729" s="62" t="s">
        <v>1841</v>
      </c>
      <c r="N729" s="63" t="s">
        <v>1842</v>
      </c>
      <c r="O729" s="64" t="s">
        <v>330</v>
      </c>
    </row>
    <row r="730" spans="9:15" x14ac:dyDescent="0.45">
      <c r="I730"/>
      <c r="J730"/>
      <c r="M730" s="62" t="s">
        <v>1843</v>
      </c>
      <c r="N730" s="63" t="s">
        <v>1844</v>
      </c>
      <c r="O730" s="64" t="s">
        <v>330</v>
      </c>
    </row>
    <row r="731" spans="9:15" x14ac:dyDescent="0.45">
      <c r="I731"/>
      <c r="J731"/>
      <c r="M731" s="62" t="s">
        <v>1845</v>
      </c>
      <c r="N731" s="63" t="s">
        <v>1846</v>
      </c>
      <c r="O731" s="64" t="s">
        <v>330</v>
      </c>
    </row>
    <row r="732" spans="9:15" x14ac:dyDescent="0.45">
      <c r="I732"/>
      <c r="J732"/>
      <c r="M732" s="62" t="s">
        <v>1847</v>
      </c>
      <c r="N732" s="63" t="s">
        <v>1848</v>
      </c>
      <c r="O732" s="64" t="s">
        <v>330</v>
      </c>
    </row>
    <row r="733" spans="9:15" x14ac:dyDescent="0.45">
      <c r="I733"/>
      <c r="J733"/>
      <c r="M733" s="62" t="s">
        <v>1849</v>
      </c>
      <c r="N733" s="63" t="s">
        <v>1850</v>
      </c>
      <c r="O733" s="64" t="s">
        <v>330</v>
      </c>
    </row>
    <row r="734" spans="9:15" x14ac:dyDescent="0.45">
      <c r="I734"/>
      <c r="J734"/>
      <c r="M734" s="62" t="s">
        <v>1851</v>
      </c>
      <c r="N734" s="63" t="s">
        <v>1852</v>
      </c>
      <c r="O734" s="64" t="s">
        <v>318</v>
      </c>
    </row>
    <row r="735" spans="9:15" x14ac:dyDescent="0.45">
      <c r="I735"/>
      <c r="J735"/>
      <c r="M735" s="62" t="s">
        <v>1853</v>
      </c>
      <c r="N735" s="63" t="s">
        <v>1854</v>
      </c>
      <c r="O735" s="64" t="s">
        <v>509</v>
      </c>
    </row>
    <row r="736" spans="9:15" x14ac:dyDescent="0.45">
      <c r="I736"/>
      <c r="J736"/>
      <c r="M736" s="62" t="s">
        <v>1855</v>
      </c>
      <c r="N736" s="63" t="s">
        <v>1856</v>
      </c>
      <c r="O736" s="64" t="s">
        <v>1857</v>
      </c>
    </row>
    <row r="737" spans="9:15" x14ac:dyDescent="0.45">
      <c r="I737"/>
      <c r="J737"/>
      <c r="M737" s="62" t="s">
        <v>1858</v>
      </c>
      <c r="N737" s="63" t="s">
        <v>1859</v>
      </c>
      <c r="O737" s="64" t="s">
        <v>1860</v>
      </c>
    </row>
    <row r="738" spans="9:15" x14ac:dyDescent="0.45">
      <c r="I738"/>
      <c r="J738"/>
      <c r="M738" s="62" t="s">
        <v>1861</v>
      </c>
      <c r="N738" s="63" t="s">
        <v>1862</v>
      </c>
      <c r="O738" s="64" t="s">
        <v>1863</v>
      </c>
    </row>
    <row r="739" spans="9:15" x14ac:dyDescent="0.45">
      <c r="I739"/>
      <c r="J739"/>
      <c r="M739" s="62" t="s">
        <v>1864</v>
      </c>
      <c r="N739" s="63" t="s">
        <v>1865</v>
      </c>
      <c r="O739" s="64" t="s">
        <v>1866</v>
      </c>
    </row>
    <row r="740" spans="9:15" x14ac:dyDescent="0.45">
      <c r="I740"/>
      <c r="J740"/>
      <c r="M740" s="62" t="s">
        <v>1867</v>
      </c>
      <c r="N740" s="63" t="s">
        <v>1868</v>
      </c>
      <c r="O740" s="64" t="s">
        <v>1869</v>
      </c>
    </row>
    <row r="741" spans="9:15" x14ac:dyDescent="0.45">
      <c r="I741"/>
      <c r="J741"/>
      <c r="M741" s="62" t="s">
        <v>1870</v>
      </c>
      <c r="N741" s="63" t="s">
        <v>1871</v>
      </c>
      <c r="O741" s="64" t="s">
        <v>1872</v>
      </c>
    </row>
    <row r="742" spans="9:15" x14ac:dyDescent="0.45">
      <c r="I742"/>
      <c r="J742"/>
      <c r="M742" s="62" t="s">
        <v>1873</v>
      </c>
      <c r="N742" s="63" t="s">
        <v>1874</v>
      </c>
      <c r="O742" s="64" t="s">
        <v>336</v>
      </c>
    </row>
    <row r="743" spans="9:15" x14ac:dyDescent="0.45">
      <c r="I743"/>
      <c r="J743"/>
      <c r="M743" s="62" t="s">
        <v>1875</v>
      </c>
      <c r="N743" s="63" t="s">
        <v>1876</v>
      </c>
      <c r="O743" s="64" t="s">
        <v>330</v>
      </c>
    </row>
    <row r="744" spans="9:15" x14ac:dyDescent="0.45">
      <c r="I744"/>
      <c r="J744"/>
      <c r="M744" s="62" t="s">
        <v>1877</v>
      </c>
      <c r="N744" s="63" t="s">
        <v>1878</v>
      </c>
      <c r="O744" s="64" t="s">
        <v>330</v>
      </c>
    </row>
    <row r="745" spans="9:15" x14ac:dyDescent="0.45">
      <c r="I745"/>
      <c r="J745"/>
      <c r="M745" s="62" t="s">
        <v>1879</v>
      </c>
      <c r="N745" s="63" t="s">
        <v>1880</v>
      </c>
      <c r="O745" s="64" t="s">
        <v>330</v>
      </c>
    </row>
    <row r="746" spans="9:15" x14ac:dyDescent="0.45">
      <c r="I746"/>
      <c r="J746"/>
      <c r="M746" s="62" t="s">
        <v>1881</v>
      </c>
      <c r="N746" s="63" t="s">
        <v>1882</v>
      </c>
      <c r="O746" s="64" t="s">
        <v>625</v>
      </c>
    </row>
    <row r="747" spans="9:15" x14ac:dyDescent="0.45">
      <c r="I747"/>
      <c r="J747"/>
      <c r="M747" s="62" t="s">
        <v>1883</v>
      </c>
      <c r="N747" s="63" t="s">
        <v>1884</v>
      </c>
      <c r="O747" s="64" t="s">
        <v>330</v>
      </c>
    </row>
    <row r="748" spans="9:15" x14ac:dyDescent="0.45">
      <c r="I748"/>
      <c r="J748"/>
      <c r="M748" s="62" t="s">
        <v>1885</v>
      </c>
      <c r="N748" s="63" t="s">
        <v>1886</v>
      </c>
      <c r="O748" s="64" t="s">
        <v>330</v>
      </c>
    </row>
    <row r="749" spans="9:15" x14ac:dyDescent="0.45">
      <c r="I749"/>
      <c r="J749"/>
      <c r="M749" s="62" t="s">
        <v>1887</v>
      </c>
      <c r="N749" s="63" t="s">
        <v>1888</v>
      </c>
      <c r="O749" s="64" t="s">
        <v>330</v>
      </c>
    </row>
    <row r="750" spans="9:15" x14ac:dyDescent="0.45">
      <c r="I750"/>
      <c r="J750"/>
      <c r="M750" s="62" t="s">
        <v>1889</v>
      </c>
      <c r="N750" s="63" t="s">
        <v>1890</v>
      </c>
      <c r="O750" s="64" t="s">
        <v>532</v>
      </c>
    </row>
    <row r="751" spans="9:15" x14ac:dyDescent="0.45">
      <c r="I751"/>
      <c r="J751"/>
      <c r="M751" s="62" t="s">
        <v>1891</v>
      </c>
      <c r="N751" s="63" t="s">
        <v>1892</v>
      </c>
      <c r="O751" s="64" t="s">
        <v>327</v>
      </c>
    </row>
    <row r="752" spans="9:15" x14ac:dyDescent="0.45">
      <c r="I752"/>
      <c r="J752"/>
      <c r="M752" s="62" t="s">
        <v>1893</v>
      </c>
      <c r="N752" s="63" t="s">
        <v>1894</v>
      </c>
      <c r="O752" s="64" t="s">
        <v>330</v>
      </c>
    </row>
    <row r="753" spans="9:15" x14ac:dyDescent="0.45">
      <c r="I753"/>
      <c r="J753"/>
      <c r="M753" s="62" t="s">
        <v>1895</v>
      </c>
      <c r="N753" s="63" t="s">
        <v>1896</v>
      </c>
      <c r="O753" s="64" t="s">
        <v>723</v>
      </c>
    </row>
    <row r="754" spans="9:15" x14ac:dyDescent="0.45">
      <c r="I754"/>
      <c r="J754"/>
      <c r="M754" s="62" t="s">
        <v>1897</v>
      </c>
      <c r="N754" s="63" t="s">
        <v>1898</v>
      </c>
      <c r="O754" s="64" t="s">
        <v>318</v>
      </c>
    </row>
    <row r="755" spans="9:15" x14ac:dyDescent="0.45">
      <c r="I755"/>
      <c r="J755"/>
      <c r="M755" s="62" t="s">
        <v>1899</v>
      </c>
      <c r="N755" s="63" t="s">
        <v>1900</v>
      </c>
      <c r="O755" s="64" t="s">
        <v>330</v>
      </c>
    </row>
    <row r="756" spans="9:15" x14ac:dyDescent="0.45">
      <c r="I756"/>
      <c r="J756"/>
      <c r="M756" s="62" t="s">
        <v>1901</v>
      </c>
      <c r="N756" s="63" t="s">
        <v>1902</v>
      </c>
      <c r="O756" s="64" t="s">
        <v>344</v>
      </c>
    </row>
    <row r="757" spans="9:15" x14ac:dyDescent="0.45">
      <c r="I757"/>
      <c r="J757"/>
      <c r="M757" s="62" t="s">
        <v>1903</v>
      </c>
      <c r="N757" s="63" t="s">
        <v>1904</v>
      </c>
      <c r="O757" s="64" t="s">
        <v>330</v>
      </c>
    </row>
    <row r="758" spans="9:15" x14ac:dyDescent="0.45">
      <c r="I758"/>
      <c r="J758"/>
      <c r="M758" s="62" t="s">
        <v>1905</v>
      </c>
      <c r="N758" s="63" t="s">
        <v>1906</v>
      </c>
      <c r="O758" s="64" t="s">
        <v>330</v>
      </c>
    </row>
    <row r="759" spans="9:15" x14ac:dyDescent="0.45">
      <c r="I759"/>
      <c r="J759"/>
      <c r="M759" s="62" t="s">
        <v>1907</v>
      </c>
      <c r="N759" s="63" t="s">
        <v>1908</v>
      </c>
      <c r="O759" s="64" t="s">
        <v>330</v>
      </c>
    </row>
    <row r="760" spans="9:15" x14ac:dyDescent="0.45">
      <c r="I760"/>
      <c r="J760"/>
      <c r="M760" s="62" t="s">
        <v>1909</v>
      </c>
      <c r="N760" s="63" t="s">
        <v>1910</v>
      </c>
      <c r="O760" s="64" t="s">
        <v>330</v>
      </c>
    </row>
    <row r="761" spans="9:15" x14ac:dyDescent="0.45">
      <c r="I761"/>
      <c r="J761"/>
      <c r="M761" s="62" t="s">
        <v>1911</v>
      </c>
      <c r="N761" s="63" t="s">
        <v>1912</v>
      </c>
      <c r="O761" s="64" t="s">
        <v>341</v>
      </c>
    </row>
    <row r="762" spans="9:15" x14ac:dyDescent="0.45">
      <c r="I762"/>
      <c r="J762"/>
      <c r="M762" s="62" t="s">
        <v>1913</v>
      </c>
      <c r="N762" s="63" t="s">
        <v>1914</v>
      </c>
      <c r="O762" s="64" t="s">
        <v>330</v>
      </c>
    </row>
    <row r="763" spans="9:15" x14ac:dyDescent="0.45">
      <c r="I763"/>
      <c r="J763"/>
      <c r="M763" s="62" t="s">
        <v>1915</v>
      </c>
      <c r="N763" s="63" t="s">
        <v>1916</v>
      </c>
      <c r="O763" s="64" t="s">
        <v>330</v>
      </c>
    </row>
    <row r="764" spans="9:15" x14ac:dyDescent="0.45">
      <c r="I764"/>
      <c r="J764"/>
      <c r="M764" s="62" t="s">
        <v>1917</v>
      </c>
      <c r="N764" s="63" t="s">
        <v>1918</v>
      </c>
      <c r="O764" s="64" t="s">
        <v>330</v>
      </c>
    </row>
    <row r="765" spans="9:15" x14ac:dyDescent="0.45">
      <c r="I765"/>
      <c r="J765"/>
      <c r="M765" s="62" t="s">
        <v>1919</v>
      </c>
      <c r="N765" s="63" t="s">
        <v>1920</v>
      </c>
      <c r="O765" s="64" t="s">
        <v>330</v>
      </c>
    </row>
    <row r="766" spans="9:15" x14ac:dyDescent="0.45">
      <c r="I766"/>
      <c r="J766"/>
      <c r="M766" s="62" t="s">
        <v>1921</v>
      </c>
      <c r="N766" s="63" t="s">
        <v>1922</v>
      </c>
      <c r="O766" s="64" t="s">
        <v>330</v>
      </c>
    </row>
    <row r="767" spans="9:15" x14ac:dyDescent="0.45">
      <c r="I767"/>
      <c r="J767"/>
      <c r="M767" s="71" t="s">
        <v>1923</v>
      </c>
      <c r="N767" s="72" t="s">
        <v>1924</v>
      </c>
      <c r="O767" s="64" t="s">
        <v>318</v>
      </c>
    </row>
    <row r="768" spans="9:15" x14ac:dyDescent="0.45">
      <c r="I768"/>
      <c r="J768"/>
      <c r="M768" s="62" t="s">
        <v>1925</v>
      </c>
      <c r="N768" s="63" t="s">
        <v>1926</v>
      </c>
      <c r="O768" s="64" t="s">
        <v>330</v>
      </c>
    </row>
    <row r="769" spans="9:15" x14ac:dyDescent="0.45">
      <c r="I769"/>
      <c r="J769"/>
      <c r="M769" s="62" t="s">
        <v>1927</v>
      </c>
      <c r="N769" s="63" t="s">
        <v>1928</v>
      </c>
      <c r="O769" s="64" t="s">
        <v>330</v>
      </c>
    </row>
    <row r="770" spans="9:15" x14ac:dyDescent="0.45">
      <c r="I770"/>
      <c r="J770"/>
      <c r="M770" s="69" t="s">
        <v>1929</v>
      </c>
      <c r="N770" s="70" t="s">
        <v>1928</v>
      </c>
      <c r="O770" s="63" t="s">
        <v>373</v>
      </c>
    </row>
    <row r="771" spans="9:15" x14ac:dyDescent="0.45">
      <c r="I771"/>
      <c r="J771"/>
      <c r="M771" s="62" t="s">
        <v>1930</v>
      </c>
      <c r="N771" s="63" t="s">
        <v>1931</v>
      </c>
      <c r="O771" s="64" t="s">
        <v>336</v>
      </c>
    </row>
    <row r="772" spans="9:15" x14ac:dyDescent="0.45">
      <c r="I772"/>
      <c r="J772"/>
      <c r="M772" s="65" t="s">
        <v>1932</v>
      </c>
      <c r="N772" s="66" t="s">
        <v>1933</v>
      </c>
      <c r="O772" s="64" t="s">
        <v>344</v>
      </c>
    </row>
    <row r="773" spans="9:15" x14ac:dyDescent="0.45">
      <c r="I773"/>
      <c r="J773"/>
      <c r="M773" s="62" t="s">
        <v>1934</v>
      </c>
      <c r="N773" s="63" t="s">
        <v>1935</v>
      </c>
      <c r="O773" s="64" t="s">
        <v>549</v>
      </c>
    </row>
    <row r="774" spans="9:15" x14ac:dyDescent="0.45">
      <c r="I774"/>
      <c r="J774"/>
      <c r="M774" s="62" t="s">
        <v>1936</v>
      </c>
      <c r="N774" s="63" t="s">
        <v>1937</v>
      </c>
      <c r="O774" s="64" t="s">
        <v>330</v>
      </c>
    </row>
    <row r="775" spans="9:15" x14ac:dyDescent="0.45">
      <c r="I775"/>
      <c r="J775"/>
      <c r="M775" s="62" t="s">
        <v>1938</v>
      </c>
      <c r="N775" s="63" t="s">
        <v>1939</v>
      </c>
      <c r="O775" s="64" t="s">
        <v>318</v>
      </c>
    </row>
    <row r="776" spans="9:15" x14ac:dyDescent="0.45">
      <c r="I776"/>
      <c r="J776"/>
      <c r="M776" s="62" t="s">
        <v>1940</v>
      </c>
      <c r="N776" s="63" t="s">
        <v>1941</v>
      </c>
      <c r="O776" s="64" t="s">
        <v>549</v>
      </c>
    </row>
    <row r="777" spans="9:15" x14ac:dyDescent="0.45">
      <c r="I777"/>
      <c r="J777"/>
      <c r="M777" s="62" t="s">
        <v>1942</v>
      </c>
      <c r="N777" s="63" t="s">
        <v>1943</v>
      </c>
      <c r="O777" s="64" t="s">
        <v>515</v>
      </c>
    </row>
    <row r="778" spans="9:15" x14ac:dyDescent="0.45">
      <c r="I778"/>
      <c r="J778"/>
      <c r="M778" s="62" t="s">
        <v>1944</v>
      </c>
      <c r="N778" s="63" t="s">
        <v>1945</v>
      </c>
      <c r="O778" s="64" t="s">
        <v>324</v>
      </c>
    </row>
    <row r="779" spans="9:15" x14ac:dyDescent="0.45">
      <c r="I779"/>
      <c r="J779"/>
      <c r="M779" s="62" t="s">
        <v>1946</v>
      </c>
      <c r="N779" s="63" t="s">
        <v>1947</v>
      </c>
      <c r="O779" s="64" t="s">
        <v>330</v>
      </c>
    </row>
    <row r="780" spans="9:15" x14ac:dyDescent="0.45">
      <c r="I780"/>
      <c r="J780"/>
      <c r="M780" s="62" t="s">
        <v>1948</v>
      </c>
      <c r="N780" s="63" t="s">
        <v>1949</v>
      </c>
      <c r="O780" s="64" t="s">
        <v>327</v>
      </c>
    </row>
    <row r="781" spans="9:15" x14ac:dyDescent="0.45">
      <c r="I781"/>
      <c r="J781"/>
      <c r="M781" s="62" t="s">
        <v>1950</v>
      </c>
      <c r="N781" s="63" t="s">
        <v>1951</v>
      </c>
      <c r="O781" s="64" t="s">
        <v>330</v>
      </c>
    </row>
    <row r="782" spans="9:15" x14ac:dyDescent="0.45">
      <c r="I782"/>
      <c r="J782"/>
      <c r="M782" s="62" t="s">
        <v>1952</v>
      </c>
      <c r="N782" s="63" t="s">
        <v>1953</v>
      </c>
      <c r="O782" s="64" t="s">
        <v>330</v>
      </c>
    </row>
    <row r="783" spans="9:15" x14ac:dyDescent="0.45">
      <c r="I783"/>
      <c r="J783"/>
      <c r="M783" s="62" t="s">
        <v>1954</v>
      </c>
      <c r="N783" s="63" t="s">
        <v>1955</v>
      </c>
      <c r="O783" s="64" t="s">
        <v>532</v>
      </c>
    </row>
    <row r="784" spans="9:15" x14ac:dyDescent="0.45">
      <c r="I784"/>
      <c r="J784"/>
      <c r="M784" s="62" t="s">
        <v>1956</v>
      </c>
      <c r="N784" s="63" t="s">
        <v>1957</v>
      </c>
      <c r="O784" s="64" t="s">
        <v>330</v>
      </c>
    </row>
    <row r="785" spans="9:15" x14ac:dyDescent="0.45">
      <c r="I785"/>
      <c r="J785"/>
      <c r="M785" s="62" t="s">
        <v>1958</v>
      </c>
      <c r="N785" s="63" t="s">
        <v>1959</v>
      </c>
      <c r="O785" s="64" t="s">
        <v>330</v>
      </c>
    </row>
    <row r="786" spans="9:15" x14ac:dyDescent="0.45">
      <c r="I786"/>
      <c r="J786"/>
      <c r="M786" s="62" t="s">
        <v>1960</v>
      </c>
      <c r="N786" s="63" t="s">
        <v>1961</v>
      </c>
      <c r="O786" s="64" t="s">
        <v>1962</v>
      </c>
    </row>
    <row r="787" spans="9:15" x14ac:dyDescent="0.45">
      <c r="I787"/>
      <c r="J787"/>
      <c r="M787" s="62" t="s">
        <v>1963</v>
      </c>
      <c r="N787" s="63" t="s">
        <v>1964</v>
      </c>
      <c r="O787" s="64" t="s">
        <v>549</v>
      </c>
    </row>
    <row r="788" spans="9:15" x14ac:dyDescent="0.45">
      <c r="I788"/>
      <c r="J788"/>
      <c r="M788" s="62" t="s">
        <v>1965</v>
      </c>
      <c r="N788" s="63" t="s">
        <v>1966</v>
      </c>
      <c r="O788" s="64" t="s">
        <v>1031</v>
      </c>
    </row>
    <row r="789" spans="9:15" x14ac:dyDescent="0.45">
      <c r="I789"/>
      <c r="J789"/>
      <c r="M789" s="62" t="s">
        <v>1967</v>
      </c>
      <c r="N789" s="63" t="s">
        <v>1968</v>
      </c>
      <c r="O789" s="64" t="s">
        <v>330</v>
      </c>
    </row>
    <row r="790" spans="9:15" x14ac:dyDescent="0.45">
      <c r="I790"/>
      <c r="J790"/>
      <c r="M790" s="62" t="s">
        <v>1969</v>
      </c>
      <c r="N790" s="63" t="s">
        <v>1970</v>
      </c>
      <c r="O790" s="64" t="s">
        <v>330</v>
      </c>
    </row>
    <row r="791" spans="9:15" x14ac:dyDescent="0.45">
      <c r="I791"/>
      <c r="J791"/>
      <c r="M791" s="62" t="s">
        <v>1971</v>
      </c>
      <c r="N791" s="63" t="s">
        <v>1972</v>
      </c>
      <c r="O791" s="64" t="s">
        <v>330</v>
      </c>
    </row>
    <row r="792" spans="9:15" x14ac:dyDescent="0.45">
      <c r="I792"/>
      <c r="J792"/>
      <c r="M792" s="62" t="s">
        <v>1973</v>
      </c>
      <c r="N792" s="63" t="s">
        <v>1974</v>
      </c>
      <c r="O792" s="64" t="s">
        <v>330</v>
      </c>
    </row>
    <row r="793" spans="9:15" x14ac:dyDescent="0.45">
      <c r="I793"/>
      <c r="J793"/>
      <c r="M793" s="62" t="s">
        <v>1975</v>
      </c>
      <c r="N793" s="63" t="s">
        <v>1976</v>
      </c>
      <c r="O793" s="64" t="s">
        <v>341</v>
      </c>
    </row>
    <row r="794" spans="9:15" x14ac:dyDescent="0.45">
      <c r="I794"/>
      <c r="J794"/>
      <c r="M794" s="62" t="s">
        <v>1977</v>
      </c>
      <c r="N794" s="63" t="s">
        <v>1978</v>
      </c>
      <c r="O794" s="64" t="s">
        <v>1757</v>
      </c>
    </row>
    <row r="795" spans="9:15" x14ac:dyDescent="0.45">
      <c r="I795"/>
      <c r="J795"/>
      <c r="M795" s="62" t="s">
        <v>1979</v>
      </c>
      <c r="N795" s="63" t="s">
        <v>1980</v>
      </c>
      <c r="O795" s="64" t="s">
        <v>330</v>
      </c>
    </row>
    <row r="796" spans="9:15" x14ac:dyDescent="0.45">
      <c r="I796"/>
      <c r="J796"/>
      <c r="M796" s="62" t="s">
        <v>1981</v>
      </c>
      <c r="N796" s="63" t="s">
        <v>1982</v>
      </c>
      <c r="O796" s="64" t="s">
        <v>330</v>
      </c>
    </row>
    <row r="797" spans="9:15" x14ac:dyDescent="0.45">
      <c r="I797"/>
      <c r="J797"/>
      <c r="M797" s="62" t="s">
        <v>1983</v>
      </c>
      <c r="N797" s="63" t="s">
        <v>1984</v>
      </c>
      <c r="O797" s="64" t="s">
        <v>330</v>
      </c>
    </row>
    <row r="798" spans="9:15" x14ac:dyDescent="0.45">
      <c r="I798"/>
      <c r="J798"/>
      <c r="M798" s="62" t="s">
        <v>1985</v>
      </c>
      <c r="N798" s="63" t="s">
        <v>1986</v>
      </c>
      <c r="O798" s="64" t="s">
        <v>324</v>
      </c>
    </row>
    <row r="799" spans="9:15" x14ac:dyDescent="0.45">
      <c r="I799"/>
      <c r="J799"/>
      <c r="M799" s="62" t="s">
        <v>1987</v>
      </c>
      <c r="N799" s="63" t="s">
        <v>1988</v>
      </c>
      <c r="O799" s="64" t="s">
        <v>667</v>
      </c>
    </row>
    <row r="800" spans="9:15" x14ac:dyDescent="0.45">
      <c r="I800"/>
      <c r="J800"/>
      <c r="M800" s="62" t="s">
        <v>1989</v>
      </c>
      <c r="N800" s="63" t="s">
        <v>1990</v>
      </c>
      <c r="O800" s="64" t="s">
        <v>330</v>
      </c>
    </row>
    <row r="801" spans="9:15" x14ac:dyDescent="0.45">
      <c r="I801"/>
      <c r="J801"/>
      <c r="M801" s="62" t="s">
        <v>1991</v>
      </c>
      <c r="N801" s="63" t="s">
        <v>1992</v>
      </c>
      <c r="O801" s="64" t="s">
        <v>344</v>
      </c>
    </row>
    <row r="802" spans="9:15" x14ac:dyDescent="0.45">
      <c r="I802"/>
      <c r="J802"/>
      <c r="M802" s="62" t="s">
        <v>1993</v>
      </c>
      <c r="N802" s="63" t="s">
        <v>1994</v>
      </c>
      <c r="O802" s="64" t="s">
        <v>632</v>
      </c>
    </row>
    <row r="803" spans="9:15" x14ac:dyDescent="0.45">
      <c r="I803"/>
      <c r="J803"/>
      <c r="M803" s="62" t="s">
        <v>1995</v>
      </c>
      <c r="N803" s="63" t="s">
        <v>1996</v>
      </c>
      <c r="O803" s="64" t="s">
        <v>596</v>
      </c>
    </row>
    <row r="804" spans="9:15" x14ac:dyDescent="0.45">
      <c r="I804"/>
      <c r="J804"/>
      <c r="M804" s="62" t="s">
        <v>1997</v>
      </c>
      <c r="N804" s="63" t="s">
        <v>1998</v>
      </c>
      <c r="O804" s="64" t="s">
        <v>330</v>
      </c>
    </row>
    <row r="805" spans="9:15" x14ac:dyDescent="0.45">
      <c r="I805"/>
      <c r="J805"/>
      <c r="M805" s="62" t="s">
        <v>1999</v>
      </c>
      <c r="N805" s="63" t="s">
        <v>2000</v>
      </c>
      <c r="O805" s="64" t="s">
        <v>330</v>
      </c>
    </row>
    <row r="806" spans="9:15" x14ac:dyDescent="0.45">
      <c r="I806"/>
      <c r="J806"/>
      <c r="M806" s="62" t="s">
        <v>2001</v>
      </c>
      <c r="N806" s="63" t="s">
        <v>2002</v>
      </c>
      <c r="O806" s="64" t="s">
        <v>330</v>
      </c>
    </row>
    <row r="807" spans="9:15" x14ac:dyDescent="0.45">
      <c r="I807"/>
      <c r="J807"/>
      <c r="M807" s="62" t="s">
        <v>2003</v>
      </c>
      <c r="N807" s="63" t="s">
        <v>2004</v>
      </c>
      <c r="O807" s="64" t="s">
        <v>327</v>
      </c>
    </row>
    <row r="808" spans="9:15" x14ac:dyDescent="0.45">
      <c r="I808"/>
      <c r="J808"/>
      <c r="M808" s="62" t="s">
        <v>2005</v>
      </c>
      <c r="N808" s="63" t="s">
        <v>2006</v>
      </c>
      <c r="O808" s="64" t="s">
        <v>336</v>
      </c>
    </row>
    <row r="809" spans="9:15" x14ac:dyDescent="0.45">
      <c r="I809"/>
      <c r="J809"/>
      <c r="M809" s="62" t="s">
        <v>2007</v>
      </c>
      <c r="N809" s="63" t="s">
        <v>2008</v>
      </c>
      <c r="O809" s="64" t="s">
        <v>453</v>
      </c>
    </row>
    <row r="810" spans="9:15" x14ac:dyDescent="0.45">
      <c r="I810"/>
      <c r="J810"/>
      <c r="M810" s="62" t="s">
        <v>2009</v>
      </c>
      <c r="N810" s="63" t="s">
        <v>2010</v>
      </c>
      <c r="O810" s="64" t="s">
        <v>341</v>
      </c>
    </row>
    <row r="811" spans="9:15" x14ac:dyDescent="0.45">
      <c r="I811"/>
      <c r="J811"/>
      <c r="M811" s="62" t="s">
        <v>2011</v>
      </c>
      <c r="N811" s="63" t="s">
        <v>2012</v>
      </c>
      <c r="O811" s="64" t="s">
        <v>480</v>
      </c>
    </row>
    <row r="812" spans="9:15" x14ac:dyDescent="0.45">
      <c r="I812"/>
      <c r="J812"/>
      <c r="M812" s="62" t="s">
        <v>2013</v>
      </c>
      <c r="N812" s="63" t="s">
        <v>2014</v>
      </c>
      <c r="O812" s="64" t="s">
        <v>330</v>
      </c>
    </row>
    <row r="813" spans="9:15" x14ac:dyDescent="0.45">
      <c r="I813"/>
      <c r="J813"/>
      <c r="M813" s="62" t="s">
        <v>2015</v>
      </c>
      <c r="N813" s="63" t="s">
        <v>2016</v>
      </c>
      <c r="O813" s="64" t="s">
        <v>318</v>
      </c>
    </row>
    <row r="814" spans="9:15" x14ac:dyDescent="0.45">
      <c r="I814"/>
      <c r="J814"/>
      <c r="M814" s="62" t="s">
        <v>2017</v>
      </c>
      <c r="N814" s="63" t="s">
        <v>2018</v>
      </c>
      <c r="O814" s="64" t="s">
        <v>417</v>
      </c>
    </row>
    <row r="815" spans="9:15" x14ac:dyDescent="0.45">
      <c r="I815"/>
      <c r="J815"/>
      <c r="M815" s="62" t="s">
        <v>2019</v>
      </c>
      <c r="N815" s="63" t="s">
        <v>2020</v>
      </c>
      <c r="O815" s="64" t="s">
        <v>616</v>
      </c>
    </row>
    <row r="816" spans="9:15" x14ac:dyDescent="0.45">
      <c r="I816"/>
      <c r="J816"/>
      <c r="M816" s="62" t="s">
        <v>2021</v>
      </c>
      <c r="N816" s="63" t="s">
        <v>2022</v>
      </c>
      <c r="O816" s="64" t="s">
        <v>330</v>
      </c>
    </row>
    <row r="817" spans="9:15" x14ac:dyDescent="0.45">
      <c r="I817"/>
      <c r="J817"/>
      <c r="M817" s="62" t="s">
        <v>2023</v>
      </c>
      <c r="N817" s="63" t="s">
        <v>2024</v>
      </c>
      <c r="O817" s="64" t="s">
        <v>417</v>
      </c>
    </row>
    <row r="818" spans="9:15" x14ac:dyDescent="0.45">
      <c r="I818"/>
      <c r="J818"/>
      <c r="M818" s="62" t="s">
        <v>2025</v>
      </c>
      <c r="N818" s="63" t="s">
        <v>2026</v>
      </c>
      <c r="O818" s="64" t="s">
        <v>2027</v>
      </c>
    </row>
    <row r="819" spans="9:15" x14ac:dyDescent="0.45">
      <c r="I819"/>
      <c r="J819"/>
      <c r="M819" s="62" t="s">
        <v>2028</v>
      </c>
      <c r="N819" s="63" t="s">
        <v>2029</v>
      </c>
      <c r="O819" s="64" t="s">
        <v>327</v>
      </c>
    </row>
    <row r="820" spans="9:15" x14ac:dyDescent="0.45">
      <c r="I820"/>
      <c r="J820"/>
      <c r="M820" s="62" t="s">
        <v>2030</v>
      </c>
      <c r="N820" s="63" t="s">
        <v>2029</v>
      </c>
      <c r="O820" s="64" t="s">
        <v>327</v>
      </c>
    </row>
    <row r="821" spans="9:15" x14ac:dyDescent="0.45">
      <c r="I821"/>
      <c r="J821"/>
      <c r="M821" s="62" t="s">
        <v>2031</v>
      </c>
      <c r="N821" s="63" t="s">
        <v>2032</v>
      </c>
      <c r="O821" s="64" t="s">
        <v>324</v>
      </c>
    </row>
    <row r="822" spans="9:15" x14ac:dyDescent="0.45">
      <c r="I822"/>
      <c r="J822"/>
      <c r="M822" s="62" t="s">
        <v>2033</v>
      </c>
      <c r="N822" s="63" t="s">
        <v>2034</v>
      </c>
      <c r="O822" s="64" t="s">
        <v>330</v>
      </c>
    </row>
    <row r="823" spans="9:15" x14ac:dyDescent="0.45">
      <c r="I823"/>
      <c r="J823"/>
      <c r="M823" s="62" t="s">
        <v>2035</v>
      </c>
      <c r="N823" s="63" t="s">
        <v>2036</v>
      </c>
      <c r="O823" s="64" t="s">
        <v>480</v>
      </c>
    </row>
    <row r="824" spans="9:15" x14ac:dyDescent="0.45">
      <c r="I824"/>
      <c r="J824"/>
      <c r="M824" s="62" t="s">
        <v>2037</v>
      </c>
      <c r="N824" s="63" t="s">
        <v>2038</v>
      </c>
      <c r="O824" s="64" t="s">
        <v>330</v>
      </c>
    </row>
    <row r="825" spans="9:15" x14ac:dyDescent="0.45">
      <c r="I825"/>
      <c r="J825"/>
      <c r="M825" s="62" t="s">
        <v>2039</v>
      </c>
      <c r="N825" s="63" t="s">
        <v>2040</v>
      </c>
      <c r="O825" s="64" t="s">
        <v>330</v>
      </c>
    </row>
    <row r="826" spans="9:15" x14ac:dyDescent="0.45">
      <c r="I826"/>
      <c r="J826"/>
      <c r="M826" s="62" t="s">
        <v>2041</v>
      </c>
      <c r="N826" s="63" t="s">
        <v>2042</v>
      </c>
      <c r="O826" s="64" t="s">
        <v>330</v>
      </c>
    </row>
    <row r="827" spans="9:15" x14ac:dyDescent="0.45">
      <c r="I827"/>
      <c r="J827"/>
      <c r="M827" s="62" t="s">
        <v>2043</v>
      </c>
      <c r="N827" s="63" t="s">
        <v>2044</v>
      </c>
      <c r="O827" s="64" t="s">
        <v>330</v>
      </c>
    </row>
    <row r="828" spans="9:15" x14ac:dyDescent="0.45">
      <c r="I828"/>
      <c r="J828"/>
      <c r="M828" s="62" t="s">
        <v>2045</v>
      </c>
      <c r="N828" s="63" t="s">
        <v>2046</v>
      </c>
      <c r="O828" s="64" t="s">
        <v>330</v>
      </c>
    </row>
    <row r="829" spans="9:15" x14ac:dyDescent="0.45">
      <c r="I829"/>
      <c r="J829"/>
      <c r="M829" s="62" t="s">
        <v>2047</v>
      </c>
      <c r="N829" s="63" t="s">
        <v>2048</v>
      </c>
      <c r="O829" s="64" t="s">
        <v>344</v>
      </c>
    </row>
    <row r="830" spans="9:15" x14ac:dyDescent="0.45">
      <c r="I830"/>
      <c r="J830"/>
      <c r="M830" s="62" t="s">
        <v>2049</v>
      </c>
      <c r="N830" s="63" t="s">
        <v>2050</v>
      </c>
      <c r="O830" s="64" t="s">
        <v>330</v>
      </c>
    </row>
    <row r="831" spans="9:15" x14ac:dyDescent="0.45">
      <c r="I831"/>
      <c r="J831"/>
      <c r="M831" s="62" t="s">
        <v>2051</v>
      </c>
      <c r="N831" s="63" t="s">
        <v>2052</v>
      </c>
      <c r="O831" s="64" t="s">
        <v>330</v>
      </c>
    </row>
    <row r="832" spans="9:15" x14ac:dyDescent="0.45">
      <c r="I832"/>
      <c r="J832"/>
      <c r="M832" s="62" t="s">
        <v>2053</v>
      </c>
      <c r="N832" s="63" t="s">
        <v>2054</v>
      </c>
      <c r="O832" s="64" t="s">
        <v>330</v>
      </c>
    </row>
    <row r="833" spans="9:15" x14ac:dyDescent="0.45">
      <c r="I833"/>
      <c r="J833"/>
      <c r="M833" s="62" t="s">
        <v>2055</v>
      </c>
      <c r="N833" s="63" t="s">
        <v>2056</v>
      </c>
      <c r="O833" s="64" t="s">
        <v>330</v>
      </c>
    </row>
    <row r="834" spans="9:15" x14ac:dyDescent="0.45">
      <c r="I834"/>
      <c r="J834"/>
      <c r="M834" s="62" t="s">
        <v>2057</v>
      </c>
      <c r="N834" s="63" t="s">
        <v>2058</v>
      </c>
      <c r="O834" s="64" t="s">
        <v>330</v>
      </c>
    </row>
    <row r="835" spans="9:15" x14ac:dyDescent="0.45">
      <c r="I835"/>
      <c r="J835"/>
      <c r="M835" s="62" t="s">
        <v>2059</v>
      </c>
      <c r="N835" s="63" t="s">
        <v>2060</v>
      </c>
      <c r="O835" s="64" t="s">
        <v>453</v>
      </c>
    </row>
    <row r="836" spans="9:15" x14ac:dyDescent="0.45">
      <c r="I836"/>
      <c r="J836"/>
      <c r="M836" s="62" t="s">
        <v>2061</v>
      </c>
      <c r="N836" s="63" t="s">
        <v>2062</v>
      </c>
      <c r="O836" s="64" t="s">
        <v>453</v>
      </c>
    </row>
    <row r="837" spans="9:15" x14ac:dyDescent="0.45">
      <c r="I837"/>
      <c r="J837"/>
      <c r="M837" s="62" t="s">
        <v>2063</v>
      </c>
      <c r="N837" s="63" t="s">
        <v>2064</v>
      </c>
      <c r="O837" s="64" t="s">
        <v>336</v>
      </c>
    </row>
    <row r="838" spans="9:15" x14ac:dyDescent="0.45">
      <c r="I838"/>
      <c r="J838"/>
      <c r="M838" s="62" t="s">
        <v>2065</v>
      </c>
      <c r="N838" s="63" t="s">
        <v>2066</v>
      </c>
      <c r="O838" s="64" t="s">
        <v>330</v>
      </c>
    </row>
    <row r="839" spans="9:15" x14ac:dyDescent="0.45">
      <c r="I839"/>
      <c r="J839"/>
      <c r="M839" s="62" t="s">
        <v>2067</v>
      </c>
      <c r="N839" s="63" t="s">
        <v>2068</v>
      </c>
      <c r="O839" s="64" t="s">
        <v>330</v>
      </c>
    </row>
    <row r="840" spans="9:15" x14ac:dyDescent="0.45">
      <c r="I840"/>
      <c r="J840"/>
      <c r="M840" s="62" t="s">
        <v>2069</v>
      </c>
      <c r="N840" s="63" t="s">
        <v>2070</v>
      </c>
      <c r="O840" s="64" t="s">
        <v>625</v>
      </c>
    </row>
    <row r="841" spans="9:15" x14ac:dyDescent="0.45">
      <c r="I841"/>
      <c r="J841"/>
      <c r="M841" s="62" t="s">
        <v>2071</v>
      </c>
      <c r="N841" s="63" t="s">
        <v>2072</v>
      </c>
      <c r="O841" s="64" t="s">
        <v>344</v>
      </c>
    </row>
    <row r="842" spans="9:15" x14ac:dyDescent="0.45">
      <c r="I842"/>
      <c r="J842"/>
      <c r="M842" s="71" t="s">
        <v>2073</v>
      </c>
      <c r="N842" s="72" t="s">
        <v>2074</v>
      </c>
      <c r="O842" s="64" t="s">
        <v>330</v>
      </c>
    </row>
    <row r="843" spans="9:15" x14ac:dyDescent="0.45">
      <c r="I843"/>
      <c r="J843"/>
      <c r="M843" s="62" t="s">
        <v>2075</v>
      </c>
      <c r="N843" s="63" t="s">
        <v>2076</v>
      </c>
      <c r="O843" s="64" t="s">
        <v>425</v>
      </c>
    </row>
    <row r="844" spans="9:15" x14ac:dyDescent="0.45">
      <c r="I844"/>
      <c r="J844"/>
      <c r="M844" s="62" t="s">
        <v>2077</v>
      </c>
      <c r="N844" s="63" t="s">
        <v>2078</v>
      </c>
      <c r="O844" s="64" t="s">
        <v>632</v>
      </c>
    </row>
    <row r="845" spans="9:15" x14ac:dyDescent="0.45">
      <c r="I845"/>
      <c r="J845"/>
      <c r="M845" s="62" t="s">
        <v>2079</v>
      </c>
      <c r="N845" s="63" t="s">
        <v>2080</v>
      </c>
      <c r="O845" s="64" t="s">
        <v>330</v>
      </c>
    </row>
    <row r="846" spans="9:15" x14ac:dyDescent="0.45">
      <c r="I846"/>
      <c r="J846"/>
      <c r="M846" s="62" t="s">
        <v>2081</v>
      </c>
      <c r="N846" s="63" t="s">
        <v>2082</v>
      </c>
      <c r="O846" s="64" t="s">
        <v>453</v>
      </c>
    </row>
    <row r="847" spans="9:15" x14ac:dyDescent="0.45">
      <c r="I847"/>
      <c r="J847"/>
      <c r="M847" s="62" t="s">
        <v>2083</v>
      </c>
      <c r="N847" s="63" t="s">
        <v>2084</v>
      </c>
      <c r="O847" s="64" t="s">
        <v>321</v>
      </c>
    </row>
    <row r="848" spans="9:15" x14ac:dyDescent="0.45">
      <c r="I848"/>
      <c r="J848"/>
      <c r="M848" s="62" t="s">
        <v>2085</v>
      </c>
      <c r="N848" s="63" t="s">
        <v>2086</v>
      </c>
      <c r="O848" s="64" t="s">
        <v>330</v>
      </c>
    </row>
    <row r="849" spans="9:15" x14ac:dyDescent="0.45">
      <c r="I849"/>
      <c r="J849"/>
      <c r="M849" s="62" t="s">
        <v>2087</v>
      </c>
      <c r="N849" s="63" t="s">
        <v>2088</v>
      </c>
      <c r="O849" s="64" t="s">
        <v>344</v>
      </c>
    </row>
    <row r="850" spans="9:15" x14ac:dyDescent="0.45">
      <c r="I850"/>
      <c r="J850"/>
      <c r="M850" s="62" t="s">
        <v>2089</v>
      </c>
      <c r="N850" s="63" t="s">
        <v>2090</v>
      </c>
      <c r="O850" s="64" t="s">
        <v>453</v>
      </c>
    </row>
    <row r="851" spans="9:15" x14ac:dyDescent="0.45">
      <c r="I851"/>
      <c r="J851"/>
      <c r="M851" s="62" t="s">
        <v>2091</v>
      </c>
      <c r="N851" s="63" t="s">
        <v>2092</v>
      </c>
      <c r="O851" s="64" t="s">
        <v>453</v>
      </c>
    </row>
    <row r="852" spans="9:15" x14ac:dyDescent="0.45">
      <c r="I852"/>
      <c r="J852"/>
      <c r="M852" s="62" t="s">
        <v>2093</v>
      </c>
      <c r="N852" s="63" t="s">
        <v>2094</v>
      </c>
      <c r="O852" s="64" t="s">
        <v>330</v>
      </c>
    </row>
    <row r="853" spans="9:15" x14ac:dyDescent="0.45">
      <c r="I853"/>
      <c r="J853"/>
      <c r="M853" s="62" t="s">
        <v>2095</v>
      </c>
      <c r="N853" s="63" t="s">
        <v>2096</v>
      </c>
      <c r="O853" s="64" t="s">
        <v>330</v>
      </c>
    </row>
    <row r="854" spans="9:15" x14ac:dyDescent="0.45">
      <c r="I854"/>
      <c r="J854"/>
      <c r="M854" s="62" t="s">
        <v>2097</v>
      </c>
      <c r="N854" s="63" t="s">
        <v>2098</v>
      </c>
      <c r="O854" s="64" t="s">
        <v>330</v>
      </c>
    </row>
    <row r="855" spans="9:15" x14ac:dyDescent="0.45">
      <c r="I855"/>
      <c r="J855"/>
      <c r="M855" s="62" t="s">
        <v>2099</v>
      </c>
      <c r="N855" s="63" t="s">
        <v>2100</v>
      </c>
      <c r="O855" s="64" t="s">
        <v>330</v>
      </c>
    </row>
    <row r="856" spans="9:15" x14ac:dyDescent="0.45">
      <c r="I856"/>
      <c r="J856"/>
      <c r="M856" s="62" t="s">
        <v>2101</v>
      </c>
      <c r="N856" s="63" t="s">
        <v>2102</v>
      </c>
      <c r="O856" s="64" t="s">
        <v>330</v>
      </c>
    </row>
    <row r="857" spans="9:15" x14ac:dyDescent="0.45">
      <c r="I857"/>
      <c r="J857"/>
      <c r="M857" s="62" t="s">
        <v>2103</v>
      </c>
      <c r="N857" s="63" t="s">
        <v>2104</v>
      </c>
      <c r="O857" s="64" t="s">
        <v>330</v>
      </c>
    </row>
    <row r="858" spans="9:15" x14ac:dyDescent="0.45">
      <c r="I858"/>
      <c r="J858"/>
      <c r="M858" s="62" t="s">
        <v>2105</v>
      </c>
      <c r="N858" s="63" t="s">
        <v>2106</v>
      </c>
      <c r="O858" s="64" t="s">
        <v>453</v>
      </c>
    </row>
    <row r="859" spans="9:15" x14ac:dyDescent="0.45">
      <c r="I859"/>
      <c r="J859"/>
      <c r="M859" s="62" t="s">
        <v>2107</v>
      </c>
      <c r="N859" s="63" t="s">
        <v>2108</v>
      </c>
      <c r="O859" s="64" t="s">
        <v>318</v>
      </c>
    </row>
    <row r="860" spans="9:15" x14ac:dyDescent="0.45">
      <c r="I860"/>
      <c r="J860"/>
      <c r="M860" s="62" t="s">
        <v>2109</v>
      </c>
      <c r="N860" s="63" t="s">
        <v>2110</v>
      </c>
      <c r="O860" s="64" t="s">
        <v>330</v>
      </c>
    </row>
    <row r="861" spans="9:15" x14ac:dyDescent="0.45">
      <c r="I861"/>
      <c r="J861"/>
      <c r="M861" s="62" t="s">
        <v>2111</v>
      </c>
      <c r="N861" s="63" t="s">
        <v>2112</v>
      </c>
      <c r="O861" s="64" t="s">
        <v>330</v>
      </c>
    </row>
    <row r="862" spans="9:15" x14ac:dyDescent="0.45">
      <c r="I862"/>
      <c r="J862"/>
      <c r="M862" s="62" t="s">
        <v>2113</v>
      </c>
      <c r="N862" s="63" t="s">
        <v>2114</v>
      </c>
      <c r="O862" s="64" t="s">
        <v>321</v>
      </c>
    </row>
    <row r="863" spans="9:15" x14ac:dyDescent="0.45">
      <c r="I863"/>
      <c r="J863"/>
      <c r="M863" s="62" t="s">
        <v>2115</v>
      </c>
      <c r="N863" s="63" t="s">
        <v>2116</v>
      </c>
      <c r="O863" s="64" t="s">
        <v>453</v>
      </c>
    </row>
    <row r="864" spans="9:15" x14ac:dyDescent="0.45">
      <c r="I864"/>
      <c r="J864"/>
      <c r="M864" s="62" t="s">
        <v>2117</v>
      </c>
      <c r="N864" s="63" t="s">
        <v>2118</v>
      </c>
      <c r="O864" s="64" t="s">
        <v>2119</v>
      </c>
    </row>
    <row r="865" spans="9:15" x14ac:dyDescent="0.45">
      <c r="I865"/>
      <c r="J865"/>
      <c r="M865" s="62" t="s">
        <v>2120</v>
      </c>
      <c r="N865" s="63" t="s">
        <v>2121</v>
      </c>
      <c r="O865" s="64" t="s">
        <v>330</v>
      </c>
    </row>
    <row r="866" spans="9:15" x14ac:dyDescent="0.45">
      <c r="I866"/>
      <c r="J866"/>
      <c r="M866" s="62" t="s">
        <v>2122</v>
      </c>
      <c r="N866" s="63" t="s">
        <v>2123</v>
      </c>
      <c r="O866" s="64" t="s">
        <v>330</v>
      </c>
    </row>
    <row r="867" spans="9:15" x14ac:dyDescent="0.45">
      <c r="I867"/>
      <c r="J867"/>
      <c r="M867" s="62" t="s">
        <v>2124</v>
      </c>
      <c r="N867" s="63" t="s">
        <v>2125</v>
      </c>
      <c r="O867" s="64" t="s">
        <v>330</v>
      </c>
    </row>
    <row r="868" spans="9:15" x14ac:dyDescent="0.45">
      <c r="I868"/>
      <c r="J868"/>
      <c r="M868" s="62" t="s">
        <v>2126</v>
      </c>
      <c r="N868" s="63" t="s">
        <v>2127</v>
      </c>
      <c r="O868" s="64" t="s">
        <v>625</v>
      </c>
    </row>
    <row r="869" spans="9:15" x14ac:dyDescent="0.45">
      <c r="I869"/>
      <c r="J869"/>
      <c r="M869" s="62" t="s">
        <v>2128</v>
      </c>
      <c r="N869" s="63" t="s">
        <v>2129</v>
      </c>
      <c r="O869" s="64" t="s">
        <v>330</v>
      </c>
    </row>
    <row r="870" spans="9:15" x14ac:dyDescent="0.45">
      <c r="I870"/>
      <c r="J870"/>
      <c r="M870" s="62" t="s">
        <v>2130</v>
      </c>
      <c r="N870" s="63" t="s">
        <v>2131</v>
      </c>
      <c r="O870" s="64" t="s">
        <v>341</v>
      </c>
    </row>
    <row r="871" spans="9:15" x14ac:dyDescent="0.45">
      <c r="I871"/>
      <c r="J871"/>
      <c r="M871" s="62" t="s">
        <v>2132</v>
      </c>
      <c r="N871" s="63" t="s">
        <v>2133</v>
      </c>
      <c r="O871" s="64" t="s">
        <v>330</v>
      </c>
    </row>
    <row r="872" spans="9:15" x14ac:dyDescent="0.45">
      <c r="I872"/>
      <c r="J872"/>
      <c r="M872" s="62" t="s">
        <v>2134</v>
      </c>
      <c r="N872" s="63" t="s">
        <v>2135</v>
      </c>
      <c r="O872" s="64" t="s">
        <v>330</v>
      </c>
    </row>
    <row r="873" spans="9:15" x14ac:dyDescent="0.45">
      <c r="I873"/>
      <c r="J873"/>
      <c r="M873" s="62" t="s">
        <v>2136</v>
      </c>
      <c r="N873" s="63" t="s">
        <v>2137</v>
      </c>
      <c r="O873" s="64" t="s">
        <v>509</v>
      </c>
    </row>
    <row r="874" spans="9:15" x14ac:dyDescent="0.45">
      <c r="I874"/>
      <c r="J874"/>
      <c r="M874" s="62" t="s">
        <v>2138</v>
      </c>
      <c r="N874" s="63" t="s">
        <v>2139</v>
      </c>
      <c r="O874" s="64" t="s">
        <v>330</v>
      </c>
    </row>
    <row r="875" spans="9:15" x14ac:dyDescent="0.45">
      <c r="I875"/>
      <c r="J875"/>
      <c r="M875" s="62" t="s">
        <v>2140</v>
      </c>
      <c r="N875" s="63" t="s">
        <v>2141</v>
      </c>
      <c r="O875" s="64" t="s">
        <v>330</v>
      </c>
    </row>
    <row r="876" spans="9:15" x14ac:dyDescent="0.45">
      <c r="I876"/>
      <c r="J876"/>
      <c r="M876" s="62" t="s">
        <v>2142</v>
      </c>
      <c r="N876" s="63" t="s">
        <v>2143</v>
      </c>
      <c r="O876" s="64" t="s">
        <v>364</v>
      </c>
    </row>
    <row r="877" spans="9:15" x14ac:dyDescent="0.45">
      <c r="I877"/>
      <c r="J877"/>
      <c r="M877" s="62" t="s">
        <v>2144</v>
      </c>
      <c r="N877" s="63" t="s">
        <v>2145</v>
      </c>
      <c r="O877" s="64" t="s">
        <v>327</v>
      </c>
    </row>
    <row r="878" spans="9:15" x14ac:dyDescent="0.45">
      <c r="I878"/>
      <c r="J878"/>
      <c r="M878" s="62" t="s">
        <v>2146</v>
      </c>
      <c r="N878" s="63" t="s">
        <v>2147</v>
      </c>
      <c r="O878" s="64" t="s">
        <v>453</v>
      </c>
    </row>
    <row r="879" spans="9:15" x14ac:dyDescent="0.45">
      <c r="I879"/>
      <c r="J879"/>
      <c r="M879" s="62" t="s">
        <v>2148</v>
      </c>
      <c r="N879" s="63" t="s">
        <v>2149</v>
      </c>
      <c r="O879" s="64" t="s">
        <v>330</v>
      </c>
    </row>
    <row r="880" spans="9:15" x14ac:dyDescent="0.45">
      <c r="I880"/>
      <c r="J880"/>
      <c r="M880" s="62" t="s">
        <v>2150</v>
      </c>
      <c r="N880" s="63" t="s">
        <v>2151</v>
      </c>
      <c r="O880" s="64" t="s">
        <v>632</v>
      </c>
    </row>
    <row r="881" spans="9:15" x14ac:dyDescent="0.45">
      <c r="I881"/>
      <c r="J881"/>
      <c r="M881" s="62" t="s">
        <v>2152</v>
      </c>
      <c r="N881" s="63" t="s">
        <v>2153</v>
      </c>
      <c r="O881" s="64" t="s">
        <v>330</v>
      </c>
    </row>
    <row r="882" spans="9:15" x14ac:dyDescent="0.45">
      <c r="I882"/>
      <c r="J882"/>
      <c r="M882" s="62" t="s">
        <v>2154</v>
      </c>
      <c r="N882" s="63" t="s">
        <v>2155</v>
      </c>
      <c r="O882" s="64" t="s">
        <v>330</v>
      </c>
    </row>
    <row r="883" spans="9:15" x14ac:dyDescent="0.45">
      <c r="I883"/>
      <c r="J883"/>
      <c r="M883" s="62" t="s">
        <v>2156</v>
      </c>
      <c r="N883" s="63" t="s">
        <v>2157</v>
      </c>
      <c r="O883" s="64" t="s">
        <v>596</v>
      </c>
    </row>
    <row r="884" spans="9:15" x14ac:dyDescent="0.45">
      <c r="I884"/>
      <c r="J884"/>
      <c r="M884" s="62" t="s">
        <v>2158</v>
      </c>
      <c r="N884" s="63" t="s">
        <v>2159</v>
      </c>
      <c r="O884" s="64" t="s">
        <v>417</v>
      </c>
    </row>
    <row r="885" spans="9:15" x14ac:dyDescent="0.45">
      <c r="I885"/>
      <c r="J885"/>
      <c r="M885" s="71" t="s">
        <v>2160</v>
      </c>
      <c r="N885" s="72" t="s">
        <v>2161</v>
      </c>
      <c r="O885" s="72" t="s">
        <v>330</v>
      </c>
    </row>
    <row r="886" spans="9:15" x14ac:dyDescent="0.45">
      <c r="I886"/>
      <c r="J886"/>
      <c r="M886" s="62" t="s">
        <v>2162</v>
      </c>
      <c r="N886" s="63" t="s">
        <v>2163</v>
      </c>
      <c r="O886" s="64" t="s">
        <v>330</v>
      </c>
    </row>
    <row r="887" spans="9:15" x14ac:dyDescent="0.45">
      <c r="I887"/>
      <c r="J887"/>
      <c r="M887" s="75" t="s">
        <v>2164</v>
      </c>
      <c r="N887" s="76" t="s">
        <v>2165</v>
      </c>
      <c r="O887" s="76" t="s">
        <v>632</v>
      </c>
    </row>
    <row r="888" spans="9:15" x14ac:dyDescent="0.45">
      <c r="I888"/>
      <c r="J888"/>
      <c r="M888" s="62" t="s">
        <v>2166</v>
      </c>
      <c r="N888" s="63" t="s">
        <v>2167</v>
      </c>
      <c r="O888" s="64" t="s">
        <v>403</v>
      </c>
    </row>
    <row r="889" spans="9:15" x14ac:dyDescent="0.45">
      <c r="I889"/>
      <c r="J889"/>
      <c r="M889" s="62" t="s">
        <v>2168</v>
      </c>
      <c r="N889" s="63" t="s">
        <v>2169</v>
      </c>
      <c r="O889" s="64" t="s">
        <v>509</v>
      </c>
    </row>
    <row r="890" spans="9:15" x14ac:dyDescent="0.45">
      <c r="I890"/>
      <c r="J890"/>
      <c r="M890" s="62" t="s">
        <v>2170</v>
      </c>
      <c r="N890" s="72" t="s">
        <v>2171</v>
      </c>
      <c r="O890" s="64" t="s">
        <v>330</v>
      </c>
    </row>
    <row r="891" spans="9:15" x14ac:dyDescent="0.45">
      <c r="I891"/>
      <c r="J891"/>
      <c r="M891" s="62" t="s">
        <v>2172</v>
      </c>
      <c r="N891" s="63" t="s">
        <v>2173</v>
      </c>
      <c r="O891" s="64" t="s">
        <v>330</v>
      </c>
    </row>
    <row r="892" spans="9:15" x14ac:dyDescent="0.45">
      <c r="I892"/>
      <c r="J892"/>
      <c r="M892" s="62" t="s">
        <v>2174</v>
      </c>
      <c r="N892" s="63" t="s">
        <v>2175</v>
      </c>
      <c r="O892" s="64" t="s">
        <v>330</v>
      </c>
    </row>
    <row r="893" spans="9:15" x14ac:dyDescent="0.45">
      <c r="I893"/>
      <c r="J893"/>
      <c r="M893" s="62" t="s">
        <v>2176</v>
      </c>
      <c r="N893" s="63" t="s">
        <v>2177</v>
      </c>
      <c r="O893" s="64" t="s">
        <v>330</v>
      </c>
    </row>
    <row r="894" spans="9:15" x14ac:dyDescent="0.45">
      <c r="I894"/>
      <c r="J894"/>
      <c r="M894" s="62" t="s">
        <v>2178</v>
      </c>
      <c r="N894" s="63" t="s">
        <v>2179</v>
      </c>
      <c r="O894" s="64" t="s">
        <v>330</v>
      </c>
    </row>
    <row r="895" spans="9:15" x14ac:dyDescent="0.45">
      <c r="I895"/>
      <c r="J895"/>
      <c r="M895" s="62" t="s">
        <v>2180</v>
      </c>
      <c r="N895" s="63" t="s">
        <v>2181</v>
      </c>
      <c r="O895" s="64" t="s">
        <v>359</v>
      </c>
    </row>
    <row r="896" spans="9:15" x14ac:dyDescent="0.45">
      <c r="I896"/>
      <c r="J896"/>
      <c r="M896" s="62" t="s">
        <v>2182</v>
      </c>
      <c r="N896" s="63" t="s">
        <v>2183</v>
      </c>
      <c r="O896" s="64" t="s">
        <v>330</v>
      </c>
    </row>
    <row r="897" spans="9:15" x14ac:dyDescent="0.45">
      <c r="I897"/>
      <c r="J897"/>
      <c r="M897" s="62" t="s">
        <v>2184</v>
      </c>
      <c r="N897" s="63" t="s">
        <v>2185</v>
      </c>
      <c r="O897" s="64" t="s">
        <v>327</v>
      </c>
    </row>
    <row r="898" spans="9:15" x14ac:dyDescent="0.45">
      <c r="I898"/>
      <c r="J898"/>
      <c r="M898" s="62" t="s">
        <v>2186</v>
      </c>
      <c r="N898" s="63" t="s">
        <v>2187</v>
      </c>
      <c r="O898" s="64" t="s">
        <v>330</v>
      </c>
    </row>
    <row r="899" spans="9:15" x14ac:dyDescent="0.45">
      <c r="I899"/>
      <c r="J899"/>
      <c r="M899" s="62" t="s">
        <v>2188</v>
      </c>
      <c r="N899" s="63" t="s">
        <v>2189</v>
      </c>
      <c r="O899" s="64" t="s">
        <v>2190</v>
      </c>
    </row>
    <row r="900" spans="9:15" x14ac:dyDescent="0.45">
      <c r="I900"/>
      <c r="J900"/>
      <c r="M900" s="62" t="s">
        <v>2191</v>
      </c>
      <c r="N900" s="63" t="s">
        <v>2192</v>
      </c>
      <c r="O900" s="64" t="s">
        <v>321</v>
      </c>
    </row>
    <row r="901" spans="9:15" x14ac:dyDescent="0.45">
      <c r="I901"/>
      <c r="J901"/>
      <c r="M901" s="62" t="s">
        <v>2193</v>
      </c>
      <c r="N901" s="63" t="s">
        <v>2194</v>
      </c>
      <c r="O901" s="64" t="s">
        <v>330</v>
      </c>
    </row>
    <row r="902" spans="9:15" x14ac:dyDescent="0.45">
      <c r="I902"/>
      <c r="J902"/>
      <c r="M902" s="62" t="s">
        <v>2195</v>
      </c>
      <c r="N902" s="63" t="s">
        <v>2196</v>
      </c>
      <c r="O902" s="64" t="s">
        <v>330</v>
      </c>
    </row>
    <row r="903" spans="9:15" x14ac:dyDescent="0.45">
      <c r="I903"/>
      <c r="J903"/>
      <c r="M903" s="62" t="s">
        <v>2197</v>
      </c>
      <c r="N903" s="63" t="s">
        <v>2198</v>
      </c>
      <c r="O903" s="64" t="s">
        <v>330</v>
      </c>
    </row>
    <row r="904" spans="9:15" x14ac:dyDescent="0.45">
      <c r="I904"/>
      <c r="J904"/>
      <c r="M904" s="62" t="s">
        <v>2199</v>
      </c>
      <c r="N904" s="63" t="s">
        <v>2200</v>
      </c>
      <c r="O904" s="64" t="s">
        <v>330</v>
      </c>
    </row>
    <row r="905" spans="9:15" x14ac:dyDescent="0.45">
      <c r="I905"/>
      <c r="J905"/>
      <c r="M905" s="62" t="s">
        <v>2201</v>
      </c>
      <c r="N905" s="63" t="s">
        <v>2202</v>
      </c>
      <c r="O905" s="64" t="s">
        <v>330</v>
      </c>
    </row>
    <row r="906" spans="9:15" x14ac:dyDescent="0.45">
      <c r="I906"/>
      <c r="J906"/>
      <c r="M906" s="62" t="s">
        <v>2203</v>
      </c>
      <c r="N906" s="63" t="s">
        <v>2204</v>
      </c>
      <c r="O906" s="64" t="s">
        <v>344</v>
      </c>
    </row>
    <row r="907" spans="9:15" x14ac:dyDescent="0.45">
      <c r="I907"/>
      <c r="J907"/>
      <c r="M907" s="62" t="s">
        <v>2205</v>
      </c>
      <c r="N907" s="63" t="s">
        <v>2206</v>
      </c>
      <c r="O907" s="64" t="s">
        <v>330</v>
      </c>
    </row>
    <row r="908" spans="9:15" x14ac:dyDescent="0.45">
      <c r="I908"/>
      <c r="J908"/>
      <c r="M908" s="62" t="s">
        <v>2207</v>
      </c>
      <c r="N908" s="63" t="s">
        <v>2208</v>
      </c>
      <c r="O908" s="64" t="s">
        <v>364</v>
      </c>
    </row>
    <row r="909" spans="9:15" x14ac:dyDescent="0.45">
      <c r="I909"/>
      <c r="J909"/>
      <c r="M909" s="62" t="s">
        <v>2209</v>
      </c>
      <c r="N909" s="63" t="s">
        <v>2210</v>
      </c>
      <c r="O909" s="64" t="s">
        <v>324</v>
      </c>
    </row>
    <row r="910" spans="9:15" x14ac:dyDescent="0.45">
      <c r="I910"/>
      <c r="J910"/>
      <c r="M910" s="62" t="s">
        <v>2211</v>
      </c>
      <c r="N910" s="63" t="s">
        <v>2212</v>
      </c>
      <c r="O910" s="64" t="s">
        <v>330</v>
      </c>
    </row>
    <row r="911" spans="9:15" x14ac:dyDescent="0.45">
      <c r="I911"/>
      <c r="J911"/>
      <c r="M911" s="62" t="s">
        <v>2213</v>
      </c>
      <c r="N911" s="63" t="s">
        <v>2214</v>
      </c>
      <c r="O911" s="64" t="s">
        <v>330</v>
      </c>
    </row>
    <row r="912" spans="9:15" x14ac:dyDescent="0.45">
      <c r="I912"/>
      <c r="J912"/>
      <c r="M912" s="62" t="s">
        <v>2215</v>
      </c>
      <c r="N912" s="63" t="s">
        <v>2216</v>
      </c>
      <c r="O912" s="64" t="s">
        <v>330</v>
      </c>
    </row>
    <row r="913" spans="9:15" x14ac:dyDescent="0.45">
      <c r="I913"/>
      <c r="J913"/>
      <c r="M913" s="62" t="s">
        <v>2217</v>
      </c>
      <c r="N913" s="63" t="s">
        <v>2218</v>
      </c>
      <c r="O913" s="64" t="s">
        <v>318</v>
      </c>
    </row>
    <row r="914" spans="9:15" x14ac:dyDescent="0.45">
      <c r="I914"/>
      <c r="J914"/>
      <c r="M914" s="62" t="s">
        <v>2219</v>
      </c>
      <c r="N914" s="72" t="s">
        <v>2220</v>
      </c>
      <c r="O914" s="64" t="s">
        <v>330</v>
      </c>
    </row>
    <row r="915" spans="9:15" x14ac:dyDescent="0.45">
      <c r="I915"/>
      <c r="J915"/>
      <c r="M915" s="62" t="s">
        <v>2221</v>
      </c>
      <c r="N915" s="63" t="s">
        <v>2222</v>
      </c>
      <c r="O915" s="64" t="s">
        <v>330</v>
      </c>
    </row>
    <row r="916" spans="9:15" x14ac:dyDescent="0.45">
      <c r="I916"/>
      <c r="J916"/>
      <c r="M916" s="62" t="s">
        <v>2223</v>
      </c>
      <c r="N916" s="63" t="s">
        <v>2224</v>
      </c>
      <c r="O916" s="64" t="s">
        <v>330</v>
      </c>
    </row>
    <row r="917" spans="9:15" x14ac:dyDescent="0.45">
      <c r="I917"/>
      <c r="J917"/>
      <c r="M917" s="62" t="s">
        <v>2225</v>
      </c>
      <c r="N917" s="63" t="s">
        <v>2226</v>
      </c>
      <c r="O917" s="64" t="s">
        <v>330</v>
      </c>
    </row>
    <row r="918" spans="9:15" x14ac:dyDescent="0.45">
      <c r="I918"/>
      <c r="J918"/>
      <c r="M918" s="62" t="s">
        <v>2227</v>
      </c>
      <c r="N918" s="63" t="s">
        <v>2228</v>
      </c>
      <c r="O918" s="64" t="s">
        <v>330</v>
      </c>
    </row>
    <row r="919" spans="9:15" x14ac:dyDescent="0.45">
      <c r="I919"/>
      <c r="J919"/>
      <c r="M919" s="62" t="s">
        <v>2229</v>
      </c>
      <c r="N919" s="63" t="s">
        <v>2230</v>
      </c>
      <c r="O919" s="64" t="s">
        <v>330</v>
      </c>
    </row>
    <row r="920" spans="9:15" x14ac:dyDescent="0.45">
      <c r="I920"/>
      <c r="J920"/>
      <c r="M920" s="62" t="s">
        <v>2231</v>
      </c>
      <c r="N920" s="63" t="s">
        <v>2232</v>
      </c>
      <c r="O920" s="64" t="s">
        <v>403</v>
      </c>
    </row>
    <row r="921" spans="9:15" x14ac:dyDescent="0.45">
      <c r="I921"/>
      <c r="J921"/>
      <c r="M921" s="62" t="s">
        <v>2233</v>
      </c>
      <c r="N921" s="63" t="s">
        <v>2234</v>
      </c>
      <c r="O921" s="64" t="s">
        <v>330</v>
      </c>
    </row>
    <row r="922" spans="9:15" x14ac:dyDescent="0.45">
      <c r="I922"/>
      <c r="J922"/>
      <c r="M922" s="62" t="s">
        <v>2235</v>
      </c>
      <c r="N922" s="63" t="s">
        <v>2236</v>
      </c>
      <c r="O922" s="64" t="s">
        <v>341</v>
      </c>
    </row>
    <row r="923" spans="9:15" x14ac:dyDescent="0.45">
      <c r="I923"/>
      <c r="J923"/>
      <c r="M923" s="62" t="s">
        <v>2237</v>
      </c>
      <c r="N923" s="63" t="s">
        <v>2238</v>
      </c>
      <c r="O923" s="64" t="s">
        <v>330</v>
      </c>
    </row>
    <row r="924" spans="9:15" x14ac:dyDescent="0.45">
      <c r="I924"/>
      <c r="J924"/>
      <c r="M924" s="62" t="s">
        <v>2239</v>
      </c>
      <c r="N924" s="63" t="s">
        <v>2240</v>
      </c>
      <c r="O924" s="64" t="s">
        <v>330</v>
      </c>
    </row>
    <row r="925" spans="9:15" x14ac:dyDescent="0.45">
      <c r="I925"/>
      <c r="J925"/>
      <c r="M925" s="62" t="s">
        <v>2241</v>
      </c>
      <c r="N925" s="63" t="s">
        <v>2242</v>
      </c>
      <c r="O925" s="64" t="s">
        <v>330</v>
      </c>
    </row>
    <row r="926" spans="9:15" x14ac:dyDescent="0.45">
      <c r="I926"/>
      <c r="J926"/>
      <c r="M926" s="62" t="s">
        <v>2243</v>
      </c>
      <c r="N926" s="63" t="s">
        <v>2244</v>
      </c>
      <c r="O926" s="64" t="s">
        <v>330</v>
      </c>
    </row>
    <row r="927" spans="9:15" x14ac:dyDescent="0.45">
      <c r="I927"/>
      <c r="J927"/>
      <c r="M927" s="62" t="s">
        <v>2245</v>
      </c>
      <c r="N927" s="63" t="s">
        <v>2246</v>
      </c>
      <c r="O927" s="64" t="s">
        <v>330</v>
      </c>
    </row>
    <row r="928" spans="9:15" x14ac:dyDescent="0.45">
      <c r="I928"/>
      <c r="J928"/>
      <c r="M928" s="62" t="s">
        <v>2247</v>
      </c>
      <c r="N928" s="63" t="s">
        <v>2248</v>
      </c>
      <c r="O928" s="64" t="s">
        <v>2249</v>
      </c>
    </row>
    <row r="929" spans="9:15" x14ac:dyDescent="0.45">
      <c r="I929"/>
      <c r="J929"/>
      <c r="M929" s="62" t="s">
        <v>2250</v>
      </c>
      <c r="N929" s="63" t="s">
        <v>2251</v>
      </c>
      <c r="O929" s="64" t="s">
        <v>330</v>
      </c>
    </row>
    <row r="930" spans="9:15" x14ac:dyDescent="0.45">
      <c r="I930"/>
      <c r="J930"/>
      <c r="M930" s="62" t="s">
        <v>2252</v>
      </c>
      <c r="N930" s="63" t="s">
        <v>2251</v>
      </c>
      <c r="O930" s="64" t="s">
        <v>330</v>
      </c>
    </row>
    <row r="931" spans="9:15" x14ac:dyDescent="0.45">
      <c r="I931"/>
      <c r="J931"/>
      <c r="M931" s="62" t="s">
        <v>2253</v>
      </c>
      <c r="N931" s="63" t="s">
        <v>2254</v>
      </c>
      <c r="O931" s="64" t="s">
        <v>625</v>
      </c>
    </row>
    <row r="932" spans="9:15" x14ac:dyDescent="0.45">
      <c r="I932"/>
      <c r="J932"/>
      <c r="M932" s="62" t="s">
        <v>2255</v>
      </c>
      <c r="N932" s="63" t="s">
        <v>2256</v>
      </c>
      <c r="O932" s="64" t="s">
        <v>330</v>
      </c>
    </row>
    <row r="933" spans="9:15" x14ac:dyDescent="0.45">
      <c r="I933"/>
      <c r="J933"/>
      <c r="M933" s="62" t="s">
        <v>2257</v>
      </c>
      <c r="N933" s="63" t="s">
        <v>2258</v>
      </c>
      <c r="O933" s="64" t="s">
        <v>453</v>
      </c>
    </row>
    <row r="934" spans="9:15" x14ac:dyDescent="0.45">
      <c r="I934"/>
      <c r="J934"/>
      <c r="M934" s="71" t="s">
        <v>2259</v>
      </c>
      <c r="N934" s="72" t="s">
        <v>2260</v>
      </c>
      <c r="O934" s="64" t="s">
        <v>330</v>
      </c>
    </row>
    <row r="935" spans="9:15" x14ac:dyDescent="0.45">
      <c r="I935"/>
      <c r="J935"/>
      <c r="M935" s="62" t="s">
        <v>2261</v>
      </c>
      <c r="N935" s="63" t="s">
        <v>2262</v>
      </c>
      <c r="O935" s="64" t="s">
        <v>330</v>
      </c>
    </row>
    <row r="936" spans="9:15" x14ac:dyDescent="0.45">
      <c r="I936"/>
      <c r="J936"/>
      <c r="M936" s="62" t="s">
        <v>2263</v>
      </c>
      <c r="N936" s="63" t="s">
        <v>2264</v>
      </c>
      <c r="O936" s="64" t="s">
        <v>330</v>
      </c>
    </row>
    <row r="937" spans="9:15" x14ac:dyDescent="0.45">
      <c r="I937"/>
      <c r="J937"/>
      <c r="M937" s="62" t="s">
        <v>2265</v>
      </c>
      <c r="N937" s="63" t="s">
        <v>2266</v>
      </c>
      <c r="O937" s="64" t="s">
        <v>324</v>
      </c>
    </row>
    <row r="938" spans="9:15" x14ac:dyDescent="0.45">
      <c r="I938"/>
      <c r="J938"/>
      <c r="M938" s="62" t="s">
        <v>2267</v>
      </c>
      <c r="N938" s="63" t="s">
        <v>2268</v>
      </c>
      <c r="O938" s="64" t="s">
        <v>330</v>
      </c>
    </row>
    <row r="939" spans="9:15" x14ac:dyDescent="0.45">
      <c r="I939"/>
      <c r="J939"/>
      <c r="M939" s="62" t="s">
        <v>2269</v>
      </c>
      <c r="N939" s="63" t="s">
        <v>2270</v>
      </c>
      <c r="O939" s="64" t="s">
        <v>330</v>
      </c>
    </row>
    <row r="940" spans="9:15" x14ac:dyDescent="0.45">
      <c r="I940"/>
      <c r="J940"/>
      <c r="M940" s="62" t="s">
        <v>2271</v>
      </c>
      <c r="N940" s="63" t="s">
        <v>2272</v>
      </c>
      <c r="O940" s="64" t="s">
        <v>330</v>
      </c>
    </row>
    <row r="941" spans="9:15" x14ac:dyDescent="0.45">
      <c r="I941"/>
      <c r="J941"/>
      <c r="M941" s="62" t="s">
        <v>2273</v>
      </c>
      <c r="N941" s="63" t="s">
        <v>2274</v>
      </c>
      <c r="O941" s="64" t="s">
        <v>330</v>
      </c>
    </row>
    <row r="942" spans="9:15" x14ac:dyDescent="0.45">
      <c r="I942"/>
      <c r="J942"/>
      <c r="M942" s="62" t="s">
        <v>2275</v>
      </c>
      <c r="N942" s="63" t="s">
        <v>2276</v>
      </c>
      <c r="O942" s="64" t="s">
        <v>330</v>
      </c>
    </row>
    <row r="943" spans="9:15" x14ac:dyDescent="0.45">
      <c r="I943"/>
      <c r="J943"/>
      <c r="M943" s="62" t="s">
        <v>2277</v>
      </c>
      <c r="N943" s="63" t="s">
        <v>2278</v>
      </c>
      <c r="O943" s="64" t="s">
        <v>515</v>
      </c>
    </row>
    <row r="944" spans="9:15" x14ac:dyDescent="0.45">
      <c r="I944"/>
      <c r="J944"/>
      <c r="M944" s="62" t="s">
        <v>2279</v>
      </c>
      <c r="N944" s="63" t="s">
        <v>2280</v>
      </c>
      <c r="O944" s="64" t="s">
        <v>330</v>
      </c>
    </row>
    <row r="945" spans="9:15" x14ac:dyDescent="0.45">
      <c r="I945"/>
      <c r="J945"/>
      <c r="M945" s="62" t="s">
        <v>2281</v>
      </c>
      <c r="N945" s="63" t="s">
        <v>2282</v>
      </c>
      <c r="O945" s="64" t="s">
        <v>341</v>
      </c>
    </row>
    <row r="946" spans="9:15" x14ac:dyDescent="0.45">
      <c r="I946"/>
      <c r="J946"/>
      <c r="M946" s="75" t="s">
        <v>2283</v>
      </c>
      <c r="N946" s="76" t="s">
        <v>2284</v>
      </c>
      <c r="O946" s="64" t="s">
        <v>549</v>
      </c>
    </row>
    <row r="947" spans="9:15" x14ac:dyDescent="0.45">
      <c r="I947"/>
      <c r="J947"/>
      <c r="M947" s="62" t="s">
        <v>2285</v>
      </c>
      <c r="N947" s="63" t="s">
        <v>2286</v>
      </c>
      <c r="O947" s="64" t="s">
        <v>327</v>
      </c>
    </row>
    <row r="948" spans="9:15" x14ac:dyDescent="0.45">
      <c r="I948"/>
      <c r="J948"/>
      <c r="M948" s="62" t="s">
        <v>2287</v>
      </c>
      <c r="N948" s="63" t="s">
        <v>2288</v>
      </c>
      <c r="O948" s="64" t="s">
        <v>1056</v>
      </c>
    </row>
    <row r="949" spans="9:15" x14ac:dyDescent="0.45">
      <c r="I949"/>
      <c r="J949"/>
      <c r="M949" s="62" t="s">
        <v>2289</v>
      </c>
      <c r="N949" s="63" t="s">
        <v>2290</v>
      </c>
      <c r="O949" s="64" t="s">
        <v>521</v>
      </c>
    </row>
    <row r="950" spans="9:15" x14ac:dyDescent="0.45">
      <c r="I950"/>
      <c r="J950"/>
      <c r="M950" s="62" t="s">
        <v>2291</v>
      </c>
      <c r="N950" s="63" t="s">
        <v>2292</v>
      </c>
      <c r="O950" s="64" t="s">
        <v>318</v>
      </c>
    </row>
    <row r="951" spans="9:15" x14ac:dyDescent="0.45">
      <c r="I951"/>
      <c r="J951"/>
      <c r="M951" s="62" t="s">
        <v>2293</v>
      </c>
      <c r="N951" s="63" t="s">
        <v>2294</v>
      </c>
      <c r="O951" s="64" t="s">
        <v>425</v>
      </c>
    </row>
    <row r="952" spans="9:15" x14ac:dyDescent="0.45">
      <c r="I952"/>
      <c r="J952"/>
      <c r="M952" s="62" t="s">
        <v>2295</v>
      </c>
      <c r="N952" s="63" t="s">
        <v>2296</v>
      </c>
      <c r="O952" s="64" t="s">
        <v>330</v>
      </c>
    </row>
    <row r="953" spans="9:15" x14ac:dyDescent="0.45">
      <c r="I953"/>
      <c r="J953"/>
      <c r="M953" s="62" t="s">
        <v>2297</v>
      </c>
      <c r="N953" s="63" t="s">
        <v>2298</v>
      </c>
      <c r="O953" s="64" t="s">
        <v>330</v>
      </c>
    </row>
    <row r="954" spans="9:15" x14ac:dyDescent="0.45">
      <c r="I954"/>
      <c r="J954"/>
      <c r="M954" s="62" t="s">
        <v>2299</v>
      </c>
      <c r="N954" s="63" t="s">
        <v>2300</v>
      </c>
      <c r="O954" s="64" t="s">
        <v>330</v>
      </c>
    </row>
    <row r="955" spans="9:15" x14ac:dyDescent="0.45">
      <c r="I955"/>
      <c r="J955"/>
      <c r="M955" s="75" t="s">
        <v>2301</v>
      </c>
      <c r="N955" s="76" t="s">
        <v>2302</v>
      </c>
      <c r="O955" s="77" t="s">
        <v>330</v>
      </c>
    </row>
    <row r="956" spans="9:15" x14ac:dyDescent="0.45">
      <c r="I956"/>
      <c r="J956"/>
      <c r="M956" s="62" t="s">
        <v>2303</v>
      </c>
      <c r="N956" s="63" t="s">
        <v>2304</v>
      </c>
      <c r="O956" s="64" t="s">
        <v>330</v>
      </c>
    </row>
    <row r="957" spans="9:15" x14ac:dyDescent="0.45">
      <c r="I957"/>
      <c r="J957"/>
      <c r="M957" s="62" t="s">
        <v>2305</v>
      </c>
      <c r="N957" s="63" t="s">
        <v>2306</v>
      </c>
      <c r="O957" s="64" t="s">
        <v>330</v>
      </c>
    </row>
    <row r="958" spans="9:15" x14ac:dyDescent="0.45">
      <c r="I958"/>
      <c r="J958"/>
      <c r="M958" s="62" t="s">
        <v>2307</v>
      </c>
      <c r="N958" s="63" t="s">
        <v>2308</v>
      </c>
      <c r="O958" s="64" t="s">
        <v>330</v>
      </c>
    </row>
    <row r="959" spans="9:15" x14ac:dyDescent="0.45">
      <c r="I959"/>
      <c r="J959"/>
      <c r="M959" s="62" t="s">
        <v>2309</v>
      </c>
      <c r="N959" s="63" t="s">
        <v>2310</v>
      </c>
      <c r="O959" s="64" t="s">
        <v>330</v>
      </c>
    </row>
    <row r="960" spans="9:15" x14ac:dyDescent="0.45">
      <c r="I960"/>
      <c r="J960"/>
      <c r="M960" s="62" t="s">
        <v>2311</v>
      </c>
      <c r="N960" s="63" t="s">
        <v>2312</v>
      </c>
      <c r="O960" s="64" t="s">
        <v>330</v>
      </c>
    </row>
    <row r="961" spans="9:15" x14ac:dyDescent="0.45">
      <c r="I961"/>
      <c r="J961"/>
      <c r="M961" s="62" t="s">
        <v>2313</v>
      </c>
      <c r="N961" s="63" t="s">
        <v>2314</v>
      </c>
      <c r="O961" s="64" t="s">
        <v>330</v>
      </c>
    </row>
    <row r="962" spans="9:15" x14ac:dyDescent="0.45">
      <c r="I962"/>
      <c r="J962"/>
      <c r="M962" s="62" t="s">
        <v>2315</v>
      </c>
      <c r="N962" s="63" t="s">
        <v>2316</v>
      </c>
      <c r="O962" s="64" t="s">
        <v>330</v>
      </c>
    </row>
    <row r="963" spans="9:15" x14ac:dyDescent="0.45">
      <c r="I963"/>
      <c r="J963"/>
      <c r="M963" s="62" t="s">
        <v>2317</v>
      </c>
      <c r="N963" s="63" t="s">
        <v>2318</v>
      </c>
      <c r="O963" s="64" t="s">
        <v>330</v>
      </c>
    </row>
    <row r="964" spans="9:15" x14ac:dyDescent="0.45">
      <c r="I964"/>
      <c r="J964"/>
      <c r="M964" s="62" t="s">
        <v>2319</v>
      </c>
      <c r="N964" s="63" t="s">
        <v>2320</v>
      </c>
      <c r="O964" s="64" t="s">
        <v>330</v>
      </c>
    </row>
    <row r="965" spans="9:15" x14ac:dyDescent="0.45">
      <c r="I965"/>
      <c r="J965"/>
      <c r="M965" s="62" t="s">
        <v>2321</v>
      </c>
      <c r="N965" s="63" t="s">
        <v>2322</v>
      </c>
      <c r="O965" s="64" t="s">
        <v>330</v>
      </c>
    </row>
    <row r="966" spans="9:15" x14ac:dyDescent="0.45">
      <c r="I966"/>
      <c r="J966"/>
      <c r="M966" s="62" t="s">
        <v>2323</v>
      </c>
      <c r="N966" s="63" t="s">
        <v>2324</v>
      </c>
      <c r="O966" s="64" t="s">
        <v>509</v>
      </c>
    </row>
    <row r="967" spans="9:15" x14ac:dyDescent="0.45">
      <c r="I967"/>
      <c r="J967"/>
      <c r="M967" s="62" t="s">
        <v>2325</v>
      </c>
      <c r="N967" s="63" t="s">
        <v>2326</v>
      </c>
      <c r="O967" s="64" t="s">
        <v>330</v>
      </c>
    </row>
    <row r="968" spans="9:15" x14ac:dyDescent="0.45">
      <c r="I968"/>
      <c r="J968"/>
      <c r="M968" s="62" t="s">
        <v>2327</v>
      </c>
      <c r="N968" s="63" t="s">
        <v>2328</v>
      </c>
      <c r="O968" s="64" t="s">
        <v>324</v>
      </c>
    </row>
    <row r="969" spans="9:15" x14ac:dyDescent="0.45">
      <c r="I969"/>
      <c r="J969"/>
      <c r="M969" s="62" t="s">
        <v>2329</v>
      </c>
      <c r="N969" s="63" t="s">
        <v>2330</v>
      </c>
      <c r="O969" s="64" t="s">
        <v>1254</v>
      </c>
    </row>
    <row r="970" spans="9:15" x14ac:dyDescent="0.45">
      <c r="I970"/>
      <c r="J970"/>
      <c r="M970" s="62" t="s">
        <v>2331</v>
      </c>
      <c r="N970" s="63" t="s">
        <v>2332</v>
      </c>
      <c r="O970" s="64" t="s">
        <v>330</v>
      </c>
    </row>
    <row r="971" spans="9:15" x14ac:dyDescent="0.45">
      <c r="I971"/>
      <c r="J971"/>
      <c r="M971" s="62" t="s">
        <v>2333</v>
      </c>
      <c r="N971" s="63" t="s">
        <v>2334</v>
      </c>
      <c r="O971" s="64" t="s">
        <v>324</v>
      </c>
    </row>
    <row r="972" spans="9:15" x14ac:dyDescent="0.45">
      <c r="I972"/>
      <c r="J972"/>
      <c r="M972" s="62" t="s">
        <v>2335</v>
      </c>
      <c r="N972" s="63" t="s">
        <v>2336</v>
      </c>
      <c r="O972" s="64" t="s">
        <v>330</v>
      </c>
    </row>
    <row r="973" spans="9:15" x14ac:dyDescent="0.45">
      <c r="I973"/>
      <c r="J973"/>
      <c r="M973" s="62" t="s">
        <v>2337</v>
      </c>
      <c r="N973" s="63" t="s">
        <v>2338</v>
      </c>
      <c r="O973" s="64" t="s">
        <v>330</v>
      </c>
    </row>
    <row r="974" spans="9:15" x14ac:dyDescent="0.45">
      <c r="I974"/>
      <c r="J974"/>
      <c r="M974" s="62" t="s">
        <v>2339</v>
      </c>
      <c r="N974" s="63" t="s">
        <v>2340</v>
      </c>
      <c r="O974" s="64" t="s">
        <v>330</v>
      </c>
    </row>
    <row r="975" spans="9:15" x14ac:dyDescent="0.45">
      <c r="I975"/>
      <c r="J975"/>
      <c r="M975" s="62" t="s">
        <v>2341</v>
      </c>
      <c r="N975" s="63" t="s">
        <v>2342</v>
      </c>
      <c r="O975" s="64" t="s">
        <v>330</v>
      </c>
    </row>
    <row r="976" spans="9:15" x14ac:dyDescent="0.45">
      <c r="I976"/>
      <c r="J976"/>
      <c r="M976" s="62" t="s">
        <v>2343</v>
      </c>
      <c r="N976" s="63" t="s">
        <v>2344</v>
      </c>
      <c r="O976" s="64" t="s">
        <v>330</v>
      </c>
    </row>
    <row r="977" spans="9:15" x14ac:dyDescent="0.45">
      <c r="I977"/>
      <c r="J977"/>
      <c r="M977" s="62" t="s">
        <v>2345</v>
      </c>
      <c r="N977" s="63" t="s">
        <v>2346</v>
      </c>
      <c r="O977" s="64" t="s">
        <v>330</v>
      </c>
    </row>
    <row r="978" spans="9:15" x14ac:dyDescent="0.45">
      <c r="I978"/>
      <c r="J978"/>
      <c r="M978" s="62" t="s">
        <v>2347</v>
      </c>
      <c r="N978" s="63" t="s">
        <v>2348</v>
      </c>
      <c r="O978" s="64" t="s">
        <v>330</v>
      </c>
    </row>
    <row r="979" spans="9:15" x14ac:dyDescent="0.45">
      <c r="I979"/>
      <c r="J979"/>
      <c r="M979" s="62" t="s">
        <v>2349</v>
      </c>
      <c r="N979" s="63" t="s">
        <v>2350</v>
      </c>
      <c r="O979" s="64" t="s">
        <v>330</v>
      </c>
    </row>
    <row r="980" spans="9:15" x14ac:dyDescent="0.45">
      <c r="I980"/>
      <c r="J980"/>
      <c r="M980" s="62" t="s">
        <v>2351</v>
      </c>
      <c r="N980" s="63" t="s">
        <v>2352</v>
      </c>
      <c r="O980" s="64" t="s">
        <v>330</v>
      </c>
    </row>
    <row r="981" spans="9:15" x14ac:dyDescent="0.45">
      <c r="I981"/>
      <c r="J981"/>
      <c r="M981" s="62" t="s">
        <v>2353</v>
      </c>
      <c r="N981" s="63" t="s">
        <v>2354</v>
      </c>
      <c r="O981" s="64" t="s">
        <v>321</v>
      </c>
    </row>
    <row r="982" spans="9:15" x14ac:dyDescent="0.45">
      <c r="I982"/>
      <c r="J982"/>
      <c r="M982" s="62" t="s">
        <v>2355</v>
      </c>
      <c r="N982" s="63" t="s">
        <v>2356</v>
      </c>
      <c r="O982" s="64" t="s">
        <v>330</v>
      </c>
    </row>
    <row r="983" spans="9:15" x14ac:dyDescent="0.45">
      <c r="I983"/>
      <c r="J983"/>
      <c r="M983" s="62" t="s">
        <v>2357</v>
      </c>
      <c r="N983" s="63" t="s">
        <v>2358</v>
      </c>
      <c r="O983" s="64" t="s">
        <v>321</v>
      </c>
    </row>
    <row r="984" spans="9:15" x14ac:dyDescent="0.45">
      <c r="I984"/>
      <c r="J984"/>
      <c r="M984" s="62" t="s">
        <v>2359</v>
      </c>
      <c r="N984" s="63" t="s">
        <v>2360</v>
      </c>
      <c r="O984" s="64" t="s">
        <v>330</v>
      </c>
    </row>
    <row r="985" spans="9:15" x14ac:dyDescent="0.45">
      <c r="I985"/>
      <c r="J985"/>
      <c r="M985" s="62" t="s">
        <v>2361</v>
      </c>
      <c r="N985" s="63" t="s">
        <v>2362</v>
      </c>
      <c r="O985" s="64" t="s">
        <v>330</v>
      </c>
    </row>
    <row r="986" spans="9:15" x14ac:dyDescent="0.45">
      <c r="I986"/>
      <c r="J986"/>
      <c r="M986" s="62" t="s">
        <v>2363</v>
      </c>
      <c r="N986" s="63" t="s">
        <v>2364</v>
      </c>
      <c r="O986" s="64" t="s">
        <v>330</v>
      </c>
    </row>
    <row r="987" spans="9:15" x14ac:dyDescent="0.45">
      <c r="I987"/>
      <c r="J987"/>
      <c r="M987" s="62" t="s">
        <v>2365</v>
      </c>
      <c r="N987" s="63" t="s">
        <v>2366</v>
      </c>
      <c r="O987" s="64" t="s">
        <v>515</v>
      </c>
    </row>
    <row r="988" spans="9:15" x14ac:dyDescent="0.45">
      <c r="I988"/>
      <c r="J988"/>
      <c r="M988" s="62" t="s">
        <v>2367</v>
      </c>
      <c r="N988" s="63" t="s">
        <v>2368</v>
      </c>
      <c r="O988" s="64" t="s">
        <v>330</v>
      </c>
    </row>
    <row r="989" spans="9:15" x14ac:dyDescent="0.45">
      <c r="I989"/>
      <c r="J989"/>
      <c r="M989" s="62" t="s">
        <v>2369</v>
      </c>
      <c r="N989" s="63" t="s">
        <v>2370</v>
      </c>
      <c r="O989" s="64" t="s">
        <v>330</v>
      </c>
    </row>
    <row r="990" spans="9:15" x14ac:dyDescent="0.45">
      <c r="I990"/>
      <c r="J990"/>
      <c r="M990" s="62" t="s">
        <v>2371</v>
      </c>
      <c r="N990" s="63" t="s">
        <v>2372</v>
      </c>
      <c r="O990" s="64" t="s">
        <v>453</v>
      </c>
    </row>
    <row r="991" spans="9:15" x14ac:dyDescent="0.45">
      <c r="I991"/>
      <c r="J991"/>
      <c r="M991" s="65" t="s">
        <v>2373</v>
      </c>
      <c r="N991" s="66" t="s">
        <v>2374</v>
      </c>
      <c r="O991" s="64" t="s">
        <v>364</v>
      </c>
    </row>
    <row r="992" spans="9:15" x14ac:dyDescent="0.45">
      <c r="I992"/>
      <c r="J992"/>
      <c r="M992" s="62" t="s">
        <v>2375</v>
      </c>
      <c r="N992" s="63" t="s">
        <v>2376</v>
      </c>
      <c r="O992" s="64" t="s">
        <v>330</v>
      </c>
    </row>
    <row r="993" spans="9:15" x14ac:dyDescent="0.45">
      <c r="I993"/>
      <c r="J993"/>
      <c r="M993" s="62" t="s">
        <v>2377</v>
      </c>
      <c r="N993" s="63" t="s">
        <v>2378</v>
      </c>
      <c r="O993" s="64" t="s">
        <v>324</v>
      </c>
    </row>
    <row r="994" spans="9:15" x14ac:dyDescent="0.45">
      <c r="I994"/>
      <c r="J994"/>
      <c r="M994" s="62" t="s">
        <v>2379</v>
      </c>
      <c r="N994" s="63" t="s">
        <v>2380</v>
      </c>
      <c r="O994" s="64" t="s">
        <v>330</v>
      </c>
    </row>
    <row r="995" spans="9:15" x14ac:dyDescent="0.45">
      <c r="I995"/>
      <c r="J995"/>
      <c r="M995" s="62" t="s">
        <v>2381</v>
      </c>
      <c r="N995" s="63" t="s">
        <v>2382</v>
      </c>
      <c r="O995" s="64" t="s">
        <v>321</v>
      </c>
    </row>
    <row r="996" spans="9:15" x14ac:dyDescent="0.45">
      <c r="I996"/>
      <c r="J996"/>
      <c r="M996" s="62" t="s">
        <v>2383</v>
      </c>
      <c r="N996" s="63" t="s">
        <v>2384</v>
      </c>
      <c r="O996" s="64" t="s">
        <v>330</v>
      </c>
    </row>
    <row r="997" spans="9:15" x14ac:dyDescent="0.45">
      <c r="I997"/>
      <c r="J997"/>
      <c r="M997" s="62" t="s">
        <v>2385</v>
      </c>
      <c r="N997" s="63" t="s">
        <v>2386</v>
      </c>
      <c r="O997" s="64" t="s">
        <v>330</v>
      </c>
    </row>
    <row r="998" spans="9:15" x14ac:dyDescent="0.45">
      <c r="I998"/>
      <c r="J998"/>
      <c r="M998" s="62" t="s">
        <v>2387</v>
      </c>
      <c r="N998" s="63" t="s">
        <v>2388</v>
      </c>
      <c r="O998" s="64" t="s">
        <v>330</v>
      </c>
    </row>
    <row r="999" spans="9:15" x14ac:dyDescent="0.45">
      <c r="I999"/>
      <c r="J999"/>
      <c r="M999" s="62" t="s">
        <v>2389</v>
      </c>
      <c r="N999" s="63" t="s">
        <v>2390</v>
      </c>
      <c r="O999" s="64" t="s">
        <v>330</v>
      </c>
    </row>
    <row r="1000" spans="9:15" x14ac:dyDescent="0.45">
      <c r="I1000"/>
      <c r="J1000"/>
      <c r="M1000" s="62" t="s">
        <v>2391</v>
      </c>
      <c r="N1000" s="63" t="s">
        <v>2392</v>
      </c>
      <c r="O1000" s="64" t="s">
        <v>330</v>
      </c>
    </row>
    <row r="1001" spans="9:15" x14ac:dyDescent="0.45">
      <c r="I1001"/>
      <c r="J1001"/>
      <c r="M1001" s="62" t="s">
        <v>2393</v>
      </c>
      <c r="N1001" s="63" t="s">
        <v>2394</v>
      </c>
      <c r="O1001" s="64" t="s">
        <v>425</v>
      </c>
    </row>
    <row r="1002" spans="9:15" x14ac:dyDescent="0.45">
      <c r="I1002"/>
      <c r="J1002"/>
      <c r="M1002" s="62" t="s">
        <v>2395</v>
      </c>
      <c r="N1002" s="63" t="s">
        <v>2396</v>
      </c>
      <c r="O1002" s="64" t="s">
        <v>549</v>
      </c>
    </row>
    <row r="1003" spans="9:15" x14ac:dyDescent="0.45">
      <c r="I1003"/>
      <c r="J1003"/>
      <c r="M1003" s="62" t="s">
        <v>2397</v>
      </c>
      <c r="N1003" s="63" t="s">
        <v>2398</v>
      </c>
      <c r="O1003" s="64" t="s">
        <v>330</v>
      </c>
    </row>
    <row r="1004" spans="9:15" x14ac:dyDescent="0.45">
      <c r="I1004"/>
      <c r="J1004"/>
      <c r="M1004" s="79" t="s">
        <v>2399</v>
      </c>
      <c r="N1004" s="76" t="s">
        <v>2400</v>
      </c>
      <c r="O1004" s="76" t="s">
        <v>344</v>
      </c>
    </row>
    <row r="1005" spans="9:15" x14ac:dyDescent="0.45">
      <c r="I1005"/>
      <c r="J1005"/>
      <c r="M1005" s="62" t="s">
        <v>2401</v>
      </c>
      <c r="N1005" s="63" t="s">
        <v>2402</v>
      </c>
      <c r="O1005" s="64" t="s">
        <v>330</v>
      </c>
    </row>
    <row r="1006" spans="9:15" x14ac:dyDescent="0.45">
      <c r="I1006"/>
      <c r="J1006"/>
      <c r="M1006" s="62" t="s">
        <v>2403</v>
      </c>
      <c r="N1006" s="63" t="s">
        <v>2404</v>
      </c>
      <c r="O1006" s="64" t="s">
        <v>2405</v>
      </c>
    </row>
    <row r="1007" spans="9:15" x14ac:dyDescent="0.45">
      <c r="I1007"/>
      <c r="J1007"/>
      <c r="M1007" s="62" t="s">
        <v>2406</v>
      </c>
      <c r="N1007" s="63" t="s">
        <v>2407</v>
      </c>
      <c r="O1007" s="64" t="s">
        <v>330</v>
      </c>
    </row>
    <row r="1008" spans="9:15" x14ac:dyDescent="0.45">
      <c r="I1008"/>
      <c r="J1008"/>
      <c r="M1008" s="62" t="s">
        <v>2408</v>
      </c>
      <c r="N1008" s="63" t="s">
        <v>2409</v>
      </c>
      <c r="O1008" s="64" t="s">
        <v>330</v>
      </c>
    </row>
    <row r="1009" spans="9:15" x14ac:dyDescent="0.45">
      <c r="I1009"/>
      <c r="J1009"/>
      <c r="M1009" s="62" t="s">
        <v>2410</v>
      </c>
      <c r="N1009" s="63" t="s">
        <v>2411</v>
      </c>
      <c r="O1009" s="64" t="s">
        <v>330</v>
      </c>
    </row>
    <row r="1010" spans="9:15" x14ac:dyDescent="0.45">
      <c r="I1010"/>
      <c r="J1010"/>
      <c r="M1010" s="62" t="s">
        <v>2412</v>
      </c>
      <c r="N1010" s="63" t="s">
        <v>2413</v>
      </c>
      <c r="O1010" s="64" t="s">
        <v>849</v>
      </c>
    </row>
    <row r="1011" spans="9:15" x14ac:dyDescent="0.45">
      <c r="I1011"/>
      <c r="J1011"/>
      <c r="M1011" s="62" t="s">
        <v>2414</v>
      </c>
      <c r="N1011" s="63" t="s">
        <v>2415</v>
      </c>
      <c r="O1011" s="64" t="s">
        <v>330</v>
      </c>
    </row>
    <row r="1012" spans="9:15" x14ac:dyDescent="0.45">
      <c r="I1012"/>
      <c r="J1012"/>
      <c r="M1012" s="62" t="s">
        <v>2416</v>
      </c>
      <c r="N1012" s="63" t="s">
        <v>2417</v>
      </c>
      <c r="O1012" s="64" t="s">
        <v>330</v>
      </c>
    </row>
    <row r="1013" spans="9:15" x14ac:dyDescent="0.45">
      <c r="I1013"/>
      <c r="J1013"/>
      <c r="M1013" s="62" t="s">
        <v>2418</v>
      </c>
      <c r="N1013" s="63" t="s">
        <v>2419</v>
      </c>
      <c r="O1013" s="64" t="s">
        <v>849</v>
      </c>
    </row>
    <row r="1014" spans="9:15" x14ac:dyDescent="0.45">
      <c r="I1014"/>
      <c r="J1014"/>
      <c r="M1014" s="71" t="s">
        <v>2420</v>
      </c>
      <c r="N1014" s="72" t="s">
        <v>2421</v>
      </c>
      <c r="O1014" s="72" t="s">
        <v>330</v>
      </c>
    </row>
    <row r="1015" spans="9:15" x14ac:dyDescent="0.45">
      <c r="I1015"/>
      <c r="J1015"/>
      <c r="M1015" s="62" t="s">
        <v>2422</v>
      </c>
      <c r="N1015" s="63" t="s">
        <v>2423</v>
      </c>
      <c r="O1015" s="64" t="s">
        <v>330</v>
      </c>
    </row>
    <row r="1016" spans="9:15" x14ac:dyDescent="0.45">
      <c r="I1016"/>
      <c r="J1016"/>
      <c r="M1016" s="62" t="s">
        <v>2424</v>
      </c>
      <c r="N1016" s="63" t="s">
        <v>2425</v>
      </c>
      <c r="O1016" s="64" t="s">
        <v>318</v>
      </c>
    </row>
    <row r="1017" spans="9:15" x14ac:dyDescent="0.45">
      <c r="I1017"/>
      <c r="J1017"/>
      <c r="M1017" s="62" t="s">
        <v>2426</v>
      </c>
      <c r="N1017" s="63" t="s">
        <v>2427</v>
      </c>
      <c r="O1017" s="64" t="s">
        <v>330</v>
      </c>
    </row>
    <row r="1018" spans="9:15" x14ac:dyDescent="0.45">
      <c r="I1018"/>
      <c r="J1018"/>
      <c r="M1018" s="62" t="s">
        <v>2428</v>
      </c>
      <c r="N1018" s="63" t="s">
        <v>2429</v>
      </c>
      <c r="O1018" s="64" t="s">
        <v>330</v>
      </c>
    </row>
    <row r="1019" spans="9:15" x14ac:dyDescent="0.45">
      <c r="I1019"/>
      <c r="J1019"/>
      <c r="M1019" s="62" t="s">
        <v>2430</v>
      </c>
      <c r="N1019" s="63" t="s">
        <v>2431</v>
      </c>
      <c r="O1019" s="64" t="s">
        <v>549</v>
      </c>
    </row>
    <row r="1020" spans="9:15" x14ac:dyDescent="0.45">
      <c r="I1020"/>
      <c r="J1020"/>
      <c r="M1020" s="62" t="s">
        <v>2432</v>
      </c>
      <c r="N1020" s="63" t="s">
        <v>2433</v>
      </c>
      <c r="O1020" s="64" t="s">
        <v>515</v>
      </c>
    </row>
    <row r="1021" spans="9:15" x14ac:dyDescent="0.45">
      <c r="I1021"/>
      <c r="J1021"/>
      <c r="M1021" s="62" t="s">
        <v>2434</v>
      </c>
      <c r="N1021" s="63" t="s">
        <v>2435</v>
      </c>
      <c r="O1021" s="64" t="s">
        <v>318</v>
      </c>
    </row>
    <row r="1022" spans="9:15" x14ac:dyDescent="0.45">
      <c r="I1022"/>
      <c r="J1022"/>
      <c r="M1022" s="62" t="s">
        <v>2436</v>
      </c>
      <c r="N1022" s="63" t="s">
        <v>2437</v>
      </c>
      <c r="O1022" s="64" t="s">
        <v>359</v>
      </c>
    </row>
    <row r="1023" spans="9:15" x14ac:dyDescent="0.45">
      <c r="I1023"/>
      <c r="J1023"/>
      <c r="M1023" s="62" t="s">
        <v>2438</v>
      </c>
      <c r="N1023" s="63" t="s">
        <v>2439</v>
      </c>
      <c r="O1023" s="64" t="s">
        <v>330</v>
      </c>
    </row>
    <row r="1024" spans="9:15" x14ac:dyDescent="0.45">
      <c r="I1024"/>
      <c r="J1024"/>
      <c r="M1024" s="62" t="s">
        <v>2440</v>
      </c>
      <c r="N1024" s="63" t="s">
        <v>2441</v>
      </c>
      <c r="O1024" s="64" t="s">
        <v>549</v>
      </c>
    </row>
    <row r="1025" spans="9:15" x14ac:dyDescent="0.45">
      <c r="I1025"/>
      <c r="J1025"/>
      <c r="M1025" s="62" t="s">
        <v>2442</v>
      </c>
      <c r="N1025" s="63" t="s">
        <v>2443</v>
      </c>
      <c r="O1025" s="64" t="s">
        <v>330</v>
      </c>
    </row>
    <row r="1026" spans="9:15" x14ac:dyDescent="0.45">
      <c r="I1026"/>
      <c r="J1026"/>
      <c r="M1026" s="62" t="s">
        <v>2444</v>
      </c>
      <c r="N1026" s="63" t="s">
        <v>2445</v>
      </c>
      <c r="O1026" s="64" t="s">
        <v>330</v>
      </c>
    </row>
    <row r="1027" spans="9:15" x14ac:dyDescent="0.45">
      <c r="I1027"/>
      <c r="J1027"/>
      <c r="M1027" s="62" t="s">
        <v>2446</v>
      </c>
      <c r="N1027" s="63" t="s">
        <v>2447</v>
      </c>
      <c r="O1027" s="64" t="s">
        <v>330</v>
      </c>
    </row>
    <row r="1028" spans="9:15" x14ac:dyDescent="0.45">
      <c r="I1028"/>
      <c r="J1028"/>
      <c r="M1028" s="62" t="s">
        <v>2448</v>
      </c>
      <c r="N1028" s="63" t="s">
        <v>2449</v>
      </c>
      <c r="O1028" s="64" t="s">
        <v>453</v>
      </c>
    </row>
    <row r="1029" spans="9:15" x14ac:dyDescent="0.45">
      <c r="I1029"/>
      <c r="J1029"/>
      <c r="M1029" s="62" t="s">
        <v>2450</v>
      </c>
      <c r="N1029" s="63" t="s">
        <v>2451</v>
      </c>
      <c r="O1029" s="64" t="s">
        <v>330</v>
      </c>
    </row>
    <row r="1030" spans="9:15" x14ac:dyDescent="0.45">
      <c r="I1030"/>
      <c r="J1030"/>
      <c r="M1030" s="62" t="s">
        <v>2452</v>
      </c>
      <c r="N1030" s="63" t="s">
        <v>2453</v>
      </c>
      <c r="O1030" s="64" t="s">
        <v>330</v>
      </c>
    </row>
    <row r="1031" spans="9:15" x14ac:dyDescent="0.45">
      <c r="I1031"/>
      <c r="J1031"/>
      <c r="M1031" s="62" t="s">
        <v>2454</v>
      </c>
      <c r="N1031" s="63" t="s">
        <v>2455</v>
      </c>
      <c r="O1031" s="64" t="s">
        <v>318</v>
      </c>
    </row>
    <row r="1032" spans="9:15" x14ac:dyDescent="0.45">
      <c r="I1032"/>
      <c r="J1032"/>
      <c r="M1032" s="62" t="s">
        <v>2456</v>
      </c>
      <c r="N1032" s="63" t="s">
        <v>2457</v>
      </c>
      <c r="O1032" s="64" t="s">
        <v>344</v>
      </c>
    </row>
    <row r="1033" spans="9:15" x14ac:dyDescent="0.45">
      <c r="I1033"/>
      <c r="J1033"/>
      <c r="M1033" s="62" t="s">
        <v>2458</v>
      </c>
      <c r="N1033" s="63" t="s">
        <v>2459</v>
      </c>
      <c r="O1033" s="64" t="s">
        <v>330</v>
      </c>
    </row>
    <row r="1034" spans="9:15" x14ac:dyDescent="0.45">
      <c r="I1034"/>
      <c r="J1034"/>
      <c r="M1034" s="62" t="s">
        <v>2460</v>
      </c>
      <c r="N1034" s="72" t="s">
        <v>2461</v>
      </c>
      <c r="O1034" s="64" t="s">
        <v>330</v>
      </c>
    </row>
    <row r="1035" spans="9:15" x14ac:dyDescent="0.45">
      <c r="I1035"/>
      <c r="J1035"/>
      <c r="M1035" s="62" t="s">
        <v>2462</v>
      </c>
      <c r="N1035" s="63" t="s">
        <v>2463</v>
      </c>
      <c r="O1035" s="64" t="s">
        <v>330</v>
      </c>
    </row>
    <row r="1036" spans="9:15" x14ac:dyDescent="0.45">
      <c r="I1036"/>
      <c r="J1036"/>
      <c r="M1036" s="62" t="s">
        <v>2464</v>
      </c>
      <c r="N1036" s="63" t="s">
        <v>2465</v>
      </c>
      <c r="O1036" s="64" t="s">
        <v>330</v>
      </c>
    </row>
    <row r="1037" spans="9:15" x14ac:dyDescent="0.45">
      <c r="I1037"/>
      <c r="J1037"/>
      <c r="M1037" s="62" t="s">
        <v>2466</v>
      </c>
      <c r="N1037" s="63" t="s">
        <v>2467</v>
      </c>
      <c r="O1037" s="64" t="s">
        <v>625</v>
      </c>
    </row>
    <row r="1038" spans="9:15" x14ac:dyDescent="0.45">
      <c r="I1038"/>
      <c r="J1038"/>
      <c r="M1038" s="65" t="s">
        <v>2468</v>
      </c>
      <c r="N1038" s="66" t="s">
        <v>2469</v>
      </c>
      <c r="O1038" s="64" t="s">
        <v>330</v>
      </c>
    </row>
    <row r="1039" spans="9:15" x14ac:dyDescent="0.45">
      <c r="I1039"/>
      <c r="J1039"/>
      <c r="M1039" s="62" t="s">
        <v>2470</v>
      </c>
      <c r="N1039" s="63" t="s">
        <v>2471</v>
      </c>
      <c r="O1039" s="64" t="s">
        <v>321</v>
      </c>
    </row>
    <row r="1040" spans="9:15" x14ac:dyDescent="0.45">
      <c r="I1040"/>
      <c r="J1040"/>
      <c r="M1040" s="62" t="s">
        <v>2472</v>
      </c>
      <c r="N1040" s="63" t="s">
        <v>2473</v>
      </c>
      <c r="O1040" s="64" t="s">
        <v>321</v>
      </c>
    </row>
    <row r="1041" spans="9:15" x14ac:dyDescent="0.45">
      <c r="I1041"/>
      <c r="J1041"/>
      <c r="M1041" s="62" t="s">
        <v>2474</v>
      </c>
      <c r="N1041" s="63" t="s">
        <v>2475</v>
      </c>
      <c r="O1041" s="64" t="s">
        <v>509</v>
      </c>
    </row>
    <row r="1042" spans="9:15" x14ac:dyDescent="0.45">
      <c r="I1042"/>
      <c r="J1042"/>
      <c r="M1042" s="62" t="s">
        <v>2476</v>
      </c>
      <c r="N1042" s="63" t="s">
        <v>2477</v>
      </c>
      <c r="O1042" s="64" t="s">
        <v>800</v>
      </c>
    </row>
    <row r="1043" spans="9:15" x14ac:dyDescent="0.45">
      <c r="I1043"/>
      <c r="J1043"/>
      <c r="M1043" s="62" t="s">
        <v>2478</v>
      </c>
      <c r="N1043" s="63" t="s">
        <v>2479</v>
      </c>
      <c r="O1043" s="64" t="s">
        <v>417</v>
      </c>
    </row>
    <row r="1044" spans="9:15" x14ac:dyDescent="0.45">
      <c r="I1044"/>
      <c r="J1044"/>
      <c r="M1044" s="62" t="s">
        <v>2480</v>
      </c>
      <c r="N1044" s="74" t="s">
        <v>2481</v>
      </c>
      <c r="O1044" s="64" t="s">
        <v>330</v>
      </c>
    </row>
    <row r="1045" spans="9:15" x14ac:dyDescent="0.45">
      <c r="I1045"/>
      <c r="J1045"/>
      <c r="M1045" s="62" t="s">
        <v>2482</v>
      </c>
      <c r="N1045" s="63" t="s">
        <v>2483</v>
      </c>
      <c r="O1045" s="64" t="s">
        <v>344</v>
      </c>
    </row>
    <row r="1046" spans="9:15" x14ac:dyDescent="0.45">
      <c r="I1046"/>
      <c r="J1046"/>
      <c r="M1046" s="62" t="s">
        <v>2484</v>
      </c>
      <c r="N1046" s="63" t="s">
        <v>2485</v>
      </c>
      <c r="O1046" s="64" t="s">
        <v>327</v>
      </c>
    </row>
    <row r="1047" spans="9:15" x14ac:dyDescent="0.45">
      <c r="I1047"/>
      <c r="J1047"/>
      <c r="M1047" s="62" t="s">
        <v>2486</v>
      </c>
      <c r="N1047" s="63" t="s">
        <v>2487</v>
      </c>
      <c r="O1047" s="64" t="s">
        <v>330</v>
      </c>
    </row>
    <row r="1048" spans="9:15" x14ac:dyDescent="0.45">
      <c r="I1048"/>
      <c r="J1048"/>
      <c r="M1048" s="62" t="s">
        <v>2488</v>
      </c>
      <c r="N1048" s="63" t="s">
        <v>2489</v>
      </c>
      <c r="O1048" s="64" t="s">
        <v>667</v>
      </c>
    </row>
    <row r="1049" spans="9:15" x14ac:dyDescent="0.45">
      <c r="I1049"/>
      <c r="J1049"/>
      <c r="M1049" s="62" t="s">
        <v>2490</v>
      </c>
      <c r="N1049" s="63" t="s">
        <v>2491</v>
      </c>
      <c r="O1049" s="64" t="s">
        <v>518</v>
      </c>
    </row>
    <row r="1050" spans="9:15" x14ac:dyDescent="0.45">
      <c r="I1050"/>
      <c r="J1050"/>
      <c r="M1050" s="62" t="s">
        <v>2492</v>
      </c>
      <c r="N1050" s="63" t="s">
        <v>2493</v>
      </c>
      <c r="O1050" s="64" t="s">
        <v>596</v>
      </c>
    </row>
    <row r="1051" spans="9:15" x14ac:dyDescent="0.45">
      <c r="I1051"/>
      <c r="J1051"/>
      <c r="M1051" s="62" t="s">
        <v>2494</v>
      </c>
      <c r="N1051" s="63" t="s">
        <v>2495</v>
      </c>
      <c r="O1051" s="64" t="s">
        <v>330</v>
      </c>
    </row>
    <row r="1052" spans="9:15" x14ac:dyDescent="0.45">
      <c r="I1052"/>
      <c r="J1052"/>
      <c r="M1052" s="62" t="s">
        <v>2496</v>
      </c>
      <c r="N1052" s="63" t="s">
        <v>2497</v>
      </c>
      <c r="O1052" s="64" t="s">
        <v>321</v>
      </c>
    </row>
    <row r="1053" spans="9:15" x14ac:dyDescent="0.45">
      <c r="I1053"/>
      <c r="J1053"/>
      <c r="M1053" s="62" t="s">
        <v>2498</v>
      </c>
      <c r="N1053" s="63" t="s">
        <v>2499</v>
      </c>
      <c r="O1053" s="64" t="s">
        <v>330</v>
      </c>
    </row>
    <row r="1054" spans="9:15" x14ac:dyDescent="0.45">
      <c r="I1054"/>
      <c r="J1054"/>
      <c r="M1054" s="62" t="s">
        <v>2500</v>
      </c>
      <c r="N1054" s="63" t="s">
        <v>2501</v>
      </c>
      <c r="O1054" s="64" t="s">
        <v>321</v>
      </c>
    </row>
    <row r="1055" spans="9:15" x14ac:dyDescent="0.45">
      <c r="I1055"/>
      <c r="J1055"/>
      <c r="M1055" s="62" t="s">
        <v>2502</v>
      </c>
      <c r="N1055" s="63" t="s">
        <v>2503</v>
      </c>
      <c r="O1055" s="64" t="s">
        <v>344</v>
      </c>
    </row>
    <row r="1056" spans="9:15" x14ac:dyDescent="0.45">
      <c r="I1056"/>
      <c r="J1056"/>
      <c r="M1056" s="62" t="s">
        <v>2504</v>
      </c>
      <c r="N1056" s="63" t="s">
        <v>2505</v>
      </c>
      <c r="O1056" s="64" t="s">
        <v>330</v>
      </c>
    </row>
    <row r="1057" spans="9:15" x14ac:dyDescent="0.45">
      <c r="I1057"/>
      <c r="J1057"/>
      <c r="M1057" s="62" t="s">
        <v>2506</v>
      </c>
      <c r="N1057" s="63" t="s">
        <v>2507</v>
      </c>
      <c r="O1057" s="64" t="s">
        <v>330</v>
      </c>
    </row>
    <row r="1058" spans="9:15" x14ac:dyDescent="0.45">
      <c r="I1058"/>
      <c r="J1058"/>
      <c r="M1058" s="62" t="s">
        <v>2508</v>
      </c>
      <c r="N1058" s="63" t="s">
        <v>2509</v>
      </c>
      <c r="O1058" s="64" t="s">
        <v>910</v>
      </c>
    </row>
    <row r="1059" spans="9:15" x14ac:dyDescent="0.45">
      <c r="I1059"/>
      <c r="J1059"/>
      <c r="M1059" s="62" t="s">
        <v>2510</v>
      </c>
      <c r="N1059" s="63" t="s">
        <v>2511</v>
      </c>
      <c r="O1059" s="64" t="s">
        <v>330</v>
      </c>
    </row>
    <row r="1060" spans="9:15" x14ac:dyDescent="0.45">
      <c r="I1060"/>
      <c r="J1060"/>
      <c r="M1060" s="62" t="s">
        <v>2512</v>
      </c>
      <c r="N1060" s="63" t="s">
        <v>2513</v>
      </c>
      <c r="O1060" s="64" t="s">
        <v>1031</v>
      </c>
    </row>
    <row r="1061" spans="9:15" x14ac:dyDescent="0.45">
      <c r="I1061"/>
      <c r="J1061"/>
      <c r="M1061" s="62" t="s">
        <v>2514</v>
      </c>
      <c r="N1061" s="63" t="s">
        <v>2515</v>
      </c>
      <c r="O1061" s="64" t="s">
        <v>625</v>
      </c>
    </row>
    <row r="1062" spans="9:15" x14ac:dyDescent="0.45">
      <c r="I1062"/>
      <c r="J1062"/>
      <c r="M1062" s="62" t="s">
        <v>2516</v>
      </c>
      <c r="N1062" s="63" t="s">
        <v>2517</v>
      </c>
      <c r="O1062" s="64" t="s">
        <v>318</v>
      </c>
    </row>
    <row r="1063" spans="9:15" x14ac:dyDescent="0.45">
      <c r="I1063"/>
      <c r="J1063"/>
      <c r="M1063" s="62" t="s">
        <v>2518</v>
      </c>
      <c r="N1063" s="63" t="s">
        <v>2519</v>
      </c>
      <c r="O1063" s="64" t="s">
        <v>344</v>
      </c>
    </row>
    <row r="1064" spans="9:15" x14ac:dyDescent="0.45">
      <c r="I1064"/>
      <c r="J1064"/>
      <c r="M1064" s="62" t="s">
        <v>2520</v>
      </c>
      <c r="N1064" s="72" t="s">
        <v>2521</v>
      </c>
      <c r="O1064" s="64" t="s">
        <v>330</v>
      </c>
    </row>
    <row r="1065" spans="9:15" x14ac:dyDescent="0.45">
      <c r="I1065"/>
      <c r="J1065"/>
      <c r="M1065" s="62" t="s">
        <v>2522</v>
      </c>
      <c r="N1065" s="63" t="s">
        <v>2523</v>
      </c>
      <c r="O1065" s="64" t="s">
        <v>359</v>
      </c>
    </row>
    <row r="1066" spans="9:15" x14ac:dyDescent="0.45">
      <c r="I1066"/>
      <c r="J1066"/>
      <c r="M1066" s="62" t="s">
        <v>2524</v>
      </c>
      <c r="N1066" s="63" t="s">
        <v>2525</v>
      </c>
      <c r="O1066" s="64" t="s">
        <v>330</v>
      </c>
    </row>
    <row r="1067" spans="9:15" x14ac:dyDescent="0.45">
      <c r="I1067"/>
      <c r="J1067"/>
      <c r="M1067" s="62" t="s">
        <v>2526</v>
      </c>
      <c r="N1067" s="63" t="s">
        <v>2527</v>
      </c>
      <c r="O1067" s="64" t="s">
        <v>849</v>
      </c>
    </row>
    <row r="1068" spans="9:15" x14ac:dyDescent="0.45">
      <c r="I1068"/>
      <c r="J1068"/>
      <c r="M1068" s="62" t="s">
        <v>2528</v>
      </c>
      <c r="N1068" s="63" t="s">
        <v>2529</v>
      </c>
      <c r="O1068" s="64" t="s">
        <v>330</v>
      </c>
    </row>
    <row r="1069" spans="9:15" x14ac:dyDescent="0.45">
      <c r="I1069"/>
      <c r="J1069"/>
      <c r="M1069" s="62" t="s">
        <v>2530</v>
      </c>
      <c r="N1069" s="63" t="s">
        <v>2531</v>
      </c>
      <c r="O1069" s="64" t="s">
        <v>330</v>
      </c>
    </row>
    <row r="1070" spans="9:15" x14ac:dyDescent="0.45">
      <c r="I1070"/>
      <c r="J1070"/>
      <c r="M1070" s="62" t="s">
        <v>2532</v>
      </c>
      <c r="N1070" s="63" t="s">
        <v>2533</v>
      </c>
      <c r="O1070" s="64" t="s">
        <v>327</v>
      </c>
    </row>
    <row r="1071" spans="9:15" x14ac:dyDescent="0.45">
      <c r="I1071"/>
      <c r="J1071"/>
      <c r="M1071" s="62" t="s">
        <v>2534</v>
      </c>
      <c r="N1071" s="63" t="s">
        <v>2535</v>
      </c>
      <c r="O1071" s="64" t="s">
        <v>330</v>
      </c>
    </row>
    <row r="1072" spans="9:15" x14ac:dyDescent="0.45">
      <c r="I1072"/>
      <c r="J1072"/>
      <c r="M1072" s="62" t="s">
        <v>2536</v>
      </c>
      <c r="N1072" s="63" t="s">
        <v>2537</v>
      </c>
      <c r="O1072" s="64" t="s">
        <v>330</v>
      </c>
    </row>
    <row r="1073" spans="9:15" x14ac:dyDescent="0.45">
      <c r="I1073"/>
      <c r="J1073"/>
      <c r="M1073" s="62" t="s">
        <v>2538</v>
      </c>
      <c r="N1073" s="63" t="s">
        <v>2539</v>
      </c>
      <c r="O1073" s="64" t="s">
        <v>910</v>
      </c>
    </row>
    <row r="1074" spans="9:15" x14ac:dyDescent="0.45">
      <c r="I1074"/>
      <c r="J1074"/>
      <c r="M1074" s="62" t="s">
        <v>2540</v>
      </c>
      <c r="N1074" s="63" t="s">
        <v>2541</v>
      </c>
      <c r="O1074" s="64" t="s">
        <v>344</v>
      </c>
    </row>
    <row r="1075" spans="9:15" x14ac:dyDescent="0.45">
      <c r="I1075"/>
      <c r="J1075"/>
      <c r="M1075" s="62" t="s">
        <v>2542</v>
      </c>
      <c r="N1075" s="63" t="s">
        <v>2543</v>
      </c>
      <c r="O1075" s="64" t="s">
        <v>330</v>
      </c>
    </row>
    <row r="1076" spans="9:15" x14ac:dyDescent="0.45">
      <c r="I1076"/>
      <c r="J1076"/>
      <c r="M1076" s="62" t="s">
        <v>2544</v>
      </c>
      <c r="N1076" s="63" t="s">
        <v>2545</v>
      </c>
      <c r="O1076" s="64" t="s">
        <v>333</v>
      </c>
    </row>
    <row r="1077" spans="9:15" x14ac:dyDescent="0.45">
      <c r="I1077"/>
      <c r="J1077"/>
      <c r="M1077" s="62" t="s">
        <v>2546</v>
      </c>
      <c r="N1077" s="63" t="s">
        <v>2547</v>
      </c>
      <c r="O1077" s="64" t="s">
        <v>330</v>
      </c>
    </row>
    <row r="1078" spans="9:15" x14ac:dyDescent="0.45">
      <c r="I1078"/>
      <c r="J1078"/>
      <c r="M1078" s="62" t="s">
        <v>2548</v>
      </c>
      <c r="N1078" s="63" t="s">
        <v>2549</v>
      </c>
      <c r="O1078" s="64" t="s">
        <v>344</v>
      </c>
    </row>
    <row r="1079" spans="9:15" x14ac:dyDescent="0.45">
      <c r="I1079"/>
      <c r="J1079"/>
      <c r="M1079" s="62" t="s">
        <v>2550</v>
      </c>
      <c r="N1079" s="63" t="s">
        <v>2551</v>
      </c>
      <c r="O1079" s="64" t="s">
        <v>330</v>
      </c>
    </row>
    <row r="1080" spans="9:15" x14ac:dyDescent="0.45">
      <c r="I1080"/>
      <c r="J1080"/>
      <c r="M1080" s="62" t="s">
        <v>2552</v>
      </c>
      <c r="N1080" s="63" t="s">
        <v>2553</v>
      </c>
      <c r="O1080" s="64" t="s">
        <v>330</v>
      </c>
    </row>
    <row r="1081" spans="9:15" x14ac:dyDescent="0.45">
      <c r="I1081"/>
      <c r="J1081"/>
      <c r="M1081" s="62" t="s">
        <v>2554</v>
      </c>
      <c r="N1081" s="63" t="s">
        <v>2555</v>
      </c>
      <c r="O1081" s="64" t="s">
        <v>330</v>
      </c>
    </row>
    <row r="1082" spans="9:15" x14ac:dyDescent="0.45">
      <c r="I1082"/>
      <c r="J1082"/>
      <c r="M1082" s="62" t="s">
        <v>2556</v>
      </c>
      <c r="N1082" s="63" t="s">
        <v>2557</v>
      </c>
      <c r="O1082" s="64" t="s">
        <v>743</v>
      </c>
    </row>
    <row r="1083" spans="9:15" x14ac:dyDescent="0.45">
      <c r="I1083"/>
      <c r="J1083"/>
      <c r="M1083" s="62" t="s">
        <v>2558</v>
      </c>
      <c r="N1083" s="63" t="s">
        <v>2559</v>
      </c>
      <c r="O1083" s="64" t="s">
        <v>518</v>
      </c>
    </row>
    <row r="1084" spans="9:15" x14ac:dyDescent="0.45">
      <c r="I1084"/>
      <c r="J1084"/>
      <c r="M1084" s="62" t="s">
        <v>2560</v>
      </c>
      <c r="N1084" s="63" t="s">
        <v>2561</v>
      </c>
      <c r="O1084" s="64" t="s">
        <v>625</v>
      </c>
    </row>
    <row r="1085" spans="9:15" x14ac:dyDescent="0.45">
      <c r="I1085"/>
      <c r="J1085"/>
      <c r="M1085" s="62" t="s">
        <v>2562</v>
      </c>
      <c r="N1085" s="63" t="s">
        <v>2563</v>
      </c>
      <c r="O1085" s="64" t="s">
        <v>330</v>
      </c>
    </row>
    <row r="1086" spans="9:15" x14ac:dyDescent="0.45">
      <c r="I1086"/>
      <c r="J1086"/>
      <c r="M1086" s="62" t="s">
        <v>2564</v>
      </c>
      <c r="N1086" s="63" t="s">
        <v>2565</v>
      </c>
      <c r="O1086" s="64" t="s">
        <v>330</v>
      </c>
    </row>
    <row r="1087" spans="9:15" x14ac:dyDescent="0.45">
      <c r="I1087"/>
      <c r="J1087"/>
      <c r="M1087" s="62" t="s">
        <v>2566</v>
      </c>
      <c r="N1087" s="63" t="s">
        <v>2567</v>
      </c>
      <c r="O1087" s="64" t="s">
        <v>324</v>
      </c>
    </row>
    <row r="1088" spans="9:15" x14ac:dyDescent="0.45">
      <c r="I1088"/>
      <c r="J1088"/>
      <c r="M1088" s="62" t="s">
        <v>2568</v>
      </c>
      <c r="N1088" s="63" t="s">
        <v>2569</v>
      </c>
      <c r="O1088" s="64" t="s">
        <v>632</v>
      </c>
    </row>
    <row r="1089" spans="9:15" x14ac:dyDescent="0.45">
      <c r="I1089"/>
      <c r="J1089"/>
      <c r="M1089" s="62" t="s">
        <v>2570</v>
      </c>
      <c r="N1089" s="63" t="s">
        <v>2571</v>
      </c>
      <c r="O1089" s="64" t="s">
        <v>330</v>
      </c>
    </row>
    <row r="1090" spans="9:15" x14ac:dyDescent="0.45">
      <c r="I1090"/>
      <c r="J1090"/>
      <c r="M1090" s="62" t="s">
        <v>2572</v>
      </c>
      <c r="N1090" s="63" t="s">
        <v>2573</v>
      </c>
      <c r="O1090" s="64" t="s">
        <v>2574</v>
      </c>
    </row>
    <row r="1091" spans="9:15" x14ac:dyDescent="0.45">
      <c r="I1091"/>
      <c r="J1091"/>
      <c r="M1091" s="62" t="s">
        <v>2575</v>
      </c>
      <c r="N1091" s="63" t="s">
        <v>2576</v>
      </c>
      <c r="O1091" s="64" t="s">
        <v>330</v>
      </c>
    </row>
    <row r="1092" spans="9:15" x14ac:dyDescent="0.45">
      <c r="I1092"/>
      <c r="J1092"/>
      <c r="M1092" s="62" t="s">
        <v>2577</v>
      </c>
      <c r="N1092" s="63" t="s">
        <v>2578</v>
      </c>
      <c r="O1092" s="64" t="s">
        <v>324</v>
      </c>
    </row>
    <row r="1093" spans="9:15" x14ac:dyDescent="0.45">
      <c r="I1093"/>
      <c r="J1093"/>
      <c r="M1093" s="62" t="s">
        <v>2579</v>
      </c>
      <c r="N1093" s="63" t="s">
        <v>2580</v>
      </c>
      <c r="O1093" s="64" t="s">
        <v>330</v>
      </c>
    </row>
    <row r="1094" spans="9:15" x14ac:dyDescent="0.45">
      <c r="I1094"/>
      <c r="J1094"/>
      <c r="M1094" s="62" t="s">
        <v>2581</v>
      </c>
      <c r="N1094" s="63" t="s">
        <v>2582</v>
      </c>
      <c r="O1094" s="64" t="s">
        <v>330</v>
      </c>
    </row>
    <row r="1095" spans="9:15" x14ac:dyDescent="0.45">
      <c r="I1095"/>
      <c r="J1095"/>
      <c r="M1095" s="62" t="s">
        <v>2583</v>
      </c>
      <c r="N1095" s="63" t="s">
        <v>2584</v>
      </c>
      <c r="O1095" s="64" t="s">
        <v>344</v>
      </c>
    </row>
    <row r="1096" spans="9:15" x14ac:dyDescent="0.45">
      <c r="I1096"/>
      <c r="J1096"/>
      <c r="M1096" s="62" t="s">
        <v>2585</v>
      </c>
      <c r="N1096" s="63" t="s">
        <v>2586</v>
      </c>
      <c r="O1096" s="64" t="s">
        <v>2587</v>
      </c>
    </row>
    <row r="1097" spans="9:15" x14ac:dyDescent="0.45">
      <c r="I1097"/>
      <c r="J1097"/>
      <c r="M1097" s="62" t="s">
        <v>2588</v>
      </c>
      <c r="N1097" s="63" t="s">
        <v>2589</v>
      </c>
      <c r="O1097" s="64" t="s">
        <v>2590</v>
      </c>
    </row>
    <row r="1098" spans="9:15" x14ac:dyDescent="0.45">
      <c r="I1098"/>
      <c r="J1098"/>
      <c r="M1098" s="62" t="s">
        <v>2591</v>
      </c>
      <c r="N1098" s="63" t="s">
        <v>2592</v>
      </c>
      <c r="O1098" s="64" t="s">
        <v>321</v>
      </c>
    </row>
    <row r="1099" spans="9:15" x14ac:dyDescent="0.45">
      <c r="I1099"/>
      <c r="J1099"/>
      <c r="M1099" s="62" t="s">
        <v>2593</v>
      </c>
      <c r="N1099" s="63" t="s">
        <v>2594</v>
      </c>
      <c r="O1099" s="64" t="s">
        <v>330</v>
      </c>
    </row>
    <row r="1100" spans="9:15" x14ac:dyDescent="0.45">
      <c r="I1100"/>
      <c r="J1100"/>
      <c r="M1100" s="62" t="s">
        <v>2595</v>
      </c>
      <c r="N1100" s="63" t="s">
        <v>2596</v>
      </c>
      <c r="O1100" s="64" t="s">
        <v>515</v>
      </c>
    </row>
    <row r="1101" spans="9:15" x14ac:dyDescent="0.45">
      <c r="I1101"/>
      <c r="J1101"/>
      <c r="M1101" s="62" t="s">
        <v>2597</v>
      </c>
      <c r="N1101" s="63" t="s">
        <v>2598</v>
      </c>
      <c r="O1101" s="64" t="s">
        <v>480</v>
      </c>
    </row>
    <row r="1102" spans="9:15" x14ac:dyDescent="0.45">
      <c r="I1102"/>
      <c r="J1102"/>
      <c r="M1102" s="62" t="s">
        <v>2599</v>
      </c>
      <c r="N1102" s="63" t="s">
        <v>2600</v>
      </c>
      <c r="O1102" s="64" t="s">
        <v>632</v>
      </c>
    </row>
    <row r="1103" spans="9:15" x14ac:dyDescent="0.45">
      <c r="I1103"/>
      <c r="J1103"/>
      <c r="M1103" s="62" t="s">
        <v>2601</v>
      </c>
      <c r="N1103" s="63" t="s">
        <v>2602</v>
      </c>
      <c r="O1103" s="64" t="s">
        <v>515</v>
      </c>
    </row>
    <row r="1104" spans="9:15" x14ac:dyDescent="0.45">
      <c r="I1104"/>
      <c r="J1104"/>
      <c r="M1104" s="62" t="s">
        <v>2603</v>
      </c>
      <c r="N1104" s="63" t="s">
        <v>2604</v>
      </c>
      <c r="O1104" s="64" t="s">
        <v>344</v>
      </c>
    </row>
    <row r="1105" spans="9:15" x14ac:dyDescent="0.45">
      <c r="I1105"/>
      <c r="J1105"/>
      <c r="M1105" s="62" t="s">
        <v>2605</v>
      </c>
      <c r="N1105" s="63" t="s">
        <v>2606</v>
      </c>
      <c r="O1105" s="64" t="s">
        <v>318</v>
      </c>
    </row>
    <row r="1106" spans="9:15" x14ac:dyDescent="0.45">
      <c r="I1106"/>
      <c r="J1106"/>
      <c r="M1106" s="62" t="s">
        <v>2607</v>
      </c>
      <c r="N1106" s="63" t="s">
        <v>2608</v>
      </c>
      <c r="O1106" s="64" t="s">
        <v>330</v>
      </c>
    </row>
    <row r="1107" spans="9:15" x14ac:dyDescent="0.45">
      <c r="I1107"/>
      <c r="J1107"/>
      <c r="M1107" s="62" t="s">
        <v>2609</v>
      </c>
      <c r="N1107" s="63" t="s">
        <v>2610</v>
      </c>
      <c r="O1107" s="64" t="s">
        <v>2611</v>
      </c>
    </row>
    <row r="1108" spans="9:15" x14ac:dyDescent="0.45">
      <c r="I1108"/>
      <c r="J1108"/>
      <c r="M1108" s="75" t="s">
        <v>2612</v>
      </c>
      <c r="N1108" s="76" t="s">
        <v>2613</v>
      </c>
      <c r="O1108" s="77" t="s">
        <v>330</v>
      </c>
    </row>
    <row r="1109" spans="9:15" x14ac:dyDescent="0.45">
      <c r="I1109"/>
      <c r="J1109"/>
      <c r="M1109" s="62" t="s">
        <v>2614</v>
      </c>
      <c r="N1109" s="63" t="s">
        <v>2615</v>
      </c>
      <c r="O1109" s="64" t="s">
        <v>1008</v>
      </c>
    </row>
    <row r="1110" spans="9:15" x14ac:dyDescent="0.45">
      <c r="I1110"/>
      <c r="J1110"/>
      <c r="M1110" s="62" t="s">
        <v>2616</v>
      </c>
      <c r="N1110" s="63" t="s">
        <v>2617</v>
      </c>
      <c r="O1110" s="64" t="s">
        <v>344</v>
      </c>
    </row>
    <row r="1111" spans="9:15" x14ac:dyDescent="0.45">
      <c r="I1111"/>
      <c r="J1111"/>
      <c r="M1111" s="62" t="s">
        <v>2618</v>
      </c>
      <c r="N1111" s="63" t="s">
        <v>2619</v>
      </c>
      <c r="O1111" s="64" t="s">
        <v>321</v>
      </c>
    </row>
    <row r="1112" spans="9:15" x14ac:dyDescent="0.45">
      <c r="I1112"/>
      <c r="J1112"/>
      <c r="M1112" s="62" t="s">
        <v>2620</v>
      </c>
      <c r="N1112" s="63" t="s">
        <v>2621</v>
      </c>
      <c r="O1112" s="64" t="s">
        <v>333</v>
      </c>
    </row>
    <row r="1113" spans="9:15" x14ac:dyDescent="0.45">
      <c r="I1113"/>
      <c r="J1113"/>
      <c r="M1113" s="62" t="s">
        <v>2622</v>
      </c>
      <c r="N1113" s="63" t="s">
        <v>2623</v>
      </c>
      <c r="O1113" s="64" t="s">
        <v>625</v>
      </c>
    </row>
    <row r="1114" spans="9:15" x14ac:dyDescent="0.45">
      <c r="I1114"/>
      <c r="J1114"/>
      <c r="M1114" s="62" t="s">
        <v>2624</v>
      </c>
      <c r="N1114" s="63" t="s">
        <v>2625</v>
      </c>
      <c r="O1114" s="64" t="s">
        <v>2626</v>
      </c>
    </row>
    <row r="1115" spans="9:15" x14ac:dyDescent="0.45">
      <c r="I1115"/>
      <c r="J1115"/>
      <c r="M1115" s="62" t="s">
        <v>2627</v>
      </c>
      <c r="N1115" s="63" t="s">
        <v>2628</v>
      </c>
      <c r="O1115" s="64" t="s">
        <v>341</v>
      </c>
    </row>
    <row r="1116" spans="9:15" x14ac:dyDescent="0.45">
      <c r="I1116"/>
      <c r="J1116"/>
      <c r="M1116" s="62" t="s">
        <v>2629</v>
      </c>
      <c r="N1116" s="63" t="s">
        <v>2630</v>
      </c>
      <c r="O1116" s="64" t="s">
        <v>632</v>
      </c>
    </row>
    <row r="1117" spans="9:15" x14ac:dyDescent="0.45">
      <c r="I1117"/>
      <c r="J1117"/>
      <c r="M1117" s="62" t="s">
        <v>2631</v>
      </c>
      <c r="N1117" s="63" t="s">
        <v>2632</v>
      </c>
      <c r="O1117" s="64" t="s">
        <v>330</v>
      </c>
    </row>
    <row r="1118" spans="9:15" x14ac:dyDescent="0.45">
      <c r="I1118"/>
      <c r="J1118"/>
      <c r="M1118" s="62" t="s">
        <v>2633</v>
      </c>
      <c r="N1118" s="63" t="s">
        <v>2634</v>
      </c>
      <c r="O1118" s="64" t="s">
        <v>596</v>
      </c>
    </row>
    <row r="1119" spans="9:15" x14ac:dyDescent="0.45">
      <c r="I1119"/>
      <c r="J1119"/>
      <c r="M1119" s="62" t="s">
        <v>2635</v>
      </c>
      <c r="N1119" s="63" t="s">
        <v>2636</v>
      </c>
      <c r="O1119" s="64" t="s">
        <v>330</v>
      </c>
    </row>
    <row r="1120" spans="9:15" x14ac:dyDescent="0.45">
      <c r="I1120"/>
      <c r="J1120"/>
      <c r="M1120" s="62" t="s">
        <v>2637</v>
      </c>
      <c r="N1120" s="63" t="s">
        <v>2638</v>
      </c>
      <c r="O1120" s="64" t="s">
        <v>330</v>
      </c>
    </row>
    <row r="1121" spans="9:15" x14ac:dyDescent="0.45">
      <c r="I1121"/>
      <c r="J1121"/>
      <c r="M1121" s="62" t="s">
        <v>2639</v>
      </c>
      <c r="N1121" s="63" t="s">
        <v>2640</v>
      </c>
      <c r="O1121" s="64" t="s">
        <v>632</v>
      </c>
    </row>
    <row r="1122" spans="9:15" x14ac:dyDescent="0.45">
      <c r="I1122"/>
      <c r="J1122"/>
      <c r="M1122" s="62" t="s">
        <v>2641</v>
      </c>
      <c r="N1122" s="63" t="s">
        <v>2642</v>
      </c>
      <c r="O1122" s="64" t="s">
        <v>616</v>
      </c>
    </row>
    <row r="1123" spans="9:15" x14ac:dyDescent="0.45">
      <c r="I1123"/>
      <c r="J1123"/>
      <c r="M1123" s="62" t="s">
        <v>2643</v>
      </c>
      <c r="N1123" s="63" t="s">
        <v>2644</v>
      </c>
      <c r="O1123" s="64" t="s">
        <v>344</v>
      </c>
    </row>
    <row r="1124" spans="9:15" x14ac:dyDescent="0.45">
      <c r="I1124"/>
      <c r="J1124"/>
      <c r="M1124" s="65" t="s">
        <v>2645</v>
      </c>
      <c r="N1124" s="66" t="s">
        <v>2646</v>
      </c>
      <c r="O1124" s="64" t="s">
        <v>330</v>
      </c>
    </row>
    <row r="1125" spans="9:15" x14ac:dyDescent="0.45">
      <c r="I1125"/>
      <c r="J1125"/>
      <c r="M1125" s="62" t="s">
        <v>2647</v>
      </c>
      <c r="N1125" s="63" t="s">
        <v>2648</v>
      </c>
      <c r="O1125" s="64" t="s">
        <v>425</v>
      </c>
    </row>
    <row r="1126" spans="9:15" x14ac:dyDescent="0.45">
      <c r="I1126"/>
      <c r="J1126"/>
      <c r="M1126" s="62" t="s">
        <v>2649</v>
      </c>
      <c r="N1126" s="63" t="s">
        <v>2650</v>
      </c>
      <c r="O1126" s="64" t="s">
        <v>330</v>
      </c>
    </row>
    <row r="1127" spans="9:15" x14ac:dyDescent="0.45">
      <c r="I1127"/>
      <c r="J1127"/>
      <c r="M1127" s="62" t="s">
        <v>2651</v>
      </c>
      <c r="N1127" s="63" t="s">
        <v>2652</v>
      </c>
      <c r="O1127" s="64" t="s">
        <v>321</v>
      </c>
    </row>
    <row r="1128" spans="9:15" x14ac:dyDescent="0.45">
      <c r="I1128"/>
      <c r="J1128"/>
      <c r="M1128" s="62" t="s">
        <v>2653</v>
      </c>
      <c r="N1128" s="63" t="s">
        <v>2654</v>
      </c>
      <c r="O1128" s="64" t="s">
        <v>330</v>
      </c>
    </row>
    <row r="1129" spans="9:15" x14ac:dyDescent="0.45">
      <c r="I1129"/>
      <c r="J1129"/>
      <c r="M1129" s="62" t="s">
        <v>2655</v>
      </c>
      <c r="N1129" s="63" t="s">
        <v>2656</v>
      </c>
      <c r="O1129" s="64" t="s">
        <v>330</v>
      </c>
    </row>
    <row r="1130" spans="9:15" x14ac:dyDescent="0.45">
      <c r="I1130"/>
      <c r="J1130"/>
      <c r="M1130" s="62" t="s">
        <v>2657</v>
      </c>
      <c r="N1130" s="63" t="s">
        <v>2658</v>
      </c>
      <c r="O1130" s="64" t="s">
        <v>330</v>
      </c>
    </row>
    <row r="1131" spans="9:15" x14ac:dyDescent="0.45">
      <c r="I1131"/>
      <c r="J1131"/>
      <c r="M1131" s="62" t="s">
        <v>2659</v>
      </c>
      <c r="N1131" s="63" t="s">
        <v>2660</v>
      </c>
      <c r="O1131" s="64" t="s">
        <v>625</v>
      </c>
    </row>
    <row r="1132" spans="9:15" x14ac:dyDescent="0.45">
      <c r="I1132"/>
      <c r="J1132"/>
      <c r="M1132" s="62" t="s">
        <v>2661</v>
      </c>
      <c r="N1132" s="63" t="s">
        <v>2662</v>
      </c>
      <c r="O1132" s="64" t="s">
        <v>330</v>
      </c>
    </row>
    <row r="1133" spans="9:15" x14ac:dyDescent="0.45">
      <c r="I1133"/>
      <c r="J1133"/>
      <c r="M1133" s="62" t="s">
        <v>2663</v>
      </c>
      <c r="N1133" s="63" t="s">
        <v>2664</v>
      </c>
      <c r="O1133" s="64" t="s">
        <v>2665</v>
      </c>
    </row>
    <row r="1134" spans="9:15" x14ac:dyDescent="0.45">
      <c r="I1134"/>
      <c r="J1134"/>
      <c r="M1134" s="62" t="s">
        <v>2666</v>
      </c>
      <c r="N1134" s="63" t="s">
        <v>2667</v>
      </c>
      <c r="O1134" s="64" t="s">
        <v>318</v>
      </c>
    </row>
    <row r="1135" spans="9:15" x14ac:dyDescent="0.45">
      <c r="I1135"/>
      <c r="J1135"/>
      <c r="M1135" s="62" t="s">
        <v>2668</v>
      </c>
      <c r="N1135" s="63" t="s">
        <v>2669</v>
      </c>
      <c r="O1135" s="64" t="s">
        <v>330</v>
      </c>
    </row>
    <row r="1136" spans="9:15" x14ac:dyDescent="0.45">
      <c r="I1136"/>
      <c r="J1136"/>
      <c r="M1136" s="62" t="s">
        <v>2670</v>
      </c>
      <c r="N1136" s="63" t="s">
        <v>2671</v>
      </c>
      <c r="O1136" s="64" t="s">
        <v>330</v>
      </c>
    </row>
    <row r="1137" spans="9:15" x14ac:dyDescent="0.45">
      <c r="I1137"/>
      <c r="J1137"/>
      <c r="M1137" s="62" t="s">
        <v>2672</v>
      </c>
      <c r="N1137" s="63" t="s">
        <v>2673</v>
      </c>
      <c r="O1137" s="64" t="s">
        <v>330</v>
      </c>
    </row>
    <row r="1138" spans="9:15" x14ac:dyDescent="0.45">
      <c r="I1138"/>
      <c r="J1138"/>
      <c r="M1138" s="62" t="s">
        <v>2674</v>
      </c>
      <c r="N1138" s="63" t="s">
        <v>2675</v>
      </c>
      <c r="O1138" s="64" t="s">
        <v>330</v>
      </c>
    </row>
    <row r="1139" spans="9:15" x14ac:dyDescent="0.45">
      <c r="I1139"/>
      <c r="J1139"/>
      <c r="M1139" s="62" t="s">
        <v>2676</v>
      </c>
      <c r="N1139" s="63" t="s">
        <v>2677</v>
      </c>
      <c r="O1139" s="64" t="s">
        <v>625</v>
      </c>
    </row>
    <row r="1140" spans="9:15" x14ac:dyDescent="0.45">
      <c r="I1140"/>
      <c r="J1140"/>
      <c r="M1140" s="62" t="s">
        <v>2678</v>
      </c>
      <c r="N1140" s="63" t="s">
        <v>2679</v>
      </c>
      <c r="O1140" s="64" t="s">
        <v>330</v>
      </c>
    </row>
    <row r="1141" spans="9:15" x14ac:dyDescent="0.45">
      <c r="I1141"/>
      <c r="J1141"/>
      <c r="M1141" s="69" t="s">
        <v>2680</v>
      </c>
      <c r="N1141" s="70" t="s">
        <v>2681</v>
      </c>
      <c r="O1141" s="63" t="s">
        <v>373</v>
      </c>
    </row>
    <row r="1142" spans="9:15" x14ac:dyDescent="0.45">
      <c r="I1142"/>
      <c r="J1142"/>
      <c r="M1142" s="62" t="s">
        <v>2682</v>
      </c>
      <c r="N1142" s="63" t="s">
        <v>2683</v>
      </c>
      <c r="O1142" s="64" t="s">
        <v>324</v>
      </c>
    </row>
    <row r="1143" spans="9:15" x14ac:dyDescent="0.45">
      <c r="I1143"/>
      <c r="J1143"/>
      <c r="M1143" s="62" t="s">
        <v>2684</v>
      </c>
      <c r="N1143" s="63" t="s">
        <v>2685</v>
      </c>
      <c r="O1143" s="64" t="s">
        <v>330</v>
      </c>
    </row>
    <row r="1144" spans="9:15" x14ac:dyDescent="0.45">
      <c r="I1144"/>
      <c r="J1144"/>
      <c r="M1144" s="62" t="s">
        <v>2686</v>
      </c>
      <c r="N1144" s="63" t="s">
        <v>2687</v>
      </c>
      <c r="O1144" s="64" t="s">
        <v>318</v>
      </c>
    </row>
    <row r="1145" spans="9:15" x14ac:dyDescent="0.45">
      <c r="I1145"/>
      <c r="J1145"/>
      <c r="M1145" s="62" t="s">
        <v>2688</v>
      </c>
      <c r="N1145" s="63" t="s">
        <v>2689</v>
      </c>
      <c r="O1145" s="64" t="s">
        <v>321</v>
      </c>
    </row>
    <row r="1146" spans="9:15" x14ac:dyDescent="0.45">
      <c r="I1146"/>
      <c r="J1146"/>
      <c r="M1146" s="75" t="s">
        <v>2690</v>
      </c>
      <c r="N1146" s="76" t="s">
        <v>2691</v>
      </c>
      <c r="O1146" s="77" t="s">
        <v>364</v>
      </c>
    </row>
    <row r="1147" spans="9:15" x14ac:dyDescent="0.45">
      <c r="I1147"/>
      <c r="J1147"/>
      <c r="M1147" s="62" t="s">
        <v>2692</v>
      </c>
      <c r="N1147" s="63" t="s">
        <v>2693</v>
      </c>
      <c r="O1147" s="64" t="s">
        <v>327</v>
      </c>
    </row>
    <row r="1148" spans="9:15" x14ac:dyDescent="0.45">
      <c r="I1148"/>
      <c r="J1148"/>
      <c r="M1148" s="62" t="s">
        <v>2694</v>
      </c>
      <c r="N1148" s="63" t="s">
        <v>2695</v>
      </c>
      <c r="O1148" s="64" t="s">
        <v>318</v>
      </c>
    </row>
    <row r="1149" spans="9:15" x14ac:dyDescent="0.45">
      <c r="I1149"/>
      <c r="J1149"/>
      <c r="M1149" s="62" t="s">
        <v>2696</v>
      </c>
      <c r="N1149" s="63" t="s">
        <v>2697</v>
      </c>
      <c r="O1149" s="64" t="s">
        <v>330</v>
      </c>
    </row>
    <row r="1150" spans="9:15" x14ac:dyDescent="0.45">
      <c r="I1150"/>
      <c r="J1150"/>
      <c r="M1150" s="62" t="s">
        <v>2698</v>
      </c>
      <c r="N1150" s="63" t="s">
        <v>2699</v>
      </c>
      <c r="O1150" s="64" t="s">
        <v>330</v>
      </c>
    </row>
    <row r="1151" spans="9:15" x14ac:dyDescent="0.45">
      <c r="I1151"/>
      <c r="J1151"/>
      <c r="M1151" s="62" t="s">
        <v>2700</v>
      </c>
      <c r="N1151" s="63" t="s">
        <v>2701</v>
      </c>
      <c r="O1151" s="64" t="s">
        <v>480</v>
      </c>
    </row>
    <row r="1152" spans="9:15" x14ac:dyDescent="0.45">
      <c r="I1152"/>
      <c r="J1152"/>
      <c r="M1152" s="62" t="s">
        <v>2702</v>
      </c>
      <c r="N1152" s="63" t="s">
        <v>2703</v>
      </c>
      <c r="O1152" s="64" t="s">
        <v>330</v>
      </c>
    </row>
    <row r="1153" spans="9:15" x14ac:dyDescent="0.45">
      <c r="I1153"/>
      <c r="J1153"/>
      <c r="M1153" s="62" t="s">
        <v>2704</v>
      </c>
      <c r="N1153" s="63" t="s">
        <v>2705</v>
      </c>
      <c r="O1153" s="64" t="s">
        <v>318</v>
      </c>
    </row>
    <row r="1154" spans="9:15" x14ac:dyDescent="0.45">
      <c r="I1154"/>
      <c r="J1154"/>
      <c r="M1154" s="62" t="s">
        <v>2706</v>
      </c>
      <c r="N1154" s="63" t="s">
        <v>2707</v>
      </c>
      <c r="O1154" s="64" t="s">
        <v>330</v>
      </c>
    </row>
    <row r="1155" spans="9:15" x14ac:dyDescent="0.45">
      <c r="I1155"/>
      <c r="J1155"/>
      <c r="M1155" s="62" t="s">
        <v>2708</v>
      </c>
      <c r="N1155" s="63" t="s">
        <v>2709</v>
      </c>
      <c r="O1155" s="64" t="s">
        <v>849</v>
      </c>
    </row>
    <row r="1156" spans="9:15" x14ac:dyDescent="0.45">
      <c r="I1156"/>
      <c r="J1156"/>
      <c r="M1156" s="62" t="s">
        <v>2710</v>
      </c>
      <c r="N1156" s="63" t="s">
        <v>2711</v>
      </c>
      <c r="O1156" s="64" t="s">
        <v>330</v>
      </c>
    </row>
    <row r="1157" spans="9:15" x14ac:dyDescent="0.45">
      <c r="I1157"/>
      <c r="J1157"/>
      <c r="M1157" s="62" t="s">
        <v>2712</v>
      </c>
      <c r="N1157" s="63" t="s">
        <v>2713</v>
      </c>
      <c r="O1157" s="64" t="s">
        <v>2714</v>
      </c>
    </row>
    <row r="1158" spans="9:15" x14ac:dyDescent="0.45">
      <c r="I1158"/>
      <c r="J1158"/>
      <c r="M1158" s="62" t="s">
        <v>2715</v>
      </c>
      <c r="N1158" s="63" t="s">
        <v>2716</v>
      </c>
      <c r="O1158" s="64" t="s">
        <v>2717</v>
      </c>
    </row>
    <row r="1159" spans="9:15" x14ac:dyDescent="0.45">
      <c r="I1159"/>
      <c r="J1159"/>
      <c r="M1159" s="62" t="s">
        <v>2718</v>
      </c>
      <c r="N1159" s="63" t="s">
        <v>2719</v>
      </c>
      <c r="O1159" s="64" t="s">
        <v>330</v>
      </c>
    </row>
    <row r="1160" spans="9:15" x14ac:dyDescent="0.45">
      <c r="I1160"/>
      <c r="J1160"/>
      <c r="M1160" s="62" t="s">
        <v>2720</v>
      </c>
      <c r="N1160" s="63" t="s">
        <v>2721</v>
      </c>
      <c r="O1160" s="64" t="s">
        <v>330</v>
      </c>
    </row>
    <row r="1161" spans="9:15" x14ac:dyDescent="0.45">
      <c r="I1161"/>
      <c r="J1161"/>
      <c r="M1161" s="75" t="s">
        <v>2722</v>
      </c>
      <c r="N1161" s="76" t="s">
        <v>2723</v>
      </c>
      <c r="O1161" s="77" t="s">
        <v>743</v>
      </c>
    </row>
    <row r="1162" spans="9:15" x14ac:dyDescent="0.45">
      <c r="I1162"/>
      <c r="J1162"/>
      <c r="M1162" s="62" t="s">
        <v>2724</v>
      </c>
      <c r="N1162" s="63" t="s">
        <v>2725</v>
      </c>
      <c r="O1162" s="64" t="s">
        <v>330</v>
      </c>
    </row>
    <row r="1163" spans="9:15" x14ac:dyDescent="0.45">
      <c r="I1163"/>
      <c r="J1163"/>
      <c r="M1163" s="62" t="s">
        <v>2726</v>
      </c>
      <c r="N1163" s="63" t="s">
        <v>2727</v>
      </c>
      <c r="O1163" s="64" t="s">
        <v>330</v>
      </c>
    </row>
    <row r="1164" spans="9:15" x14ac:dyDescent="0.45">
      <c r="I1164"/>
      <c r="J1164"/>
      <c r="M1164" s="62" t="s">
        <v>2728</v>
      </c>
      <c r="N1164" s="63" t="s">
        <v>2729</v>
      </c>
      <c r="O1164" s="64" t="s">
        <v>321</v>
      </c>
    </row>
    <row r="1165" spans="9:15" x14ac:dyDescent="0.45">
      <c r="I1165"/>
      <c r="J1165"/>
      <c r="M1165" s="62" t="s">
        <v>2730</v>
      </c>
      <c r="N1165" s="63" t="s">
        <v>2731</v>
      </c>
      <c r="O1165" s="64" t="s">
        <v>489</v>
      </c>
    </row>
    <row r="1166" spans="9:15" x14ac:dyDescent="0.45">
      <c r="I1166"/>
      <c r="J1166"/>
      <c r="M1166" s="62" t="s">
        <v>2732</v>
      </c>
      <c r="N1166" s="63" t="s">
        <v>2733</v>
      </c>
      <c r="O1166" s="64" t="s">
        <v>333</v>
      </c>
    </row>
    <row r="1167" spans="9:15" x14ac:dyDescent="0.45">
      <c r="I1167"/>
      <c r="J1167"/>
      <c r="M1167" s="62" t="s">
        <v>2734</v>
      </c>
      <c r="N1167" s="63" t="s">
        <v>2735</v>
      </c>
      <c r="O1167" s="64" t="s">
        <v>2736</v>
      </c>
    </row>
    <row r="1168" spans="9:15" x14ac:dyDescent="0.45">
      <c r="I1168"/>
      <c r="J1168"/>
      <c r="M1168" s="62" t="s">
        <v>2737</v>
      </c>
      <c r="N1168" s="63" t="s">
        <v>2738</v>
      </c>
      <c r="O1168" s="64" t="s">
        <v>359</v>
      </c>
    </row>
    <row r="1169" spans="9:15" x14ac:dyDescent="0.45">
      <c r="I1169"/>
      <c r="J1169"/>
      <c r="M1169" s="62" t="s">
        <v>2739</v>
      </c>
      <c r="N1169" s="63" t="s">
        <v>2740</v>
      </c>
      <c r="O1169" s="64" t="s">
        <v>327</v>
      </c>
    </row>
    <row r="1170" spans="9:15" x14ac:dyDescent="0.45">
      <c r="I1170"/>
      <c r="J1170"/>
      <c r="M1170" s="62" t="s">
        <v>2741</v>
      </c>
      <c r="N1170" s="63" t="s">
        <v>2742</v>
      </c>
      <c r="O1170" s="64" t="s">
        <v>667</v>
      </c>
    </row>
    <row r="1171" spans="9:15" x14ac:dyDescent="0.45">
      <c r="I1171"/>
      <c r="J1171"/>
      <c r="M1171" s="62" t="s">
        <v>2743</v>
      </c>
      <c r="N1171" s="63" t="s">
        <v>2744</v>
      </c>
      <c r="O1171" s="64" t="s">
        <v>437</v>
      </c>
    </row>
    <row r="1172" spans="9:15" x14ac:dyDescent="0.45">
      <c r="I1172"/>
      <c r="J1172"/>
      <c r="M1172" s="62" t="s">
        <v>2745</v>
      </c>
      <c r="N1172" s="63" t="s">
        <v>2746</v>
      </c>
      <c r="O1172" s="64" t="s">
        <v>330</v>
      </c>
    </row>
    <row r="1173" spans="9:15" x14ac:dyDescent="0.45">
      <c r="I1173"/>
      <c r="J1173"/>
      <c r="M1173" s="62" t="s">
        <v>2747</v>
      </c>
      <c r="N1173" s="63" t="s">
        <v>2748</v>
      </c>
      <c r="O1173" s="64" t="s">
        <v>327</v>
      </c>
    </row>
    <row r="1174" spans="9:15" x14ac:dyDescent="0.45">
      <c r="I1174"/>
      <c r="J1174"/>
      <c r="M1174" s="62" t="s">
        <v>2749</v>
      </c>
      <c r="N1174" s="63" t="s">
        <v>2750</v>
      </c>
      <c r="O1174" s="64" t="s">
        <v>330</v>
      </c>
    </row>
    <row r="1175" spans="9:15" x14ac:dyDescent="0.45">
      <c r="I1175"/>
      <c r="J1175"/>
      <c r="M1175" s="65" t="s">
        <v>2751</v>
      </c>
      <c r="N1175" s="66" t="s">
        <v>2752</v>
      </c>
      <c r="O1175" s="64" t="s">
        <v>333</v>
      </c>
    </row>
    <row r="1176" spans="9:15" x14ac:dyDescent="0.45">
      <c r="I1176"/>
      <c r="J1176"/>
      <c r="M1176" s="62" t="s">
        <v>2753</v>
      </c>
      <c r="N1176" s="63" t="s">
        <v>2754</v>
      </c>
      <c r="O1176" s="64" t="s">
        <v>453</v>
      </c>
    </row>
    <row r="1177" spans="9:15" x14ac:dyDescent="0.45">
      <c r="I1177"/>
      <c r="J1177"/>
      <c r="M1177" s="62" t="s">
        <v>2755</v>
      </c>
      <c r="N1177" s="63" t="s">
        <v>2756</v>
      </c>
      <c r="O1177" s="64" t="s">
        <v>321</v>
      </c>
    </row>
    <row r="1178" spans="9:15" x14ac:dyDescent="0.45">
      <c r="I1178"/>
      <c r="J1178"/>
      <c r="M1178" s="62" t="s">
        <v>2757</v>
      </c>
      <c r="N1178" s="63" t="s">
        <v>2758</v>
      </c>
      <c r="O1178" s="64" t="s">
        <v>330</v>
      </c>
    </row>
    <row r="1179" spans="9:15" x14ac:dyDescent="0.45">
      <c r="I1179"/>
      <c r="J1179"/>
      <c r="M1179" s="62" t="s">
        <v>2759</v>
      </c>
      <c r="N1179" s="63" t="s">
        <v>2760</v>
      </c>
      <c r="O1179" s="64" t="s">
        <v>330</v>
      </c>
    </row>
    <row r="1180" spans="9:15" x14ac:dyDescent="0.45">
      <c r="I1180"/>
      <c r="J1180"/>
      <c r="M1180" s="62" t="s">
        <v>2761</v>
      </c>
      <c r="N1180" s="63" t="s">
        <v>2762</v>
      </c>
      <c r="O1180" s="64" t="s">
        <v>330</v>
      </c>
    </row>
    <row r="1181" spans="9:15" x14ac:dyDescent="0.45">
      <c r="I1181"/>
      <c r="J1181"/>
      <c r="M1181" s="62" t="s">
        <v>2763</v>
      </c>
      <c r="N1181" s="63" t="s">
        <v>2764</v>
      </c>
      <c r="O1181" s="64" t="s">
        <v>515</v>
      </c>
    </row>
    <row r="1182" spans="9:15" x14ac:dyDescent="0.45">
      <c r="I1182"/>
      <c r="J1182"/>
      <c r="M1182" s="62" t="s">
        <v>2765</v>
      </c>
      <c r="N1182" s="63" t="s">
        <v>2766</v>
      </c>
      <c r="O1182" s="64" t="s">
        <v>330</v>
      </c>
    </row>
    <row r="1183" spans="9:15" x14ac:dyDescent="0.45">
      <c r="I1183"/>
      <c r="J1183"/>
      <c r="M1183" s="62" t="s">
        <v>2767</v>
      </c>
      <c r="N1183" s="63" t="s">
        <v>2768</v>
      </c>
      <c r="O1183" s="64" t="s">
        <v>330</v>
      </c>
    </row>
    <row r="1184" spans="9:15" x14ac:dyDescent="0.45">
      <c r="I1184"/>
      <c r="J1184"/>
      <c r="M1184" s="62" t="s">
        <v>2769</v>
      </c>
      <c r="N1184" s="63" t="s">
        <v>2770</v>
      </c>
      <c r="O1184" s="64" t="s">
        <v>330</v>
      </c>
    </row>
    <row r="1185" spans="9:15" x14ac:dyDescent="0.45">
      <c r="I1185"/>
      <c r="J1185"/>
      <c r="M1185" s="62" t="s">
        <v>2771</v>
      </c>
      <c r="N1185" s="63" t="s">
        <v>2772</v>
      </c>
      <c r="O1185" s="64" t="s">
        <v>625</v>
      </c>
    </row>
    <row r="1186" spans="9:15" x14ac:dyDescent="0.45">
      <c r="I1186"/>
      <c r="J1186"/>
      <c r="M1186" s="62" t="s">
        <v>2773</v>
      </c>
      <c r="N1186" s="63" t="s">
        <v>2774</v>
      </c>
      <c r="O1186" s="64" t="s">
        <v>344</v>
      </c>
    </row>
    <row r="1187" spans="9:15" x14ac:dyDescent="0.45">
      <c r="I1187"/>
      <c r="J1187"/>
      <c r="M1187" s="62" t="s">
        <v>2775</v>
      </c>
      <c r="N1187" s="63" t="s">
        <v>2776</v>
      </c>
      <c r="O1187" s="64" t="s">
        <v>318</v>
      </c>
    </row>
    <row r="1188" spans="9:15" x14ac:dyDescent="0.45">
      <c r="I1188"/>
      <c r="J1188"/>
      <c r="M1188" s="62" t="s">
        <v>2777</v>
      </c>
      <c r="N1188" s="63" t="s">
        <v>2778</v>
      </c>
      <c r="O1188" s="64" t="s">
        <v>330</v>
      </c>
    </row>
    <row r="1189" spans="9:15" x14ac:dyDescent="0.45">
      <c r="I1189"/>
      <c r="J1189"/>
      <c r="M1189" s="62" t="s">
        <v>2779</v>
      </c>
      <c r="N1189" s="63" t="s">
        <v>2780</v>
      </c>
      <c r="O1189" s="64" t="s">
        <v>330</v>
      </c>
    </row>
    <row r="1190" spans="9:15" x14ac:dyDescent="0.45">
      <c r="I1190"/>
      <c r="J1190"/>
      <c r="M1190" s="62" t="s">
        <v>2781</v>
      </c>
      <c r="N1190" s="63" t="s">
        <v>2782</v>
      </c>
      <c r="O1190" s="64" t="s">
        <v>344</v>
      </c>
    </row>
    <row r="1191" spans="9:15" x14ac:dyDescent="0.45">
      <c r="I1191"/>
      <c r="J1191"/>
      <c r="M1191" s="62" t="s">
        <v>2783</v>
      </c>
      <c r="N1191" s="63" t="s">
        <v>2784</v>
      </c>
      <c r="O1191" s="64" t="s">
        <v>330</v>
      </c>
    </row>
    <row r="1192" spans="9:15" x14ac:dyDescent="0.45">
      <c r="I1192"/>
      <c r="J1192"/>
      <c r="M1192" s="75" t="s">
        <v>2785</v>
      </c>
      <c r="N1192" s="76" t="s">
        <v>2786</v>
      </c>
      <c r="O1192" s="77" t="s">
        <v>330</v>
      </c>
    </row>
    <row r="1193" spans="9:15" x14ac:dyDescent="0.45">
      <c r="I1193"/>
      <c r="J1193"/>
      <c r="M1193" s="62" t="s">
        <v>2787</v>
      </c>
      <c r="N1193" s="63" t="s">
        <v>2788</v>
      </c>
      <c r="O1193" s="64" t="s">
        <v>515</v>
      </c>
    </row>
    <row r="1194" spans="9:15" x14ac:dyDescent="0.45">
      <c r="I1194"/>
      <c r="J1194"/>
      <c r="M1194" s="62" t="s">
        <v>2789</v>
      </c>
      <c r="N1194" s="63" t="s">
        <v>2790</v>
      </c>
      <c r="O1194" s="64" t="s">
        <v>330</v>
      </c>
    </row>
    <row r="1195" spans="9:15" x14ac:dyDescent="0.45">
      <c r="I1195"/>
      <c r="J1195"/>
      <c r="M1195" s="62" t="s">
        <v>2791</v>
      </c>
      <c r="N1195" s="63" t="s">
        <v>2792</v>
      </c>
      <c r="O1195" s="64" t="s">
        <v>330</v>
      </c>
    </row>
    <row r="1196" spans="9:15" x14ac:dyDescent="0.45">
      <c r="I1196"/>
      <c r="J1196"/>
      <c r="M1196" s="62" t="s">
        <v>2793</v>
      </c>
      <c r="N1196" s="63" t="s">
        <v>2794</v>
      </c>
      <c r="O1196" s="64" t="s">
        <v>330</v>
      </c>
    </row>
    <row r="1197" spans="9:15" x14ac:dyDescent="0.45">
      <c r="I1197"/>
      <c r="J1197"/>
      <c r="M1197" s="62" t="s">
        <v>2795</v>
      </c>
      <c r="N1197" s="63" t="s">
        <v>2796</v>
      </c>
      <c r="O1197" s="64" t="s">
        <v>318</v>
      </c>
    </row>
    <row r="1198" spans="9:15" x14ac:dyDescent="0.45">
      <c r="I1198"/>
      <c r="J1198"/>
      <c r="M1198" s="62" t="s">
        <v>2797</v>
      </c>
      <c r="N1198" s="63" t="s">
        <v>2798</v>
      </c>
      <c r="O1198" s="64" t="s">
        <v>480</v>
      </c>
    </row>
    <row r="1199" spans="9:15" x14ac:dyDescent="0.45">
      <c r="I1199"/>
      <c r="J1199"/>
      <c r="M1199" s="62" t="s">
        <v>2799</v>
      </c>
      <c r="N1199" s="63" t="s">
        <v>2800</v>
      </c>
      <c r="O1199" s="64" t="s">
        <v>2801</v>
      </c>
    </row>
    <row r="1200" spans="9:15" x14ac:dyDescent="0.45">
      <c r="I1200"/>
      <c r="J1200"/>
      <c r="M1200" s="62" t="s">
        <v>2802</v>
      </c>
      <c r="N1200" s="63" t="s">
        <v>2803</v>
      </c>
      <c r="O1200" s="64" t="s">
        <v>359</v>
      </c>
    </row>
    <row r="1201" spans="9:15" x14ac:dyDescent="0.45">
      <c r="I1201"/>
      <c r="J1201"/>
      <c r="M1201" s="62" t="s">
        <v>2804</v>
      </c>
      <c r="N1201" s="63" t="s">
        <v>2805</v>
      </c>
      <c r="O1201" s="64" t="s">
        <v>330</v>
      </c>
    </row>
    <row r="1202" spans="9:15" x14ac:dyDescent="0.45">
      <c r="I1202"/>
      <c r="J1202"/>
      <c r="M1202" s="62" t="s">
        <v>2806</v>
      </c>
      <c r="N1202" s="63" t="s">
        <v>2807</v>
      </c>
      <c r="O1202" s="64" t="s">
        <v>327</v>
      </c>
    </row>
    <row r="1203" spans="9:15" x14ac:dyDescent="0.45">
      <c r="I1203"/>
      <c r="J1203"/>
      <c r="M1203" s="62" t="s">
        <v>2808</v>
      </c>
      <c r="N1203" s="63" t="s">
        <v>2809</v>
      </c>
      <c r="O1203" s="64" t="s">
        <v>532</v>
      </c>
    </row>
    <row r="1204" spans="9:15" x14ac:dyDescent="0.45">
      <c r="I1204"/>
      <c r="J1204"/>
      <c r="M1204" s="62" t="s">
        <v>2810</v>
      </c>
      <c r="N1204" s="63" t="s">
        <v>2811</v>
      </c>
      <c r="O1204" s="64" t="s">
        <v>333</v>
      </c>
    </row>
    <row r="1205" spans="9:15" x14ac:dyDescent="0.45">
      <c r="I1205"/>
      <c r="J1205"/>
      <c r="M1205" s="69" t="s">
        <v>2812</v>
      </c>
      <c r="N1205" s="70" t="s">
        <v>2813</v>
      </c>
      <c r="O1205" s="63" t="s">
        <v>373</v>
      </c>
    </row>
    <row r="1206" spans="9:15" x14ac:dyDescent="0.45">
      <c r="I1206"/>
      <c r="J1206"/>
      <c r="M1206" s="62" t="s">
        <v>2814</v>
      </c>
      <c r="N1206" s="63" t="s">
        <v>2813</v>
      </c>
      <c r="O1206" s="64" t="s">
        <v>1860</v>
      </c>
    </row>
    <row r="1207" spans="9:15" x14ac:dyDescent="0.45">
      <c r="I1207"/>
      <c r="J1207"/>
      <c r="M1207" s="62" t="s">
        <v>2815</v>
      </c>
      <c r="N1207" s="63" t="s">
        <v>2816</v>
      </c>
      <c r="O1207" s="64" t="s">
        <v>327</v>
      </c>
    </row>
    <row r="1208" spans="9:15" x14ac:dyDescent="0.45">
      <c r="I1208"/>
      <c r="J1208"/>
      <c r="M1208" s="62" t="s">
        <v>2817</v>
      </c>
      <c r="N1208" s="63" t="s">
        <v>2818</v>
      </c>
      <c r="O1208" s="64" t="s">
        <v>330</v>
      </c>
    </row>
    <row r="1209" spans="9:15" x14ac:dyDescent="0.45">
      <c r="I1209"/>
      <c r="J1209"/>
      <c r="M1209" s="75" t="s">
        <v>2819</v>
      </c>
      <c r="N1209" s="76" t="s">
        <v>2820</v>
      </c>
      <c r="O1209" s="64" t="s">
        <v>549</v>
      </c>
    </row>
    <row r="1210" spans="9:15" x14ac:dyDescent="0.45">
      <c r="I1210"/>
      <c r="J1210"/>
      <c r="M1210" s="62" t="s">
        <v>2821</v>
      </c>
      <c r="N1210" s="63" t="s">
        <v>2822</v>
      </c>
      <c r="O1210" s="64" t="s">
        <v>330</v>
      </c>
    </row>
    <row r="1211" spans="9:15" x14ac:dyDescent="0.45">
      <c r="I1211"/>
      <c r="J1211"/>
      <c r="M1211" s="62" t="s">
        <v>2823</v>
      </c>
      <c r="N1211" s="63" t="s">
        <v>2824</v>
      </c>
      <c r="O1211" s="64" t="s">
        <v>549</v>
      </c>
    </row>
    <row r="1212" spans="9:15" x14ac:dyDescent="0.45">
      <c r="I1212"/>
      <c r="J1212"/>
      <c r="M1212" s="62" t="s">
        <v>2825</v>
      </c>
      <c r="N1212" s="63" t="s">
        <v>2826</v>
      </c>
      <c r="O1212" s="64" t="s">
        <v>330</v>
      </c>
    </row>
    <row r="1213" spans="9:15" x14ac:dyDescent="0.45">
      <c r="I1213"/>
      <c r="J1213"/>
      <c r="M1213" s="62" t="s">
        <v>2827</v>
      </c>
      <c r="N1213" s="63" t="s">
        <v>2828</v>
      </c>
      <c r="O1213" s="64" t="s">
        <v>330</v>
      </c>
    </row>
    <row r="1214" spans="9:15" x14ac:dyDescent="0.45">
      <c r="I1214"/>
      <c r="J1214"/>
      <c r="M1214" s="62" t="s">
        <v>2829</v>
      </c>
      <c r="N1214" s="63" t="s">
        <v>2830</v>
      </c>
      <c r="O1214" s="64" t="s">
        <v>324</v>
      </c>
    </row>
    <row r="1215" spans="9:15" x14ac:dyDescent="0.45">
      <c r="I1215"/>
      <c r="J1215"/>
      <c r="M1215" s="62" t="s">
        <v>2831</v>
      </c>
      <c r="N1215" s="63" t="s">
        <v>2832</v>
      </c>
      <c r="O1215" s="64" t="s">
        <v>330</v>
      </c>
    </row>
    <row r="1216" spans="9:15" x14ac:dyDescent="0.45">
      <c r="I1216"/>
      <c r="J1216"/>
      <c r="M1216" s="62" t="s">
        <v>2833</v>
      </c>
      <c r="N1216" s="63" t="s">
        <v>2834</v>
      </c>
      <c r="O1216" s="64" t="s">
        <v>532</v>
      </c>
    </row>
    <row r="1217" spans="9:15" x14ac:dyDescent="0.45">
      <c r="I1217"/>
      <c r="J1217"/>
      <c r="M1217" s="62" t="s">
        <v>2835</v>
      </c>
      <c r="N1217" s="63" t="s">
        <v>2836</v>
      </c>
      <c r="O1217" s="64" t="s">
        <v>327</v>
      </c>
    </row>
    <row r="1218" spans="9:15" x14ac:dyDescent="0.45">
      <c r="I1218"/>
      <c r="J1218"/>
      <c r="M1218" s="62" t="s">
        <v>2837</v>
      </c>
      <c r="N1218" s="63" t="s">
        <v>2838</v>
      </c>
      <c r="O1218" s="64" t="s">
        <v>330</v>
      </c>
    </row>
    <row r="1219" spans="9:15" x14ac:dyDescent="0.45">
      <c r="I1219"/>
      <c r="J1219"/>
      <c r="M1219" s="62" t="s">
        <v>2839</v>
      </c>
      <c r="N1219" s="63" t="s">
        <v>2840</v>
      </c>
      <c r="O1219" s="64" t="s">
        <v>330</v>
      </c>
    </row>
    <row r="1220" spans="9:15" x14ac:dyDescent="0.45">
      <c r="I1220"/>
      <c r="J1220"/>
      <c r="M1220" s="62" t="s">
        <v>2841</v>
      </c>
      <c r="N1220" s="63" t="s">
        <v>2842</v>
      </c>
      <c r="O1220" s="64" t="s">
        <v>321</v>
      </c>
    </row>
    <row r="1221" spans="9:15" x14ac:dyDescent="0.45">
      <c r="I1221"/>
      <c r="J1221"/>
      <c r="M1221" s="62" t="s">
        <v>2843</v>
      </c>
      <c r="N1221" s="63" t="s">
        <v>2844</v>
      </c>
      <c r="O1221" s="64" t="s">
        <v>632</v>
      </c>
    </row>
    <row r="1222" spans="9:15" x14ac:dyDescent="0.45">
      <c r="I1222"/>
      <c r="J1222"/>
      <c r="M1222" s="62" t="s">
        <v>2845</v>
      </c>
      <c r="N1222" s="63" t="s">
        <v>2846</v>
      </c>
      <c r="O1222" s="64" t="s">
        <v>359</v>
      </c>
    </row>
    <row r="1223" spans="9:15" x14ac:dyDescent="0.45">
      <c r="I1223"/>
      <c r="J1223"/>
      <c r="M1223" s="62" t="s">
        <v>2847</v>
      </c>
      <c r="N1223" s="63" t="s">
        <v>2848</v>
      </c>
      <c r="O1223" s="64" t="s">
        <v>596</v>
      </c>
    </row>
    <row r="1224" spans="9:15" x14ac:dyDescent="0.45">
      <c r="I1224"/>
      <c r="J1224"/>
      <c r="M1224" s="62" t="s">
        <v>2849</v>
      </c>
      <c r="N1224" s="63" t="s">
        <v>2850</v>
      </c>
      <c r="O1224" s="64" t="s">
        <v>2851</v>
      </c>
    </row>
    <row r="1225" spans="9:15" x14ac:dyDescent="0.45">
      <c r="I1225"/>
      <c r="J1225"/>
      <c r="M1225" s="62" t="s">
        <v>2852</v>
      </c>
      <c r="N1225" s="63" t="s">
        <v>2853</v>
      </c>
      <c r="O1225" s="64" t="s">
        <v>330</v>
      </c>
    </row>
    <row r="1226" spans="9:15" x14ac:dyDescent="0.45">
      <c r="I1226"/>
      <c r="J1226"/>
      <c r="M1226" s="62" t="s">
        <v>2854</v>
      </c>
      <c r="N1226" s="63" t="s">
        <v>2855</v>
      </c>
      <c r="O1226" s="64" t="s">
        <v>1863</v>
      </c>
    </row>
    <row r="1227" spans="9:15" x14ac:dyDescent="0.45">
      <c r="I1227"/>
      <c r="J1227"/>
      <c r="M1227" s="62" t="s">
        <v>2856</v>
      </c>
      <c r="N1227" s="63" t="s">
        <v>2857</v>
      </c>
      <c r="O1227" s="64" t="s">
        <v>905</v>
      </c>
    </row>
    <row r="1228" spans="9:15" x14ac:dyDescent="0.45">
      <c r="I1228"/>
      <c r="J1228"/>
      <c r="M1228" s="62" t="s">
        <v>2858</v>
      </c>
      <c r="N1228" s="63" t="s">
        <v>2859</v>
      </c>
      <c r="O1228" s="64" t="s">
        <v>509</v>
      </c>
    </row>
    <row r="1229" spans="9:15" x14ac:dyDescent="0.45">
      <c r="I1229"/>
      <c r="J1229"/>
      <c r="M1229" s="62" t="s">
        <v>2860</v>
      </c>
      <c r="N1229" s="63" t="s">
        <v>2861</v>
      </c>
      <c r="O1229" s="64" t="s">
        <v>344</v>
      </c>
    </row>
    <row r="1230" spans="9:15" x14ac:dyDescent="0.45">
      <c r="I1230"/>
      <c r="J1230"/>
      <c r="M1230" s="62" t="s">
        <v>2862</v>
      </c>
      <c r="N1230" s="63" t="s">
        <v>2863</v>
      </c>
      <c r="O1230" s="64" t="s">
        <v>2864</v>
      </c>
    </row>
    <row r="1231" spans="9:15" x14ac:dyDescent="0.45">
      <c r="I1231"/>
      <c r="J1231"/>
      <c r="M1231" s="62" t="s">
        <v>2865</v>
      </c>
      <c r="N1231" s="63" t="s">
        <v>2866</v>
      </c>
      <c r="O1231" s="64" t="s">
        <v>2867</v>
      </c>
    </row>
    <row r="1232" spans="9:15" x14ac:dyDescent="0.45">
      <c r="I1232"/>
      <c r="J1232"/>
      <c r="M1232" s="62" t="s">
        <v>2868</v>
      </c>
      <c r="N1232" s="63" t="s">
        <v>2869</v>
      </c>
      <c r="O1232" s="64" t="s">
        <v>330</v>
      </c>
    </row>
    <row r="1233" spans="9:15" x14ac:dyDescent="0.45">
      <c r="I1233"/>
      <c r="J1233"/>
      <c r="M1233" s="62" t="s">
        <v>2870</v>
      </c>
      <c r="N1233" s="63" t="s">
        <v>2871</v>
      </c>
      <c r="O1233" s="64" t="s">
        <v>480</v>
      </c>
    </row>
    <row r="1234" spans="9:15" x14ac:dyDescent="0.45">
      <c r="I1234"/>
      <c r="J1234"/>
      <c r="M1234" s="62" t="s">
        <v>2872</v>
      </c>
      <c r="N1234" s="63" t="s">
        <v>2873</v>
      </c>
      <c r="O1234" s="64" t="s">
        <v>321</v>
      </c>
    </row>
    <row r="1235" spans="9:15" x14ac:dyDescent="0.45">
      <c r="I1235"/>
      <c r="J1235"/>
      <c r="M1235" s="62" t="s">
        <v>2874</v>
      </c>
      <c r="N1235" s="63" t="s">
        <v>2875</v>
      </c>
      <c r="O1235" s="64" t="s">
        <v>330</v>
      </c>
    </row>
    <row r="1236" spans="9:15" x14ac:dyDescent="0.45">
      <c r="I1236"/>
      <c r="J1236"/>
      <c r="M1236" s="62" t="s">
        <v>2876</v>
      </c>
      <c r="N1236" s="63" t="s">
        <v>2877</v>
      </c>
      <c r="O1236" s="64" t="s">
        <v>321</v>
      </c>
    </row>
    <row r="1237" spans="9:15" x14ac:dyDescent="0.45">
      <c r="I1237"/>
      <c r="J1237"/>
      <c r="M1237" s="62" t="s">
        <v>2878</v>
      </c>
      <c r="N1237" s="63" t="s">
        <v>2879</v>
      </c>
      <c r="O1237" s="64" t="s">
        <v>318</v>
      </c>
    </row>
    <row r="1238" spans="9:15" x14ac:dyDescent="0.45">
      <c r="I1238"/>
      <c r="J1238"/>
      <c r="M1238" s="62" t="s">
        <v>2880</v>
      </c>
      <c r="N1238" s="63" t="s">
        <v>2881</v>
      </c>
      <c r="O1238" s="64" t="s">
        <v>336</v>
      </c>
    </row>
    <row r="1239" spans="9:15" x14ac:dyDescent="0.45">
      <c r="I1239"/>
      <c r="J1239"/>
      <c r="M1239" s="62" t="s">
        <v>2882</v>
      </c>
      <c r="N1239" s="63" t="s">
        <v>2883</v>
      </c>
      <c r="O1239" s="64" t="s">
        <v>509</v>
      </c>
    </row>
    <row r="1240" spans="9:15" x14ac:dyDescent="0.45">
      <c r="I1240"/>
      <c r="J1240"/>
      <c r="M1240" s="62" t="s">
        <v>2884</v>
      </c>
      <c r="N1240" s="63" t="s">
        <v>2885</v>
      </c>
      <c r="O1240" s="64" t="s">
        <v>318</v>
      </c>
    </row>
    <row r="1241" spans="9:15" x14ac:dyDescent="0.45">
      <c r="I1241"/>
      <c r="J1241"/>
      <c r="M1241" s="62" t="s">
        <v>2886</v>
      </c>
      <c r="N1241" s="63" t="s">
        <v>2887</v>
      </c>
      <c r="O1241" s="64" t="s">
        <v>420</v>
      </c>
    </row>
    <row r="1242" spans="9:15" x14ac:dyDescent="0.45">
      <c r="I1242"/>
      <c r="J1242"/>
      <c r="M1242" s="62" t="s">
        <v>2888</v>
      </c>
      <c r="N1242" s="63" t="s">
        <v>2887</v>
      </c>
      <c r="O1242" s="64" t="s">
        <v>344</v>
      </c>
    </row>
    <row r="1243" spans="9:15" x14ac:dyDescent="0.45">
      <c r="I1243"/>
      <c r="J1243"/>
      <c r="M1243" s="62" t="s">
        <v>2889</v>
      </c>
      <c r="N1243" s="63" t="s">
        <v>2890</v>
      </c>
      <c r="O1243" s="64" t="s">
        <v>489</v>
      </c>
    </row>
    <row r="1244" spans="9:15" x14ac:dyDescent="0.45">
      <c r="I1244"/>
      <c r="J1244"/>
      <c r="M1244" s="62" t="s">
        <v>2891</v>
      </c>
      <c r="N1244" s="63" t="s">
        <v>2892</v>
      </c>
      <c r="O1244" s="64" t="s">
        <v>509</v>
      </c>
    </row>
    <row r="1245" spans="9:15" x14ac:dyDescent="0.45">
      <c r="I1245"/>
      <c r="J1245"/>
      <c r="M1245" s="62" t="s">
        <v>2893</v>
      </c>
      <c r="N1245" s="63" t="s">
        <v>2894</v>
      </c>
      <c r="O1245" s="64" t="s">
        <v>1104</v>
      </c>
    </row>
    <row r="1246" spans="9:15" x14ac:dyDescent="0.45">
      <c r="I1246"/>
      <c r="J1246"/>
      <c r="M1246" s="62" t="s">
        <v>2895</v>
      </c>
      <c r="N1246" s="63" t="s">
        <v>2896</v>
      </c>
      <c r="O1246" s="64" t="s">
        <v>344</v>
      </c>
    </row>
    <row r="1247" spans="9:15" x14ac:dyDescent="0.45">
      <c r="I1247"/>
      <c r="J1247"/>
      <c r="M1247" s="62" t="s">
        <v>2897</v>
      </c>
      <c r="N1247" s="63" t="s">
        <v>2898</v>
      </c>
      <c r="O1247" s="64" t="s">
        <v>330</v>
      </c>
    </row>
    <row r="1248" spans="9:15" x14ac:dyDescent="0.45">
      <c r="I1248"/>
      <c r="J1248"/>
      <c r="M1248" s="62" t="s">
        <v>2899</v>
      </c>
      <c r="N1248" s="63" t="s">
        <v>2900</v>
      </c>
      <c r="O1248" s="64" t="s">
        <v>327</v>
      </c>
    </row>
    <row r="1249" spans="9:15" x14ac:dyDescent="0.45">
      <c r="I1249"/>
      <c r="J1249"/>
      <c r="M1249" s="62" t="s">
        <v>2901</v>
      </c>
      <c r="N1249" s="63" t="s">
        <v>2902</v>
      </c>
      <c r="O1249" s="64" t="s">
        <v>1104</v>
      </c>
    </row>
    <row r="1250" spans="9:15" x14ac:dyDescent="0.45">
      <c r="I1250"/>
      <c r="J1250"/>
      <c r="M1250" s="62" t="s">
        <v>2903</v>
      </c>
      <c r="N1250" s="63" t="s">
        <v>2904</v>
      </c>
      <c r="O1250" s="64" t="s">
        <v>480</v>
      </c>
    </row>
    <row r="1251" spans="9:15" x14ac:dyDescent="0.45">
      <c r="I1251"/>
      <c r="J1251"/>
      <c r="M1251" s="62" t="s">
        <v>2905</v>
      </c>
      <c r="N1251" s="63" t="s">
        <v>2906</v>
      </c>
      <c r="O1251" s="64" t="s">
        <v>632</v>
      </c>
    </row>
    <row r="1252" spans="9:15" x14ac:dyDescent="0.45">
      <c r="I1252"/>
      <c r="J1252"/>
      <c r="M1252" s="62" t="s">
        <v>2907</v>
      </c>
      <c r="N1252" s="63" t="s">
        <v>2908</v>
      </c>
      <c r="O1252" s="64" t="s">
        <v>509</v>
      </c>
    </row>
    <row r="1253" spans="9:15" x14ac:dyDescent="0.45">
      <c r="I1253"/>
      <c r="J1253"/>
      <c r="M1253" s="62" t="s">
        <v>2909</v>
      </c>
      <c r="N1253" s="63" t="s">
        <v>2910</v>
      </c>
      <c r="O1253" s="64" t="s">
        <v>480</v>
      </c>
    </row>
    <row r="1254" spans="9:15" x14ac:dyDescent="0.45">
      <c r="I1254"/>
      <c r="J1254"/>
      <c r="M1254" s="62" t="s">
        <v>2911</v>
      </c>
      <c r="N1254" s="63" t="s">
        <v>2912</v>
      </c>
      <c r="O1254" s="64" t="s">
        <v>341</v>
      </c>
    </row>
    <row r="1255" spans="9:15" x14ac:dyDescent="0.45">
      <c r="I1255"/>
      <c r="J1255"/>
      <c r="M1255" s="62" t="s">
        <v>2913</v>
      </c>
      <c r="N1255" s="63" t="s">
        <v>2914</v>
      </c>
      <c r="O1255" s="64" t="s">
        <v>2574</v>
      </c>
    </row>
    <row r="1256" spans="9:15" x14ac:dyDescent="0.45">
      <c r="I1256"/>
      <c r="J1256"/>
      <c r="M1256" s="62" t="s">
        <v>2915</v>
      </c>
      <c r="N1256" s="63" t="s">
        <v>2916</v>
      </c>
      <c r="O1256" s="64" t="s">
        <v>1125</v>
      </c>
    </row>
    <row r="1257" spans="9:15" x14ac:dyDescent="0.45">
      <c r="I1257"/>
      <c r="J1257"/>
      <c r="M1257" s="62" t="s">
        <v>2917</v>
      </c>
      <c r="N1257" s="63" t="s">
        <v>2916</v>
      </c>
      <c r="O1257" s="64" t="s">
        <v>1125</v>
      </c>
    </row>
    <row r="1258" spans="9:15" x14ac:dyDescent="0.45">
      <c r="I1258"/>
      <c r="J1258"/>
      <c r="M1258" s="62" t="s">
        <v>2918</v>
      </c>
      <c r="N1258" s="63" t="s">
        <v>2919</v>
      </c>
      <c r="O1258" s="64" t="s">
        <v>330</v>
      </c>
    </row>
    <row r="1259" spans="9:15" x14ac:dyDescent="0.45">
      <c r="I1259"/>
      <c r="J1259"/>
      <c r="M1259" s="62" t="s">
        <v>2920</v>
      </c>
      <c r="N1259" s="63" t="s">
        <v>2921</v>
      </c>
      <c r="O1259" s="64" t="s">
        <v>330</v>
      </c>
    </row>
    <row r="1260" spans="9:15" x14ac:dyDescent="0.45">
      <c r="I1260"/>
      <c r="J1260"/>
      <c r="M1260" s="62" t="s">
        <v>2922</v>
      </c>
      <c r="N1260" s="63" t="s">
        <v>2923</v>
      </c>
      <c r="O1260" s="64" t="s">
        <v>453</v>
      </c>
    </row>
    <row r="1261" spans="9:15" x14ac:dyDescent="0.45">
      <c r="I1261"/>
      <c r="J1261"/>
      <c r="M1261" s="62" t="s">
        <v>2924</v>
      </c>
      <c r="N1261" s="63" t="s">
        <v>2925</v>
      </c>
      <c r="O1261" s="64" t="s">
        <v>632</v>
      </c>
    </row>
    <row r="1262" spans="9:15" x14ac:dyDescent="0.45">
      <c r="I1262"/>
      <c r="J1262"/>
      <c r="M1262" s="62" t="s">
        <v>2926</v>
      </c>
      <c r="N1262" s="63" t="s">
        <v>2927</v>
      </c>
      <c r="O1262" s="64" t="s">
        <v>336</v>
      </c>
    </row>
    <row r="1263" spans="9:15" x14ac:dyDescent="0.45">
      <c r="I1263"/>
      <c r="J1263"/>
      <c r="M1263" s="62" t="s">
        <v>2928</v>
      </c>
      <c r="N1263" s="63" t="s">
        <v>2929</v>
      </c>
      <c r="O1263" s="64" t="s">
        <v>616</v>
      </c>
    </row>
    <row r="1264" spans="9:15" x14ac:dyDescent="0.45">
      <c r="I1264"/>
      <c r="J1264"/>
      <c r="M1264" s="62" t="s">
        <v>2930</v>
      </c>
      <c r="N1264" s="63" t="s">
        <v>2931</v>
      </c>
      <c r="O1264" s="64" t="s">
        <v>324</v>
      </c>
    </row>
    <row r="1265" spans="9:15" x14ac:dyDescent="0.45">
      <c r="I1265"/>
      <c r="J1265"/>
      <c r="M1265" s="62" t="s">
        <v>2932</v>
      </c>
      <c r="N1265" s="63" t="s">
        <v>2933</v>
      </c>
      <c r="O1265" s="64" t="s">
        <v>453</v>
      </c>
    </row>
    <row r="1266" spans="9:15" x14ac:dyDescent="0.45">
      <c r="I1266"/>
      <c r="J1266"/>
      <c r="M1266" s="62" t="s">
        <v>2934</v>
      </c>
      <c r="N1266" s="63" t="s">
        <v>2935</v>
      </c>
      <c r="O1266" s="64" t="s">
        <v>318</v>
      </c>
    </row>
    <row r="1267" spans="9:15" x14ac:dyDescent="0.45">
      <c r="I1267"/>
      <c r="J1267"/>
      <c r="M1267" s="62" t="s">
        <v>2936</v>
      </c>
      <c r="N1267" s="63" t="s">
        <v>2937</v>
      </c>
      <c r="O1267" s="64" t="s">
        <v>330</v>
      </c>
    </row>
    <row r="1268" spans="9:15" x14ac:dyDescent="0.45">
      <c r="I1268"/>
      <c r="J1268"/>
      <c r="M1268" s="62" t="s">
        <v>2938</v>
      </c>
      <c r="N1268" s="63" t="s">
        <v>2939</v>
      </c>
      <c r="O1268" s="64" t="s">
        <v>330</v>
      </c>
    </row>
    <row r="1269" spans="9:15" x14ac:dyDescent="0.45">
      <c r="I1269"/>
      <c r="J1269"/>
      <c r="M1269" s="62" t="s">
        <v>2940</v>
      </c>
      <c r="N1269" s="63" t="s">
        <v>2941</v>
      </c>
      <c r="O1269" s="64" t="s">
        <v>330</v>
      </c>
    </row>
    <row r="1270" spans="9:15" x14ac:dyDescent="0.45">
      <c r="I1270"/>
      <c r="J1270"/>
      <c r="M1270" s="62" t="s">
        <v>2942</v>
      </c>
      <c r="N1270" s="63" t="s">
        <v>2943</v>
      </c>
      <c r="O1270" s="64" t="s">
        <v>318</v>
      </c>
    </row>
    <row r="1271" spans="9:15" x14ac:dyDescent="0.45">
      <c r="I1271"/>
      <c r="J1271"/>
      <c r="M1271" s="62" t="s">
        <v>2944</v>
      </c>
      <c r="N1271" s="63" t="s">
        <v>2945</v>
      </c>
      <c r="O1271" s="64" t="s">
        <v>515</v>
      </c>
    </row>
    <row r="1272" spans="9:15" x14ac:dyDescent="0.45">
      <c r="I1272"/>
      <c r="J1272"/>
      <c r="M1272" s="62" t="s">
        <v>2946</v>
      </c>
      <c r="N1272" s="63" t="s">
        <v>2947</v>
      </c>
      <c r="O1272" s="64" t="s">
        <v>632</v>
      </c>
    </row>
    <row r="1273" spans="9:15" x14ac:dyDescent="0.45">
      <c r="I1273"/>
      <c r="J1273"/>
      <c r="M1273" s="62" t="s">
        <v>2948</v>
      </c>
      <c r="N1273" s="63" t="s">
        <v>2949</v>
      </c>
      <c r="O1273" s="64" t="s">
        <v>632</v>
      </c>
    </row>
    <row r="1274" spans="9:15" x14ac:dyDescent="0.45">
      <c r="I1274"/>
      <c r="J1274"/>
      <c r="M1274" s="62" t="s">
        <v>2950</v>
      </c>
      <c r="N1274" s="63" t="s">
        <v>2951</v>
      </c>
      <c r="O1274" s="64" t="s">
        <v>2952</v>
      </c>
    </row>
    <row r="1275" spans="9:15" x14ac:dyDescent="0.45">
      <c r="I1275"/>
      <c r="J1275"/>
      <c r="M1275" s="62" t="s">
        <v>2953</v>
      </c>
      <c r="N1275" s="63" t="s">
        <v>2954</v>
      </c>
      <c r="O1275" s="64" t="s">
        <v>2955</v>
      </c>
    </row>
    <row r="1276" spans="9:15" x14ac:dyDescent="0.45">
      <c r="I1276"/>
      <c r="J1276"/>
      <c r="M1276" s="62" t="s">
        <v>2956</v>
      </c>
      <c r="N1276" s="63" t="s">
        <v>2957</v>
      </c>
      <c r="O1276" s="64" t="s">
        <v>330</v>
      </c>
    </row>
    <row r="1277" spans="9:15" x14ac:dyDescent="0.45">
      <c r="I1277"/>
      <c r="J1277"/>
      <c r="M1277" s="62" t="s">
        <v>2958</v>
      </c>
      <c r="N1277" s="63" t="s">
        <v>2959</v>
      </c>
      <c r="O1277" s="64" t="s">
        <v>1860</v>
      </c>
    </row>
    <row r="1278" spans="9:15" x14ac:dyDescent="0.45">
      <c r="I1278"/>
      <c r="J1278"/>
      <c r="M1278" s="69" t="s">
        <v>2960</v>
      </c>
      <c r="N1278" s="70" t="s">
        <v>2961</v>
      </c>
      <c r="O1278" s="63" t="s">
        <v>373</v>
      </c>
    </row>
    <row r="1279" spans="9:15" x14ac:dyDescent="0.45">
      <c r="I1279"/>
      <c r="J1279"/>
      <c r="M1279" s="62" t="s">
        <v>2962</v>
      </c>
      <c r="N1279" s="63" t="s">
        <v>2963</v>
      </c>
      <c r="O1279" s="64" t="s">
        <v>518</v>
      </c>
    </row>
    <row r="1280" spans="9:15" x14ac:dyDescent="0.45">
      <c r="I1280"/>
      <c r="J1280"/>
      <c r="M1280" s="62" t="s">
        <v>2964</v>
      </c>
      <c r="N1280" s="63" t="s">
        <v>2965</v>
      </c>
      <c r="O1280" s="64" t="s">
        <v>321</v>
      </c>
    </row>
    <row r="1281" spans="9:15" x14ac:dyDescent="0.45">
      <c r="I1281"/>
      <c r="J1281"/>
      <c r="M1281" s="62" t="s">
        <v>2966</v>
      </c>
      <c r="N1281" s="63" t="s">
        <v>2967</v>
      </c>
      <c r="O1281" s="64" t="s">
        <v>2968</v>
      </c>
    </row>
    <row r="1282" spans="9:15" x14ac:dyDescent="0.45">
      <c r="I1282"/>
      <c r="J1282"/>
      <c r="M1282" s="62" t="s">
        <v>2969</v>
      </c>
      <c r="N1282" s="63" t="s">
        <v>2970</v>
      </c>
      <c r="O1282" s="64" t="s">
        <v>509</v>
      </c>
    </row>
    <row r="1283" spans="9:15" x14ac:dyDescent="0.45">
      <c r="I1283"/>
      <c r="J1283"/>
      <c r="M1283" s="62" t="s">
        <v>2971</v>
      </c>
      <c r="N1283" s="63" t="s">
        <v>2972</v>
      </c>
      <c r="O1283" s="64" t="s">
        <v>327</v>
      </c>
    </row>
    <row r="1284" spans="9:15" x14ac:dyDescent="0.45">
      <c r="I1284"/>
      <c r="J1284"/>
      <c r="M1284" s="62" t="s">
        <v>2973</v>
      </c>
      <c r="N1284" s="63" t="s">
        <v>2974</v>
      </c>
      <c r="O1284" s="64" t="s">
        <v>324</v>
      </c>
    </row>
    <row r="1285" spans="9:15" x14ac:dyDescent="0.45">
      <c r="I1285"/>
      <c r="J1285"/>
      <c r="M1285" s="62" t="s">
        <v>2975</v>
      </c>
      <c r="N1285" s="63" t="s">
        <v>2976</v>
      </c>
      <c r="O1285" s="64" t="s">
        <v>632</v>
      </c>
    </row>
    <row r="1286" spans="9:15" x14ac:dyDescent="0.45">
      <c r="I1286"/>
      <c r="J1286"/>
      <c r="M1286" s="62" t="s">
        <v>2977</v>
      </c>
      <c r="N1286" s="63" t="s">
        <v>2978</v>
      </c>
      <c r="O1286" s="64" t="s">
        <v>330</v>
      </c>
    </row>
    <row r="1287" spans="9:15" x14ac:dyDescent="0.45">
      <c r="I1287"/>
      <c r="J1287"/>
      <c r="M1287" s="62" t="s">
        <v>2979</v>
      </c>
      <c r="N1287" s="63" t="s">
        <v>2980</v>
      </c>
      <c r="O1287" s="64" t="s">
        <v>318</v>
      </c>
    </row>
    <row r="1288" spans="9:15" x14ac:dyDescent="0.45">
      <c r="I1288"/>
      <c r="J1288"/>
      <c r="M1288" s="62" t="s">
        <v>2981</v>
      </c>
      <c r="N1288" s="63" t="s">
        <v>2982</v>
      </c>
      <c r="O1288" s="64" t="s">
        <v>330</v>
      </c>
    </row>
    <row r="1289" spans="9:15" x14ac:dyDescent="0.45">
      <c r="I1289"/>
      <c r="J1289"/>
      <c r="M1289" s="62" t="s">
        <v>2983</v>
      </c>
      <c r="N1289" s="63" t="s">
        <v>2984</v>
      </c>
      <c r="O1289" s="64" t="s">
        <v>330</v>
      </c>
    </row>
    <row r="1290" spans="9:15" x14ac:dyDescent="0.45">
      <c r="I1290"/>
      <c r="J1290"/>
      <c r="M1290" s="62" t="s">
        <v>2985</v>
      </c>
      <c r="N1290" s="63" t="s">
        <v>2986</v>
      </c>
      <c r="O1290" s="64" t="s">
        <v>1085</v>
      </c>
    </row>
    <row r="1291" spans="9:15" x14ac:dyDescent="0.45">
      <c r="I1291"/>
      <c r="J1291"/>
      <c r="M1291" s="62" t="s">
        <v>2987</v>
      </c>
      <c r="N1291" s="63" t="s">
        <v>2988</v>
      </c>
      <c r="O1291" s="64" t="s">
        <v>330</v>
      </c>
    </row>
    <row r="1292" spans="9:15" x14ac:dyDescent="0.45">
      <c r="I1292"/>
      <c r="J1292"/>
      <c r="M1292" s="62" t="s">
        <v>2989</v>
      </c>
      <c r="N1292" s="63" t="s">
        <v>2990</v>
      </c>
      <c r="O1292" s="64" t="s">
        <v>2991</v>
      </c>
    </row>
    <row r="1293" spans="9:15" x14ac:dyDescent="0.45">
      <c r="I1293"/>
      <c r="J1293"/>
      <c r="M1293" s="62" t="s">
        <v>2992</v>
      </c>
      <c r="N1293" s="63" t="s">
        <v>2993</v>
      </c>
      <c r="O1293" s="64" t="s">
        <v>2994</v>
      </c>
    </row>
    <row r="1294" spans="9:15" x14ac:dyDescent="0.45">
      <c r="I1294"/>
      <c r="J1294"/>
      <c r="M1294" s="62" t="s">
        <v>2995</v>
      </c>
      <c r="N1294" s="63" t="s">
        <v>2996</v>
      </c>
      <c r="O1294" s="64" t="s">
        <v>324</v>
      </c>
    </row>
    <row r="1295" spans="9:15" x14ac:dyDescent="0.45">
      <c r="I1295"/>
      <c r="J1295"/>
      <c r="M1295" s="62" t="s">
        <v>2997</v>
      </c>
      <c r="N1295" s="63" t="s">
        <v>2998</v>
      </c>
      <c r="O1295" s="64" t="s">
        <v>437</v>
      </c>
    </row>
    <row r="1296" spans="9:15" x14ac:dyDescent="0.45">
      <c r="I1296"/>
      <c r="J1296"/>
      <c r="M1296" s="62" t="s">
        <v>2999</v>
      </c>
      <c r="N1296" s="63" t="s">
        <v>3000</v>
      </c>
      <c r="O1296" s="64" t="s">
        <v>532</v>
      </c>
    </row>
    <row r="1297" spans="9:15" x14ac:dyDescent="0.45">
      <c r="I1297"/>
      <c r="J1297"/>
      <c r="M1297" s="62" t="s">
        <v>3001</v>
      </c>
      <c r="N1297" s="63" t="s">
        <v>3002</v>
      </c>
      <c r="O1297" s="64" t="s">
        <v>327</v>
      </c>
    </row>
    <row r="1298" spans="9:15" x14ac:dyDescent="0.45">
      <c r="I1298"/>
      <c r="J1298"/>
      <c r="M1298" s="62" t="s">
        <v>3003</v>
      </c>
      <c r="N1298" s="63" t="s">
        <v>3004</v>
      </c>
      <c r="O1298" s="64" t="s">
        <v>327</v>
      </c>
    </row>
    <row r="1299" spans="9:15" x14ac:dyDescent="0.45">
      <c r="I1299"/>
      <c r="J1299"/>
      <c r="M1299" s="62" t="s">
        <v>3005</v>
      </c>
      <c r="N1299" s="63" t="s">
        <v>3006</v>
      </c>
      <c r="O1299" s="64" t="s">
        <v>400</v>
      </c>
    </row>
    <row r="1300" spans="9:15" x14ac:dyDescent="0.45">
      <c r="I1300"/>
      <c r="J1300"/>
      <c r="M1300" s="62" t="s">
        <v>3007</v>
      </c>
      <c r="N1300" s="63" t="s">
        <v>3008</v>
      </c>
      <c r="O1300" s="64" t="s">
        <v>3009</v>
      </c>
    </row>
    <row r="1301" spans="9:15" x14ac:dyDescent="0.45">
      <c r="I1301"/>
      <c r="J1301"/>
      <c r="M1301" s="62" t="s">
        <v>3010</v>
      </c>
      <c r="N1301" s="63" t="s">
        <v>3011</v>
      </c>
      <c r="O1301" s="64" t="s">
        <v>336</v>
      </c>
    </row>
    <row r="1302" spans="9:15" x14ac:dyDescent="0.45">
      <c r="I1302"/>
      <c r="J1302"/>
      <c r="M1302" s="62" t="s">
        <v>3012</v>
      </c>
      <c r="N1302" s="63" t="s">
        <v>3013</v>
      </c>
      <c r="O1302" s="64" t="s">
        <v>327</v>
      </c>
    </row>
    <row r="1303" spans="9:15" x14ac:dyDescent="0.45">
      <c r="I1303"/>
      <c r="J1303"/>
      <c r="M1303" s="69" t="s">
        <v>3014</v>
      </c>
      <c r="N1303" s="70" t="s">
        <v>3015</v>
      </c>
      <c r="O1303" s="63" t="s">
        <v>373</v>
      </c>
    </row>
    <row r="1304" spans="9:15" x14ac:dyDescent="0.45">
      <c r="I1304"/>
      <c r="J1304"/>
      <c r="M1304" s="62" t="s">
        <v>3016</v>
      </c>
      <c r="N1304" s="63" t="s">
        <v>3017</v>
      </c>
      <c r="O1304" s="64" t="s">
        <v>327</v>
      </c>
    </row>
    <row r="1305" spans="9:15" x14ac:dyDescent="0.45">
      <c r="I1305"/>
      <c r="J1305"/>
      <c r="M1305" s="62" t="s">
        <v>3018</v>
      </c>
      <c r="N1305" s="63" t="s">
        <v>3019</v>
      </c>
      <c r="O1305" s="64" t="s">
        <v>321</v>
      </c>
    </row>
    <row r="1306" spans="9:15" x14ac:dyDescent="0.45">
      <c r="I1306"/>
      <c r="J1306"/>
      <c r="M1306" s="62" t="s">
        <v>3020</v>
      </c>
      <c r="N1306" s="63" t="s">
        <v>3021</v>
      </c>
      <c r="O1306" s="64" t="s">
        <v>3022</v>
      </c>
    </row>
    <row r="1307" spans="9:15" x14ac:dyDescent="0.45">
      <c r="I1307"/>
      <c r="J1307"/>
      <c r="M1307" s="62" t="s">
        <v>3023</v>
      </c>
      <c r="N1307" s="63" t="s">
        <v>3024</v>
      </c>
      <c r="O1307" s="64" t="s">
        <v>330</v>
      </c>
    </row>
    <row r="1308" spans="9:15" x14ac:dyDescent="0.45">
      <c r="I1308"/>
      <c r="J1308"/>
      <c r="M1308" s="62" t="s">
        <v>3025</v>
      </c>
      <c r="N1308" s="63" t="s">
        <v>3026</v>
      </c>
      <c r="O1308" s="64" t="s">
        <v>330</v>
      </c>
    </row>
    <row r="1309" spans="9:15" x14ac:dyDescent="0.45">
      <c r="I1309"/>
      <c r="J1309"/>
      <c r="M1309" s="62" t="s">
        <v>3027</v>
      </c>
      <c r="N1309" s="63" t="s">
        <v>3028</v>
      </c>
      <c r="O1309" s="64" t="s">
        <v>327</v>
      </c>
    </row>
    <row r="1310" spans="9:15" x14ac:dyDescent="0.45">
      <c r="I1310"/>
      <c r="J1310"/>
      <c r="M1310" s="62" t="s">
        <v>3029</v>
      </c>
      <c r="N1310" s="63" t="s">
        <v>3030</v>
      </c>
      <c r="O1310" s="64" t="s">
        <v>3031</v>
      </c>
    </row>
    <row r="1311" spans="9:15" x14ac:dyDescent="0.45">
      <c r="I1311"/>
      <c r="J1311"/>
      <c r="M1311" s="62" t="s">
        <v>3032</v>
      </c>
      <c r="N1311" s="63" t="s">
        <v>3033</v>
      </c>
      <c r="O1311" s="64" t="s">
        <v>1104</v>
      </c>
    </row>
    <row r="1312" spans="9:15" x14ac:dyDescent="0.45">
      <c r="I1312"/>
      <c r="J1312"/>
      <c r="M1312" s="62" t="s">
        <v>3034</v>
      </c>
      <c r="N1312" s="63" t="s">
        <v>3035</v>
      </c>
      <c r="O1312" s="64" t="s">
        <v>321</v>
      </c>
    </row>
    <row r="1313" spans="9:15" x14ac:dyDescent="0.45">
      <c r="I1313"/>
      <c r="J1313"/>
      <c r="M1313" s="62" t="s">
        <v>3036</v>
      </c>
      <c r="N1313" s="63" t="s">
        <v>3037</v>
      </c>
      <c r="O1313" s="64" t="s">
        <v>905</v>
      </c>
    </row>
    <row r="1314" spans="9:15" x14ac:dyDescent="0.45">
      <c r="I1314"/>
      <c r="J1314"/>
      <c r="M1314" s="62" t="s">
        <v>3038</v>
      </c>
      <c r="N1314" s="63" t="s">
        <v>3039</v>
      </c>
      <c r="O1314" s="64" t="s">
        <v>330</v>
      </c>
    </row>
    <row r="1315" spans="9:15" x14ac:dyDescent="0.45">
      <c r="I1315"/>
      <c r="J1315"/>
      <c r="M1315" s="62" t="s">
        <v>3040</v>
      </c>
      <c r="N1315" s="63" t="s">
        <v>1871</v>
      </c>
      <c r="O1315" s="64" t="s">
        <v>2991</v>
      </c>
    </row>
    <row r="1316" spans="9:15" x14ac:dyDescent="0.45">
      <c r="I1316"/>
      <c r="J1316"/>
      <c r="M1316" s="62" t="s">
        <v>3041</v>
      </c>
      <c r="N1316" s="63" t="s">
        <v>3042</v>
      </c>
      <c r="O1316" s="64" t="s">
        <v>318</v>
      </c>
    </row>
    <row r="1317" spans="9:15" x14ac:dyDescent="0.45">
      <c r="I1317"/>
      <c r="J1317"/>
      <c r="M1317" s="62" t="s">
        <v>3043</v>
      </c>
      <c r="N1317" s="63" t="s">
        <v>3044</v>
      </c>
      <c r="O1317" s="64" t="s">
        <v>616</v>
      </c>
    </row>
    <row r="1318" spans="9:15" x14ac:dyDescent="0.45">
      <c r="I1318"/>
      <c r="J1318"/>
      <c r="M1318" s="62" t="s">
        <v>3045</v>
      </c>
      <c r="N1318" s="63" t="s">
        <v>3046</v>
      </c>
      <c r="O1318" s="64" t="s">
        <v>616</v>
      </c>
    </row>
    <row r="1319" spans="9:15" x14ac:dyDescent="0.45">
      <c r="I1319"/>
      <c r="J1319"/>
      <c r="M1319" s="62" t="s">
        <v>3047</v>
      </c>
      <c r="N1319" s="63" t="s">
        <v>3048</v>
      </c>
      <c r="O1319" s="64" t="s">
        <v>330</v>
      </c>
    </row>
    <row r="1320" spans="9:15" x14ac:dyDescent="0.45">
      <c r="I1320"/>
      <c r="J1320"/>
      <c r="M1320" s="62" t="s">
        <v>3049</v>
      </c>
      <c r="N1320" s="63" t="s">
        <v>3050</v>
      </c>
      <c r="O1320" s="64" t="s">
        <v>616</v>
      </c>
    </row>
    <row r="1321" spans="9:15" x14ac:dyDescent="0.45">
      <c r="I1321"/>
      <c r="J1321"/>
      <c r="M1321" s="69" t="s">
        <v>3051</v>
      </c>
      <c r="N1321" s="70" t="s">
        <v>3052</v>
      </c>
      <c r="O1321" s="63" t="s">
        <v>373</v>
      </c>
    </row>
    <row r="1322" spans="9:15" x14ac:dyDescent="0.45">
      <c r="I1322"/>
      <c r="J1322"/>
      <c r="M1322" s="62" t="s">
        <v>3053</v>
      </c>
      <c r="N1322" s="63" t="s">
        <v>3054</v>
      </c>
      <c r="O1322" s="64" t="s">
        <v>616</v>
      </c>
    </row>
    <row r="1323" spans="9:15" x14ac:dyDescent="0.45">
      <c r="I1323"/>
      <c r="J1323"/>
      <c r="M1323" s="62" t="s">
        <v>3055</v>
      </c>
      <c r="N1323" s="63" t="s">
        <v>3056</v>
      </c>
      <c r="O1323" s="64" t="s">
        <v>330</v>
      </c>
    </row>
    <row r="1324" spans="9:15" x14ac:dyDescent="0.45">
      <c r="I1324"/>
      <c r="J1324"/>
      <c r="M1324" s="62" t="s">
        <v>3057</v>
      </c>
      <c r="N1324" s="63" t="s">
        <v>3058</v>
      </c>
      <c r="O1324" s="64" t="s">
        <v>336</v>
      </c>
    </row>
    <row r="1325" spans="9:15" x14ac:dyDescent="0.45">
      <c r="I1325"/>
      <c r="J1325"/>
      <c r="M1325" s="62" t="s">
        <v>3059</v>
      </c>
      <c r="N1325" s="63" t="s">
        <v>3060</v>
      </c>
      <c r="O1325" s="64" t="s">
        <v>330</v>
      </c>
    </row>
    <row r="1326" spans="9:15" x14ac:dyDescent="0.45">
      <c r="I1326"/>
      <c r="J1326"/>
      <c r="M1326" s="62" t="s">
        <v>3061</v>
      </c>
      <c r="N1326" s="63" t="s">
        <v>3062</v>
      </c>
      <c r="O1326" s="64" t="s">
        <v>743</v>
      </c>
    </row>
    <row r="1327" spans="9:15" x14ac:dyDescent="0.45">
      <c r="I1327"/>
      <c r="J1327"/>
      <c r="M1327" s="62" t="s">
        <v>3063</v>
      </c>
      <c r="N1327" s="63" t="s">
        <v>3064</v>
      </c>
      <c r="O1327" s="64" t="s">
        <v>330</v>
      </c>
    </row>
    <row r="1328" spans="9:15" x14ac:dyDescent="0.45">
      <c r="I1328"/>
      <c r="J1328"/>
      <c r="M1328" s="62" t="s">
        <v>3065</v>
      </c>
      <c r="N1328" s="63" t="s">
        <v>3066</v>
      </c>
      <c r="O1328" s="64" t="s">
        <v>549</v>
      </c>
    </row>
    <row r="1329" spans="9:15" x14ac:dyDescent="0.45">
      <c r="I1329"/>
      <c r="J1329"/>
      <c r="M1329" s="62" t="s">
        <v>3067</v>
      </c>
      <c r="N1329" s="63" t="s">
        <v>3068</v>
      </c>
      <c r="O1329" s="64" t="s">
        <v>344</v>
      </c>
    </row>
    <row r="1330" spans="9:15" x14ac:dyDescent="0.45">
      <c r="I1330"/>
      <c r="J1330"/>
      <c r="M1330" s="62" t="s">
        <v>3069</v>
      </c>
      <c r="N1330" s="63" t="s">
        <v>3070</v>
      </c>
      <c r="O1330" s="64" t="s">
        <v>3071</v>
      </c>
    </row>
    <row r="1331" spans="9:15" x14ac:dyDescent="0.45">
      <c r="I1331"/>
      <c r="J1331"/>
      <c r="M1331" s="62" t="s">
        <v>3072</v>
      </c>
      <c r="N1331" s="63" t="s">
        <v>3073</v>
      </c>
      <c r="O1331" s="64" t="s">
        <v>1125</v>
      </c>
    </row>
    <row r="1332" spans="9:15" x14ac:dyDescent="0.45">
      <c r="I1332"/>
      <c r="J1332"/>
      <c r="M1332" s="62" t="s">
        <v>3074</v>
      </c>
      <c r="N1332" s="63" t="s">
        <v>3075</v>
      </c>
      <c r="O1332" s="64" t="s">
        <v>321</v>
      </c>
    </row>
    <row r="1333" spans="9:15" x14ac:dyDescent="0.45">
      <c r="I1333"/>
      <c r="J1333"/>
      <c r="M1333" s="62" t="s">
        <v>3076</v>
      </c>
      <c r="N1333" s="63" t="s">
        <v>3077</v>
      </c>
      <c r="O1333" s="64" t="s">
        <v>327</v>
      </c>
    </row>
    <row r="1334" spans="9:15" x14ac:dyDescent="0.45">
      <c r="I1334"/>
      <c r="J1334"/>
      <c r="M1334" s="62" t="s">
        <v>3078</v>
      </c>
      <c r="N1334" s="63" t="s">
        <v>3079</v>
      </c>
      <c r="O1334" s="64" t="s">
        <v>1104</v>
      </c>
    </row>
    <row r="1335" spans="9:15" x14ac:dyDescent="0.45">
      <c r="I1335"/>
      <c r="J1335"/>
      <c r="M1335" s="62" t="s">
        <v>3080</v>
      </c>
      <c r="N1335" s="63" t="s">
        <v>3081</v>
      </c>
      <c r="O1335" s="64" t="s">
        <v>330</v>
      </c>
    </row>
    <row r="1336" spans="9:15" x14ac:dyDescent="0.45">
      <c r="I1336"/>
      <c r="J1336"/>
      <c r="M1336" s="62" t="s">
        <v>3082</v>
      </c>
      <c r="N1336" s="63" t="s">
        <v>3083</v>
      </c>
      <c r="O1336" s="64" t="s">
        <v>726</v>
      </c>
    </row>
    <row r="1337" spans="9:15" x14ac:dyDescent="0.45">
      <c r="I1337"/>
      <c r="J1337"/>
      <c r="M1337" s="62" t="s">
        <v>3084</v>
      </c>
      <c r="N1337" s="63" t="s">
        <v>3085</v>
      </c>
      <c r="O1337" s="64" t="s">
        <v>509</v>
      </c>
    </row>
    <row r="1338" spans="9:15" x14ac:dyDescent="0.45">
      <c r="I1338"/>
      <c r="J1338"/>
      <c r="M1338" s="62" t="s">
        <v>3086</v>
      </c>
      <c r="N1338" s="63" t="s">
        <v>3087</v>
      </c>
      <c r="O1338" s="64" t="s">
        <v>330</v>
      </c>
    </row>
    <row r="1339" spans="9:15" x14ac:dyDescent="0.45">
      <c r="I1339"/>
      <c r="J1339"/>
      <c r="M1339" s="62" t="s">
        <v>3088</v>
      </c>
      <c r="N1339" s="63" t="s">
        <v>3089</v>
      </c>
      <c r="O1339" s="64" t="s">
        <v>632</v>
      </c>
    </row>
    <row r="1340" spans="9:15" x14ac:dyDescent="0.45">
      <c r="I1340"/>
      <c r="J1340"/>
      <c r="M1340" s="62" t="s">
        <v>3090</v>
      </c>
      <c r="N1340" s="63" t="s">
        <v>3091</v>
      </c>
      <c r="O1340" s="64" t="s">
        <v>1237</v>
      </c>
    </row>
    <row r="1341" spans="9:15" x14ac:dyDescent="0.45">
      <c r="I1341"/>
      <c r="J1341"/>
      <c r="M1341" s="62" t="s">
        <v>3092</v>
      </c>
      <c r="N1341" s="63" t="s">
        <v>3093</v>
      </c>
      <c r="O1341" s="64" t="s">
        <v>400</v>
      </c>
    </row>
    <row r="1342" spans="9:15" x14ac:dyDescent="0.45">
      <c r="I1342"/>
      <c r="J1342"/>
      <c r="M1342" s="62" t="s">
        <v>3094</v>
      </c>
      <c r="N1342" s="63" t="s">
        <v>3095</v>
      </c>
      <c r="O1342" s="64" t="s">
        <v>1008</v>
      </c>
    </row>
    <row r="1343" spans="9:15" x14ac:dyDescent="0.45">
      <c r="I1343"/>
      <c r="J1343"/>
      <c r="M1343" s="62" t="s">
        <v>3096</v>
      </c>
      <c r="N1343" s="63" t="s">
        <v>3097</v>
      </c>
      <c r="O1343" s="64" t="s">
        <v>1104</v>
      </c>
    </row>
    <row r="1344" spans="9:15" x14ac:dyDescent="0.45">
      <c r="I1344"/>
      <c r="J1344"/>
      <c r="M1344" s="62" t="s">
        <v>3098</v>
      </c>
      <c r="N1344" s="63" t="s">
        <v>3099</v>
      </c>
      <c r="O1344" s="64" t="s">
        <v>3100</v>
      </c>
    </row>
    <row r="1345" spans="9:15" x14ac:dyDescent="0.45">
      <c r="I1345"/>
      <c r="J1345"/>
      <c r="M1345" s="62" t="s">
        <v>3101</v>
      </c>
      <c r="N1345" s="63" t="s">
        <v>3102</v>
      </c>
      <c r="O1345" s="64" t="s">
        <v>341</v>
      </c>
    </row>
    <row r="1346" spans="9:15" x14ac:dyDescent="0.45">
      <c r="I1346"/>
      <c r="J1346"/>
      <c r="M1346" s="62" t="s">
        <v>3103</v>
      </c>
      <c r="N1346" s="63" t="s">
        <v>3104</v>
      </c>
      <c r="O1346" s="64" t="s">
        <v>341</v>
      </c>
    </row>
    <row r="1347" spans="9:15" x14ac:dyDescent="0.45">
      <c r="I1347"/>
      <c r="J1347"/>
      <c r="M1347" s="62" t="s">
        <v>3105</v>
      </c>
      <c r="N1347" s="63" t="s">
        <v>3106</v>
      </c>
      <c r="O1347" s="64" t="s">
        <v>1125</v>
      </c>
    </row>
    <row r="1348" spans="9:15" x14ac:dyDescent="0.45">
      <c r="I1348"/>
      <c r="J1348"/>
      <c r="M1348" s="62" t="s">
        <v>3107</v>
      </c>
      <c r="N1348" s="63" t="s">
        <v>3108</v>
      </c>
      <c r="O1348" s="64" t="s">
        <v>2714</v>
      </c>
    </row>
    <row r="1349" spans="9:15" x14ac:dyDescent="0.45">
      <c r="I1349"/>
      <c r="J1349"/>
      <c r="M1349" s="62" t="s">
        <v>3109</v>
      </c>
      <c r="N1349" s="63" t="s">
        <v>3110</v>
      </c>
      <c r="O1349" s="64" t="s">
        <v>417</v>
      </c>
    </row>
    <row r="1350" spans="9:15" x14ac:dyDescent="0.45">
      <c r="I1350"/>
      <c r="J1350"/>
      <c r="M1350" s="62" t="s">
        <v>3111</v>
      </c>
      <c r="N1350" s="63" t="s">
        <v>3112</v>
      </c>
      <c r="O1350" s="64" t="s">
        <v>327</v>
      </c>
    </row>
    <row r="1351" spans="9:15" x14ac:dyDescent="0.45">
      <c r="I1351"/>
      <c r="J1351"/>
      <c r="M1351" s="62" t="s">
        <v>3113</v>
      </c>
      <c r="N1351" s="63" t="s">
        <v>3114</v>
      </c>
      <c r="O1351" s="64" t="s">
        <v>632</v>
      </c>
    </row>
    <row r="1352" spans="9:15" x14ac:dyDescent="0.45">
      <c r="I1352"/>
      <c r="J1352"/>
      <c r="M1352" s="62" t="s">
        <v>3115</v>
      </c>
      <c r="N1352" s="63" t="s">
        <v>3116</v>
      </c>
      <c r="O1352" s="64" t="s">
        <v>849</v>
      </c>
    </row>
    <row r="1353" spans="9:15" x14ac:dyDescent="0.45">
      <c r="I1353"/>
      <c r="J1353"/>
      <c r="M1353" s="62" t="s">
        <v>3117</v>
      </c>
      <c r="N1353" s="63" t="s">
        <v>3118</v>
      </c>
      <c r="O1353" s="64" t="s">
        <v>330</v>
      </c>
    </row>
    <row r="1354" spans="9:15" x14ac:dyDescent="0.45">
      <c r="I1354"/>
      <c r="J1354"/>
      <c r="M1354" s="62" t="s">
        <v>3119</v>
      </c>
      <c r="N1354" s="63" t="s">
        <v>3120</v>
      </c>
      <c r="O1354" s="64" t="s">
        <v>318</v>
      </c>
    </row>
    <row r="1355" spans="9:15" x14ac:dyDescent="0.45">
      <c r="I1355"/>
      <c r="J1355"/>
      <c r="M1355" s="62" t="s">
        <v>3121</v>
      </c>
      <c r="N1355" s="63" t="s">
        <v>3122</v>
      </c>
      <c r="O1355" s="64" t="s">
        <v>330</v>
      </c>
    </row>
    <row r="1356" spans="9:15" x14ac:dyDescent="0.45">
      <c r="I1356"/>
      <c r="J1356"/>
      <c r="M1356" s="62" t="s">
        <v>3123</v>
      </c>
      <c r="N1356" s="63" t="s">
        <v>3124</v>
      </c>
      <c r="O1356" s="64" t="s">
        <v>327</v>
      </c>
    </row>
    <row r="1357" spans="9:15" x14ac:dyDescent="0.45">
      <c r="I1357"/>
      <c r="J1357"/>
      <c r="M1357" s="62" t="s">
        <v>3125</v>
      </c>
      <c r="N1357" s="63" t="s">
        <v>3126</v>
      </c>
      <c r="O1357" s="64" t="s">
        <v>3127</v>
      </c>
    </row>
    <row r="1358" spans="9:15" x14ac:dyDescent="0.45">
      <c r="I1358"/>
      <c r="J1358"/>
      <c r="M1358" s="62" t="s">
        <v>3128</v>
      </c>
      <c r="N1358" s="63" t="s">
        <v>3129</v>
      </c>
      <c r="O1358" s="64" t="s">
        <v>344</v>
      </c>
    </row>
    <row r="1359" spans="9:15" x14ac:dyDescent="0.45">
      <c r="I1359"/>
      <c r="J1359"/>
      <c r="M1359" s="62" t="s">
        <v>3130</v>
      </c>
      <c r="N1359" s="63" t="s">
        <v>3131</v>
      </c>
      <c r="O1359" s="64" t="s">
        <v>330</v>
      </c>
    </row>
    <row r="1360" spans="9:15" x14ac:dyDescent="0.45">
      <c r="I1360"/>
      <c r="J1360"/>
      <c r="M1360" s="62" t="s">
        <v>3132</v>
      </c>
      <c r="N1360" s="63" t="s">
        <v>3133</v>
      </c>
      <c r="O1360" s="64" t="s">
        <v>321</v>
      </c>
    </row>
    <row r="1361" spans="9:15" x14ac:dyDescent="0.45">
      <c r="I1361"/>
      <c r="J1361"/>
      <c r="M1361" s="62" t="s">
        <v>3134</v>
      </c>
      <c r="N1361" s="63" t="s">
        <v>3135</v>
      </c>
      <c r="O1361" s="64" t="s">
        <v>417</v>
      </c>
    </row>
    <row r="1362" spans="9:15" x14ac:dyDescent="0.45">
      <c r="I1362"/>
      <c r="J1362"/>
      <c r="M1362" s="62" t="s">
        <v>3136</v>
      </c>
      <c r="N1362" s="63" t="s">
        <v>3137</v>
      </c>
      <c r="O1362" s="64" t="s">
        <v>341</v>
      </c>
    </row>
    <row r="1363" spans="9:15" x14ac:dyDescent="0.45">
      <c r="I1363"/>
      <c r="J1363"/>
      <c r="M1363" s="62" t="s">
        <v>3138</v>
      </c>
      <c r="N1363" s="63" t="s">
        <v>3139</v>
      </c>
      <c r="O1363" s="64" t="s">
        <v>330</v>
      </c>
    </row>
    <row r="1364" spans="9:15" x14ac:dyDescent="0.45">
      <c r="I1364"/>
      <c r="J1364"/>
      <c r="M1364" s="62" t="s">
        <v>3140</v>
      </c>
      <c r="N1364" s="63" t="s">
        <v>3141</v>
      </c>
      <c r="O1364" s="64" t="s">
        <v>330</v>
      </c>
    </row>
    <row r="1365" spans="9:15" x14ac:dyDescent="0.45">
      <c r="I1365"/>
      <c r="J1365"/>
      <c r="M1365" s="62" t="s">
        <v>3142</v>
      </c>
      <c r="N1365" s="63" t="s">
        <v>3143</v>
      </c>
      <c r="O1365" s="64" t="s">
        <v>330</v>
      </c>
    </row>
    <row r="1366" spans="9:15" x14ac:dyDescent="0.45">
      <c r="I1366"/>
      <c r="J1366"/>
      <c r="M1366" s="62" t="s">
        <v>3144</v>
      </c>
      <c r="N1366" s="63" t="s">
        <v>3145</v>
      </c>
      <c r="O1366" s="64" t="s">
        <v>341</v>
      </c>
    </row>
    <row r="1367" spans="9:15" x14ac:dyDescent="0.45">
      <c r="I1367"/>
      <c r="J1367"/>
      <c r="M1367" s="62" t="s">
        <v>3146</v>
      </c>
      <c r="N1367" s="63" t="s">
        <v>3147</v>
      </c>
      <c r="O1367" s="64" t="s">
        <v>330</v>
      </c>
    </row>
    <row r="1368" spans="9:15" x14ac:dyDescent="0.45">
      <c r="I1368"/>
      <c r="J1368"/>
      <c r="M1368" s="62" t="s">
        <v>3148</v>
      </c>
      <c r="N1368" s="63" t="s">
        <v>3149</v>
      </c>
      <c r="O1368" s="64" t="s">
        <v>596</v>
      </c>
    </row>
    <row r="1369" spans="9:15" x14ac:dyDescent="0.45">
      <c r="I1369"/>
      <c r="J1369"/>
      <c r="M1369" s="62" t="s">
        <v>3150</v>
      </c>
      <c r="N1369" s="63" t="s">
        <v>3151</v>
      </c>
      <c r="O1369" s="64" t="s">
        <v>3152</v>
      </c>
    </row>
    <row r="1370" spans="9:15" x14ac:dyDescent="0.45">
      <c r="I1370"/>
      <c r="J1370"/>
      <c r="M1370" s="62" t="s">
        <v>3153</v>
      </c>
      <c r="N1370" s="63" t="s">
        <v>3154</v>
      </c>
      <c r="O1370" s="64" t="s">
        <v>3152</v>
      </c>
    </row>
    <row r="1371" spans="9:15" x14ac:dyDescent="0.45">
      <c r="I1371"/>
      <c r="J1371"/>
      <c r="M1371" s="62" t="s">
        <v>3155</v>
      </c>
      <c r="N1371" s="63" t="s">
        <v>3156</v>
      </c>
      <c r="O1371" s="64" t="s">
        <v>330</v>
      </c>
    </row>
    <row r="1372" spans="9:15" x14ac:dyDescent="0.45">
      <c r="I1372"/>
      <c r="J1372"/>
      <c r="M1372" s="62" t="s">
        <v>3157</v>
      </c>
      <c r="N1372" s="63" t="s">
        <v>3158</v>
      </c>
      <c r="O1372" s="64" t="s">
        <v>509</v>
      </c>
    </row>
    <row r="1373" spans="9:15" x14ac:dyDescent="0.45">
      <c r="I1373"/>
      <c r="J1373"/>
      <c r="M1373" s="62" t="s">
        <v>3159</v>
      </c>
      <c r="N1373" s="63" t="s">
        <v>3160</v>
      </c>
      <c r="O1373" s="64" t="s">
        <v>321</v>
      </c>
    </row>
    <row r="1374" spans="9:15" x14ac:dyDescent="0.45">
      <c r="I1374"/>
      <c r="J1374"/>
      <c r="M1374" s="62" t="s">
        <v>3161</v>
      </c>
      <c r="N1374" s="63" t="s">
        <v>3162</v>
      </c>
      <c r="O1374" s="64" t="s">
        <v>344</v>
      </c>
    </row>
    <row r="1375" spans="9:15" x14ac:dyDescent="0.45">
      <c r="I1375"/>
      <c r="J1375"/>
      <c r="M1375" s="62" t="s">
        <v>3163</v>
      </c>
      <c r="N1375" s="63" t="s">
        <v>3164</v>
      </c>
      <c r="O1375" s="64" t="s">
        <v>632</v>
      </c>
    </row>
    <row r="1376" spans="9:15" x14ac:dyDescent="0.45">
      <c r="I1376"/>
      <c r="J1376"/>
      <c r="M1376" s="62" t="s">
        <v>3165</v>
      </c>
      <c r="N1376" s="63" t="s">
        <v>3166</v>
      </c>
      <c r="O1376" s="64" t="s">
        <v>330</v>
      </c>
    </row>
    <row r="1377" spans="9:15" x14ac:dyDescent="0.45">
      <c r="I1377"/>
      <c r="J1377"/>
      <c r="M1377" s="62" t="s">
        <v>3167</v>
      </c>
      <c r="N1377" s="63" t="s">
        <v>3168</v>
      </c>
      <c r="O1377" s="64" t="s">
        <v>344</v>
      </c>
    </row>
    <row r="1378" spans="9:15" x14ac:dyDescent="0.45">
      <c r="I1378"/>
      <c r="J1378"/>
      <c r="M1378" s="62" t="s">
        <v>3169</v>
      </c>
      <c r="N1378" s="63" t="s">
        <v>3170</v>
      </c>
      <c r="O1378" s="64" t="s">
        <v>330</v>
      </c>
    </row>
    <row r="1379" spans="9:15" x14ac:dyDescent="0.45">
      <c r="I1379"/>
      <c r="J1379"/>
      <c r="M1379" s="62" t="s">
        <v>3171</v>
      </c>
      <c r="N1379" s="63" t="s">
        <v>3172</v>
      </c>
      <c r="O1379" s="64" t="s">
        <v>330</v>
      </c>
    </row>
    <row r="1380" spans="9:15" x14ac:dyDescent="0.45">
      <c r="I1380"/>
      <c r="J1380"/>
      <c r="M1380" s="62" t="s">
        <v>3173</v>
      </c>
      <c r="N1380" s="63" t="s">
        <v>3174</v>
      </c>
      <c r="O1380" s="64" t="s">
        <v>330</v>
      </c>
    </row>
    <row r="1381" spans="9:15" x14ac:dyDescent="0.45">
      <c r="I1381"/>
      <c r="J1381"/>
      <c r="M1381" s="62" t="s">
        <v>3175</v>
      </c>
      <c r="N1381" s="63" t="s">
        <v>3176</v>
      </c>
      <c r="O1381" s="64" t="s">
        <v>596</v>
      </c>
    </row>
    <row r="1382" spans="9:15" x14ac:dyDescent="0.45">
      <c r="I1382"/>
      <c r="J1382"/>
      <c r="M1382" s="62" t="s">
        <v>3177</v>
      </c>
      <c r="N1382" s="63" t="s">
        <v>3178</v>
      </c>
      <c r="O1382" s="64" t="s">
        <v>480</v>
      </c>
    </row>
    <row r="1383" spans="9:15" x14ac:dyDescent="0.45">
      <c r="I1383"/>
      <c r="J1383"/>
      <c r="M1383" s="62" t="s">
        <v>3179</v>
      </c>
      <c r="N1383" s="63" t="s">
        <v>3180</v>
      </c>
      <c r="O1383" s="64" t="s">
        <v>344</v>
      </c>
    </row>
    <row r="1384" spans="9:15" x14ac:dyDescent="0.45">
      <c r="I1384"/>
      <c r="J1384"/>
      <c r="M1384" s="62" t="s">
        <v>3181</v>
      </c>
      <c r="N1384" s="63" t="s">
        <v>3182</v>
      </c>
      <c r="O1384" s="64" t="s">
        <v>330</v>
      </c>
    </row>
    <row r="1385" spans="9:15" x14ac:dyDescent="0.45">
      <c r="I1385"/>
      <c r="J1385"/>
      <c r="M1385" s="62" t="s">
        <v>3183</v>
      </c>
      <c r="N1385" s="63" t="s">
        <v>3184</v>
      </c>
      <c r="O1385" s="64" t="s">
        <v>330</v>
      </c>
    </row>
    <row r="1386" spans="9:15" x14ac:dyDescent="0.45">
      <c r="I1386"/>
      <c r="J1386"/>
      <c r="M1386" s="62" t="s">
        <v>3185</v>
      </c>
      <c r="N1386" s="63" t="s">
        <v>3186</v>
      </c>
      <c r="O1386" s="64" t="s">
        <v>330</v>
      </c>
    </row>
    <row r="1387" spans="9:15" x14ac:dyDescent="0.45">
      <c r="I1387"/>
      <c r="J1387"/>
      <c r="M1387" s="62" t="s">
        <v>3187</v>
      </c>
      <c r="N1387" s="63" t="s">
        <v>3188</v>
      </c>
      <c r="O1387" s="64" t="s">
        <v>324</v>
      </c>
    </row>
    <row r="1388" spans="9:15" x14ac:dyDescent="0.45">
      <c r="I1388"/>
      <c r="J1388"/>
      <c r="M1388" s="62" t="s">
        <v>3189</v>
      </c>
      <c r="N1388" s="63" t="s">
        <v>3190</v>
      </c>
      <c r="O1388" s="64" t="s">
        <v>330</v>
      </c>
    </row>
    <row r="1389" spans="9:15" x14ac:dyDescent="0.45">
      <c r="I1389"/>
      <c r="J1389"/>
      <c r="M1389" s="62" t="s">
        <v>3191</v>
      </c>
      <c r="N1389" s="63" t="s">
        <v>3192</v>
      </c>
      <c r="O1389" s="64" t="s">
        <v>330</v>
      </c>
    </row>
    <row r="1390" spans="9:15" x14ac:dyDescent="0.45">
      <c r="I1390"/>
      <c r="J1390"/>
      <c r="M1390" s="62" t="s">
        <v>3193</v>
      </c>
      <c r="N1390" s="63" t="s">
        <v>3194</v>
      </c>
      <c r="O1390" s="64" t="s">
        <v>344</v>
      </c>
    </row>
    <row r="1391" spans="9:15" x14ac:dyDescent="0.45">
      <c r="I1391"/>
      <c r="J1391"/>
      <c r="M1391" s="62" t="s">
        <v>3195</v>
      </c>
      <c r="N1391" s="63" t="s">
        <v>3196</v>
      </c>
      <c r="O1391" s="64" t="s">
        <v>330</v>
      </c>
    </row>
    <row r="1392" spans="9:15" x14ac:dyDescent="0.45">
      <c r="I1392"/>
      <c r="J1392"/>
      <c r="M1392" s="62" t="s">
        <v>3197</v>
      </c>
      <c r="N1392" s="63" t="s">
        <v>3198</v>
      </c>
      <c r="O1392" s="64" t="s">
        <v>330</v>
      </c>
    </row>
    <row r="1393" spans="9:15" x14ac:dyDescent="0.45">
      <c r="I1393"/>
      <c r="J1393"/>
      <c r="M1393" s="62" t="s">
        <v>3199</v>
      </c>
      <c r="N1393" s="63" t="s">
        <v>3200</v>
      </c>
      <c r="O1393" s="64" t="s">
        <v>330</v>
      </c>
    </row>
    <row r="1394" spans="9:15" x14ac:dyDescent="0.45">
      <c r="I1394"/>
      <c r="J1394"/>
      <c r="M1394" s="62" t="s">
        <v>3201</v>
      </c>
      <c r="N1394" s="63" t="s">
        <v>3202</v>
      </c>
      <c r="O1394" s="64" t="s">
        <v>613</v>
      </c>
    </row>
    <row r="1395" spans="9:15" x14ac:dyDescent="0.45">
      <c r="I1395"/>
      <c r="J1395"/>
      <c r="M1395" s="62" t="s">
        <v>3203</v>
      </c>
      <c r="N1395" s="63" t="s">
        <v>3204</v>
      </c>
      <c r="O1395" s="64" t="s">
        <v>3205</v>
      </c>
    </row>
    <row r="1396" spans="9:15" x14ac:dyDescent="0.45">
      <c r="I1396"/>
      <c r="J1396"/>
      <c r="M1396" s="62" t="s">
        <v>3206</v>
      </c>
      <c r="N1396" s="63" t="s">
        <v>3207</v>
      </c>
      <c r="O1396" s="64" t="s">
        <v>876</v>
      </c>
    </row>
    <row r="1397" spans="9:15" x14ac:dyDescent="0.45">
      <c r="I1397"/>
      <c r="J1397"/>
      <c r="M1397" s="62" t="s">
        <v>3208</v>
      </c>
      <c r="N1397" s="63" t="s">
        <v>3209</v>
      </c>
      <c r="O1397" s="64" t="s">
        <v>330</v>
      </c>
    </row>
    <row r="1398" spans="9:15" x14ac:dyDescent="0.45">
      <c r="I1398"/>
      <c r="J1398"/>
      <c r="M1398" s="62" t="s">
        <v>3210</v>
      </c>
      <c r="N1398" s="63" t="s">
        <v>3211</v>
      </c>
      <c r="O1398" s="64" t="s">
        <v>330</v>
      </c>
    </row>
    <row r="1399" spans="9:15" x14ac:dyDescent="0.45">
      <c r="I1399"/>
      <c r="J1399"/>
      <c r="M1399" s="62" t="s">
        <v>3212</v>
      </c>
      <c r="N1399" s="63" t="s">
        <v>3213</v>
      </c>
      <c r="O1399" s="64" t="s">
        <v>344</v>
      </c>
    </row>
    <row r="1400" spans="9:15" x14ac:dyDescent="0.45">
      <c r="I1400"/>
      <c r="J1400"/>
      <c r="M1400" s="62" t="s">
        <v>3214</v>
      </c>
      <c r="N1400" s="63" t="s">
        <v>3215</v>
      </c>
      <c r="O1400" s="64" t="s">
        <v>321</v>
      </c>
    </row>
    <row r="1401" spans="9:15" x14ac:dyDescent="0.45">
      <c r="I1401"/>
      <c r="J1401"/>
      <c r="M1401" s="62" t="s">
        <v>3216</v>
      </c>
      <c r="N1401" s="63" t="s">
        <v>3217</v>
      </c>
      <c r="O1401" s="64" t="s">
        <v>330</v>
      </c>
    </row>
    <row r="1402" spans="9:15" x14ac:dyDescent="0.45">
      <c r="I1402"/>
      <c r="J1402"/>
      <c r="M1402" s="62" t="s">
        <v>3218</v>
      </c>
      <c r="N1402" s="63" t="s">
        <v>3219</v>
      </c>
      <c r="O1402" s="64" t="s">
        <v>330</v>
      </c>
    </row>
    <row r="1403" spans="9:15" x14ac:dyDescent="0.45">
      <c r="I1403"/>
      <c r="J1403"/>
      <c r="M1403" s="62" t="s">
        <v>3220</v>
      </c>
      <c r="N1403" s="63" t="s">
        <v>3221</v>
      </c>
      <c r="O1403" s="64" t="s">
        <v>327</v>
      </c>
    </row>
    <row r="1404" spans="9:15" x14ac:dyDescent="0.45">
      <c r="I1404"/>
      <c r="J1404"/>
      <c r="M1404" s="62" t="s">
        <v>3222</v>
      </c>
      <c r="N1404" s="63" t="s">
        <v>3223</v>
      </c>
      <c r="O1404" s="64" t="s">
        <v>330</v>
      </c>
    </row>
    <row r="1405" spans="9:15" x14ac:dyDescent="0.45">
      <c r="I1405"/>
      <c r="J1405"/>
      <c r="M1405" s="62" t="s">
        <v>3224</v>
      </c>
      <c r="N1405" s="63" t="s">
        <v>3225</v>
      </c>
      <c r="O1405" s="64" t="s">
        <v>330</v>
      </c>
    </row>
    <row r="1406" spans="9:15" x14ac:dyDescent="0.45">
      <c r="I1406"/>
      <c r="J1406"/>
      <c r="M1406" s="62" t="s">
        <v>3226</v>
      </c>
      <c r="N1406" s="63" t="s">
        <v>3227</v>
      </c>
      <c r="O1406" s="64" t="s">
        <v>330</v>
      </c>
    </row>
    <row r="1407" spans="9:15" x14ac:dyDescent="0.45">
      <c r="I1407"/>
      <c r="J1407"/>
      <c r="M1407" s="62" t="s">
        <v>3228</v>
      </c>
      <c r="N1407" s="63" t="s">
        <v>3229</v>
      </c>
      <c r="O1407" s="64" t="s">
        <v>330</v>
      </c>
    </row>
    <row r="1408" spans="9:15" x14ac:dyDescent="0.45">
      <c r="I1408"/>
      <c r="J1408"/>
      <c r="M1408" s="62" t="s">
        <v>3230</v>
      </c>
      <c r="N1408" s="63" t="s">
        <v>3231</v>
      </c>
      <c r="O1408" s="64" t="s">
        <v>330</v>
      </c>
    </row>
    <row r="1409" spans="9:15" x14ac:dyDescent="0.45">
      <c r="I1409"/>
      <c r="J1409"/>
      <c r="M1409" s="62" t="s">
        <v>3232</v>
      </c>
      <c r="N1409" s="63" t="s">
        <v>3233</v>
      </c>
      <c r="O1409" s="64" t="s">
        <v>341</v>
      </c>
    </row>
    <row r="1410" spans="9:15" x14ac:dyDescent="0.45">
      <c r="I1410"/>
      <c r="J1410"/>
      <c r="M1410" s="62" t="s">
        <v>3234</v>
      </c>
      <c r="N1410" s="63" t="s">
        <v>3235</v>
      </c>
      <c r="O1410" s="64" t="s">
        <v>333</v>
      </c>
    </row>
    <row r="1411" spans="9:15" x14ac:dyDescent="0.45">
      <c r="I1411"/>
      <c r="J1411"/>
      <c r="M1411" s="62" t="s">
        <v>3236</v>
      </c>
      <c r="N1411" s="63" t="s">
        <v>3237</v>
      </c>
      <c r="O1411" s="64" t="s">
        <v>336</v>
      </c>
    </row>
    <row r="1412" spans="9:15" x14ac:dyDescent="0.45">
      <c r="I1412"/>
      <c r="J1412"/>
      <c r="M1412" s="62" t="s">
        <v>3238</v>
      </c>
      <c r="N1412" s="63" t="s">
        <v>3239</v>
      </c>
      <c r="O1412" s="64" t="s">
        <v>330</v>
      </c>
    </row>
    <row r="1413" spans="9:15" x14ac:dyDescent="0.45">
      <c r="I1413"/>
      <c r="J1413"/>
      <c r="M1413" s="67" t="s">
        <v>3240</v>
      </c>
      <c r="N1413" s="68" t="s">
        <v>3241</v>
      </c>
      <c r="O1413" s="64" t="s">
        <v>480</v>
      </c>
    </row>
    <row r="1414" spans="9:15" x14ac:dyDescent="0.45">
      <c r="I1414"/>
      <c r="J1414"/>
      <c r="M1414" s="62" t="s">
        <v>3242</v>
      </c>
      <c r="N1414" s="63" t="s">
        <v>3243</v>
      </c>
      <c r="O1414" s="64" t="s">
        <v>359</v>
      </c>
    </row>
    <row r="1415" spans="9:15" x14ac:dyDescent="0.45">
      <c r="I1415"/>
      <c r="J1415"/>
      <c r="M1415" s="62" t="s">
        <v>3244</v>
      </c>
      <c r="N1415" s="63" t="s">
        <v>3245</v>
      </c>
      <c r="O1415" s="64" t="s">
        <v>532</v>
      </c>
    </row>
    <row r="1416" spans="9:15" x14ac:dyDescent="0.45">
      <c r="I1416"/>
      <c r="J1416"/>
      <c r="M1416" s="62" t="s">
        <v>3246</v>
      </c>
      <c r="N1416" s="63" t="s">
        <v>3247</v>
      </c>
      <c r="O1416" s="64" t="s">
        <v>330</v>
      </c>
    </row>
    <row r="1417" spans="9:15" x14ac:dyDescent="0.45">
      <c r="I1417"/>
      <c r="J1417"/>
      <c r="M1417" s="62" t="s">
        <v>3248</v>
      </c>
      <c r="N1417" s="63" t="s">
        <v>3249</v>
      </c>
      <c r="O1417" s="64" t="s">
        <v>330</v>
      </c>
    </row>
    <row r="1418" spans="9:15" x14ac:dyDescent="0.45">
      <c r="I1418"/>
      <c r="J1418"/>
      <c r="M1418" s="62" t="s">
        <v>3250</v>
      </c>
      <c r="N1418" s="63" t="s">
        <v>3251</v>
      </c>
      <c r="O1418" s="64" t="s">
        <v>417</v>
      </c>
    </row>
    <row r="1419" spans="9:15" x14ac:dyDescent="0.45">
      <c r="I1419"/>
      <c r="J1419"/>
      <c r="M1419" s="62" t="s">
        <v>3252</v>
      </c>
      <c r="N1419" s="63" t="s">
        <v>3253</v>
      </c>
      <c r="O1419" s="64" t="s">
        <v>336</v>
      </c>
    </row>
    <row r="1420" spans="9:15" x14ac:dyDescent="0.45">
      <c r="I1420"/>
      <c r="J1420"/>
      <c r="M1420" s="62" t="s">
        <v>3254</v>
      </c>
      <c r="N1420" s="63" t="s">
        <v>3255</v>
      </c>
      <c r="O1420" s="64" t="s">
        <v>1863</v>
      </c>
    </row>
    <row r="1421" spans="9:15" x14ac:dyDescent="0.45">
      <c r="I1421"/>
      <c r="J1421"/>
      <c r="M1421" s="62" t="s">
        <v>3256</v>
      </c>
      <c r="N1421" s="63" t="s">
        <v>3257</v>
      </c>
      <c r="O1421" s="64" t="s">
        <v>549</v>
      </c>
    </row>
    <row r="1422" spans="9:15" x14ac:dyDescent="0.45">
      <c r="I1422"/>
      <c r="J1422"/>
      <c r="M1422" s="62" t="s">
        <v>3258</v>
      </c>
      <c r="N1422" s="63" t="s">
        <v>3259</v>
      </c>
      <c r="O1422" s="64" t="s">
        <v>330</v>
      </c>
    </row>
    <row r="1423" spans="9:15" x14ac:dyDescent="0.45">
      <c r="I1423"/>
      <c r="J1423"/>
      <c r="M1423" s="62" t="s">
        <v>3260</v>
      </c>
      <c r="N1423" s="63" t="s">
        <v>3261</v>
      </c>
      <c r="O1423" s="64" t="s">
        <v>330</v>
      </c>
    </row>
    <row r="1424" spans="9:15" x14ac:dyDescent="0.45">
      <c r="I1424"/>
      <c r="J1424"/>
      <c r="M1424" s="62" t="s">
        <v>3262</v>
      </c>
      <c r="N1424" s="63" t="s">
        <v>3263</v>
      </c>
      <c r="O1424" s="64" t="s">
        <v>596</v>
      </c>
    </row>
    <row r="1425" spans="9:15" x14ac:dyDescent="0.45">
      <c r="I1425"/>
      <c r="J1425"/>
      <c r="M1425" s="62" t="s">
        <v>3264</v>
      </c>
      <c r="N1425" s="63" t="s">
        <v>3265</v>
      </c>
      <c r="O1425" s="64" t="s">
        <v>596</v>
      </c>
    </row>
    <row r="1426" spans="9:15" x14ac:dyDescent="0.45">
      <c r="I1426"/>
      <c r="J1426"/>
      <c r="M1426" s="62" t="s">
        <v>3266</v>
      </c>
      <c r="N1426" s="63" t="s">
        <v>3267</v>
      </c>
      <c r="O1426" s="64" t="s">
        <v>330</v>
      </c>
    </row>
    <row r="1427" spans="9:15" x14ac:dyDescent="0.45">
      <c r="I1427"/>
      <c r="J1427"/>
      <c r="M1427" s="62" t="s">
        <v>3268</v>
      </c>
      <c r="N1427" s="63" t="s">
        <v>3269</v>
      </c>
      <c r="O1427" s="64" t="s">
        <v>330</v>
      </c>
    </row>
    <row r="1428" spans="9:15" x14ac:dyDescent="0.45">
      <c r="I1428"/>
      <c r="J1428"/>
      <c r="M1428" s="62" t="s">
        <v>3270</v>
      </c>
      <c r="N1428" s="63" t="s">
        <v>3271</v>
      </c>
      <c r="O1428" s="64" t="s">
        <v>625</v>
      </c>
    </row>
    <row r="1429" spans="9:15" x14ac:dyDescent="0.45">
      <c r="I1429"/>
      <c r="J1429"/>
      <c r="M1429" s="62" t="s">
        <v>3272</v>
      </c>
      <c r="N1429" s="63" t="s">
        <v>3273</v>
      </c>
      <c r="O1429" s="64" t="s">
        <v>330</v>
      </c>
    </row>
    <row r="1430" spans="9:15" x14ac:dyDescent="0.45">
      <c r="I1430"/>
      <c r="J1430"/>
      <c r="M1430" s="62" t="s">
        <v>3274</v>
      </c>
      <c r="N1430" s="63" t="s">
        <v>3275</v>
      </c>
      <c r="O1430" s="64" t="s">
        <v>330</v>
      </c>
    </row>
    <row r="1431" spans="9:15" x14ac:dyDescent="0.45">
      <c r="I1431"/>
      <c r="J1431"/>
      <c r="M1431" s="62" t="s">
        <v>3276</v>
      </c>
      <c r="N1431" s="63" t="s">
        <v>3277</v>
      </c>
      <c r="O1431" s="64" t="s">
        <v>330</v>
      </c>
    </row>
    <row r="1432" spans="9:15" x14ac:dyDescent="0.45">
      <c r="I1432"/>
      <c r="J1432"/>
      <c r="M1432" s="62" t="s">
        <v>3278</v>
      </c>
      <c r="N1432" s="63" t="s">
        <v>3279</v>
      </c>
      <c r="O1432" s="64" t="s">
        <v>330</v>
      </c>
    </row>
    <row r="1433" spans="9:15" x14ac:dyDescent="0.45">
      <c r="I1433"/>
      <c r="J1433"/>
      <c r="M1433" s="62" t="s">
        <v>3280</v>
      </c>
      <c r="N1433" s="63" t="s">
        <v>3281</v>
      </c>
      <c r="O1433" s="64" t="s">
        <v>330</v>
      </c>
    </row>
    <row r="1434" spans="9:15" x14ac:dyDescent="0.45">
      <c r="I1434"/>
      <c r="J1434"/>
      <c r="M1434" s="62" t="s">
        <v>3282</v>
      </c>
      <c r="N1434" s="63" t="s">
        <v>3283</v>
      </c>
      <c r="O1434" s="64" t="s">
        <v>330</v>
      </c>
    </row>
    <row r="1435" spans="9:15" x14ac:dyDescent="0.45">
      <c r="I1435"/>
      <c r="J1435"/>
      <c r="M1435" s="62" t="s">
        <v>3284</v>
      </c>
      <c r="N1435" s="63" t="s">
        <v>3285</v>
      </c>
      <c r="O1435" s="64" t="s">
        <v>324</v>
      </c>
    </row>
    <row r="1436" spans="9:15" x14ac:dyDescent="0.45">
      <c r="I1436"/>
      <c r="J1436"/>
      <c r="M1436" s="62" t="s">
        <v>3286</v>
      </c>
      <c r="N1436" s="63" t="s">
        <v>3287</v>
      </c>
      <c r="O1436" s="64" t="s">
        <v>330</v>
      </c>
    </row>
    <row r="1437" spans="9:15" x14ac:dyDescent="0.45">
      <c r="I1437"/>
      <c r="J1437"/>
      <c r="M1437" s="62" t="s">
        <v>3288</v>
      </c>
      <c r="N1437" s="63" t="s">
        <v>3289</v>
      </c>
      <c r="O1437" s="64" t="s">
        <v>3290</v>
      </c>
    </row>
    <row r="1438" spans="9:15" x14ac:dyDescent="0.45">
      <c r="I1438"/>
      <c r="J1438"/>
      <c r="M1438" s="62" t="s">
        <v>3291</v>
      </c>
      <c r="N1438" s="63" t="s">
        <v>3292</v>
      </c>
      <c r="O1438" s="64" t="s">
        <v>324</v>
      </c>
    </row>
    <row r="1439" spans="9:15" x14ac:dyDescent="0.45">
      <c r="I1439"/>
      <c r="J1439"/>
      <c r="M1439" s="62" t="s">
        <v>3293</v>
      </c>
      <c r="N1439" s="63" t="s">
        <v>3294</v>
      </c>
      <c r="O1439" s="64" t="s">
        <v>318</v>
      </c>
    </row>
    <row r="1440" spans="9:15" x14ac:dyDescent="0.45">
      <c r="I1440"/>
      <c r="J1440"/>
      <c r="M1440" s="62" t="s">
        <v>3295</v>
      </c>
      <c r="N1440" s="63" t="s">
        <v>3296</v>
      </c>
      <c r="O1440" s="64" t="s">
        <v>509</v>
      </c>
    </row>
    <row r="1441" spans="9:15" x14ac:dyDescent="0.45">
      <c r="I1441"/>
      <c r="J1441"/>
      <c r="M1441" s="62" t="s">
        <v>3297</v>
      </c>
      <c r="N1441" s="63" t="s">
        <v>3298</v>
      </c>
      <c r="O1441" s="64" t="s">
        <v>330</v>
      </c>
    </row>
    <row r="1442" spans="9:15" x14ac:dyDescent="0.45">
      <c r="I1442"/>
      <c r="J1442"/>
      <c r="M1442" s="62" t="s">
        <v>3299</v>
      </c>
      <c r="N1442" s="63" t="s">
        <v>3300</v>
      </c>
      <c r="O1442" s="64" t="s">
        <v>330</v>
      </c>
    </row>
    <row r="1443" spans="9:15" x14ac:dyDescent="0.45">
      <c r="I1443"/>
      <c r="J1443"/>
      <c r="M1443" s="62" t="s">
        <v>3301</v>
      </c>
      <c r="N1443" s="63" t="s">
        <v>3302</v>
      </c>
      <c r="O1443" s="64" t="s">
        <v>344</v>
      </c>
    </row>
    <row r="1444" spans="9:15" x14ac:dyDescent="0.45">
      <c r="I1444"/>
      <c r="J1444"/>
      <c r="M1444" s="62" t="s">
        <v>3303</v>
      </c>
      <c r="N1444" s="63" t="s">
        <v>3304</v>
      </c>
      <c r="O1444" s="64" t="s">
        <v>344</v>
      </c>
    </row>
    <row r="1445" spans="9:15" x14ac:dyDescent="0.45">
      <c r="I1445"/>
      <c r="J1445"/>
      <c r="M1445" s="62" t="s">
        <v>3305</v>
      </c>
      <c r="N1445" s="63" t="s">
        <v>3306</v>
      </c>
      <c r="O1445" s="64" t="s">
        <v>330</v>
      </c>
    </row>
    <row r="1446" spans="9:15" x14ac:dyDescent="0.45">
      <c r="I1446"/>
      <c r="J1446"/>
      <c r="M1446" s="62" t="s">
        <v>3307</v>
      </c>
      <c r="N1446" s="63" t="s">
        <v>3308</v>
      </c>
      <c r="O1446" s="64" t="s">
        <v>330</v>
      </c>
    </row>
    <row r="1447" spans="9:15" x14ac:dyDescent="0.45">
      <c r="I1447"/>
      <c r="J1447"/>
      <c r="M1447" s="62" t="s">
        <v>3309</v>
      </c>
      <c r="N1447" s="63" t="s">
        <v>3310</v>
      </c>
      <c r="O1447" s="64" t="s">
        <v>330</v>
      </c>
    </row>
    <row r="1448" spans="9:15" x14ac:dyDescent="0.45">
      <c r="I1448"/>
      <c r="J1448"/>
      <c r="M1448" s="62" t="s">
        <v>3311</v>
      </c>
      <c r="N1448" s="63" t="s">
        <v>3312</v>
      </c>
      <c r="O1448" s="64" t="s">
        <v>1254</v>
      </c>
    </row>
    <row r="1449" spans="9:15" x14ac:dyDescent="0.45">
      <c r="I1449"/>
      <c r="J1449"/>
      <c r="M1449" s="62" t="s">
        <v>3313</v>
      </c>
      <c r="N1449" s="63" t="s">
        <v>3314</v>
      </c>
      <c r="O1449" s="64" t="s">
        <v>324</v>
      </c>
    </row>
    <row r="1450" spans="9:15" x14ac:dyDescent="0.45">
      <c r="I1450"/>
      <c r="J1450"/>
      <c r="M1450" s="62" t="s">
        <v>3315</v>
      </c>
      <c r="N1450" s="63" t="s">
        <v>3316</v>
      </c>
      <c r="O1450" s="64" t="s">
        <v>330</v>
      </c>
    </row>
    <row r="1451" spans="9:15" x14ac:dyDescent="0.45">
      <c r="I1451"/>
      <c r="J1451"/>
      <c r="M1451" s="62" t="s">
        <v>3317</v>
      </c>
      <c r="N1451" s="63" t="s">
        <v>3318</v>
      </c>
      <c r="O1451" s="64" t="s">
        <v>318</v>
      </c>
    </row>
    <row r="1452" spans="9:15" x14ac:dyDescent="0.45">
      <c r="I1452"/>
      <c r="J1452"/>
      <c r="M1452" s="62" t="s">
        <v>3319</v>
      </c>
      <c r="N1452" s="63" t="s">
        <v>3320</v>
      </c>
      <c r="O1452" s="64" t="s">
        <v>336</v>
      </c>
    </row>
    <row r="1453" spans="9:15" x14ac:dyDescent="0.45">
      <c r="I1453"/>
      <c r="J1453"/>
      <c r="M1453" s="62" t="s">
        <v>3321</v>
      </c>
      <c r="N1453" s="63" t="s">
        <v>3322</v>
      </c>
      <c r="O1453" s="64" t="s">
        <v>417</v>
      </c>
    </row>
    <row r="1454" spans="9:15" x14ac:dyDescent="0.45">
      <c r="I1454"/>
      <c r="J1454"/>
      <c r="M1454" s="62" t="s">
        <v>3323</v>
      </c>
      <c r="N1454" s="63" t="s">
        <v>3324</v>
      </c>
      <c r="O1454" s="64" t="s">
        <v>327</v>
      </c>
    </row>
    <row r="1455" spans="9:15" x14ac:dyDescent="0.45">
      <c r="I1455"/>
      <c r="J1455"/>
      <c r="M1455" s="62" t="s">
        <v>3325</v>
      </c>
      <c r="N1455" s="63" t="s">
        <v>3326</v>
      </c>
      <c r="O1455" s="64" t="s">
        <v>453</v>
      </c>
    </row>
    <row r="1456" spans="9:15" x14ac:dyDescent="0.45">
      <c r="I1456"/>
      <c r="J1456"/>
      <c r="M1456" s="62" t="s">
        <v>3327</v>
      </c>
      <c r="N1456" s="63" t="s">
        <v>3328</v>
      </c>
      <c r="O1456" s="64" t="s">
        <v>330</v>
      </c>
    </row>
    <row r="1457" spans="9:15" x14ac:dyDescent="0.45">
      <c r="I1457"/>
      <c r="J1457"/>
      <c r="M1457" s="62" t="s">
        <v>3329</v>
      </c>
      <c r="N1457" s="63" t="s">
        <v>3330</v>
      </c>
      <c r="O1457" s="64" t="s">
        <v>330</v>
      </c>
    </row>
    <row r="1458" spans="9:15" x14ac:dyDescent="0.45">
      <c r="I1458"/>
      <c r="J1458"/>
      <c r="M1458" s="62" t="s">
        <v>3331</v>
      </c>
      <c r="N1458" s="63" t="s">
        <v>3332</v>
      </c>
      <c r="O1458" s="64" t="s">
        <v>453</v>
      </c>
    </row>
    <row r="1459" spans="9:15" x14ac:dyDescent="0.45">
      <c r="I1459"/>
      <c r="J1459"/>
      <c r="M1459" s="62" t="s">
        <v>3333</v>
      </c>
      <c r="N1459" s="63" t="s">
        <v>3334</v>
      </c>
      <c r="O1459" s="64" t="s">
        <v>344</v>
      </c>
    </row>
    <row r="1460" spans="9:15" x14ac:dyDescent="0.45">
      <c r="I1460"/>
      <c r="J1460"/>
      <c r="M1460" s="62" t="s">
        <v>3335</v>
      </c>
      <c r="N1460" s="63" t="s">
        <v>3336</v>
      </c>
      <c r="O1460" s="64" t="s">
        <v>324</v>
      </c>
    </row>
    <row r="1461" spans="9:15" x14ac:dyDescent="0.45">
      <c r="I1461"/>
      <c r="J1461"/>
      <c r="M1461" s="62" t="s">
        <v>3337</v>
      </c>
      <c r="N1461" s="63" t="s">
        <v>3338</v>
      </c>
      <c r="O1461" s="64" t="s">
        <v>632</v>
      </c>
    </row>
    <row r="1462" spans="9:15" x14ac:dyDescent="0.45">
      <c r="I1462"/>
      <c r="J1462"/>
      <c r="M1462" s="62" t="s">
        <v>3339</v>
      </c>
      <c r="N1462" s="63" t="s">
        <v>3340</v>
      </c>
      <c r="O1462" s="64" t="s">
        <v>344</v>
      </c>
    </row>
    <row r="1463" spans="9:15" x14ac:dyDescent="0.45">
      <c r="I1463"/>
      <c r="J1463"/>
      <c r="M1463" s="62" t="s">
        <v>3341</v>
      </c>
      <c r="N1463" s="63" t="s">
        <v>3342</v>
      </c>
      <c r="O1463" s="64" t="s">
        <v>327</v>
      </c>
    </row>
    <row r="1464" spans="9:15" x14ac:dyDescent="0.45">
      <c r="I1464"/>
      <c r="J1464"/>
      <c r="M1464" s="75" t="s">
        <v>3343</v>
      </c>
      <c r="N1464" s="76" t="s">
        <v>3344</v>
      </c>
      <c r="O1464" s="77" t="s">
        <v>330</v>
      </c>
    </row>
    <row r="1465" spans="9:15" x14ac:dyDescent="0.45">
      <c r="I1465"/>
      <c r="J1465"/>
      <c r="M1465" s="62" t="s">
        <v>3345</v>
      </c>
      <c r="N1465" s="63" t="s">
        <v>3346</v>
      </c>
      <c r="O1465" s="64" t="s">
        <v>509</v>
      </c>
    </row>
    <row r="1466" spans="9:15" x14ac:dyDescent="0.45">
      <c r="I1466"/>
      <c r="J1466"/>
      <c r="M1466" s="62" t="s">
        <v>3347</v>
      </c>
      <c r="N1466" s="63" t="s">
        <v>3348</v>
      </c>
      <c r="O1466" s="64" t="s">
        <v>549</v>
      </c>
    </row>
    <row r="1467" spans="9:15" x14ac:dyDescent="0.45">
      <c r="I1467"/>
      <c r="J1467"/>
      <c r="M1467" s="62" t="s">
        <v>3349</v>
      </c>
      <c r="N1467" s="63" t="s">
        <v>3350</v>
      </c>
      <c r="O1467" s="64" t="s">
        <v>437</v>
      </c>
    </row>
    <row r="1468" spans="9:15" x14ac:dyDescent="0.45">
      <c r="I1468"/>
      <c r="J1468"/>
      <c r="M1468" s="62" t="s">
        <v>3351</v>
      </c>
      <c r="N1468" s="63" t="s">
        <v>3352</v>
      </c>
      <c r="O1468" s="64" t="s">
        <v>330</v>
      </c>
    </row>
    <row r="1469" spans="9:15" x14ac:dyDescent="0.45">
      <c r="I1469"/>
      <c r="J1469"/>
      <c r="M1469" s="62" t="s">
        <v>3353</v>
      </c>
      <c r="N1469" s="63" t="s">
        <v>3354</v>
      </c>
      <c r="O1469" s="64" t="s">
        <v>453</v>
      </c>
    </row>
    <row r="1470" spans="9:15" x14ac:dyDescent="0.45">
      <c r="I1470"/>
      <c r="J1470"/>
      <c r="M1470" s="62" t="s">
        <v>3355</v>
      </c>
      <c r="N1470" s="63" t="s">
        <v>3356</v>
      </c>
      <c r="O1470" s="64" t="s">
        <v>400</v>
      </c>
    </row>
    <row r="1471" spans="9:15" x14ac:dyDescent="0.45">
      <c r="I1471"/>
      <c r="J1471"/>
      <c r="M1471" s="62" t="s">
        <v>3357</v>
      </c>
      <c r="N1471" s="63" t="s">
        <v>3358</v>
      </c>
      <c r="O1471" s="64" t="s">
        <v>330</v>
      </c>
    </row>
    <row r="1472" spans="9:15" x14ac:dyDescent="0.45">
      <c r="I1472"/>
      <c r="J1472"/>
      <c r="M1472" s="62" t="s">
        <v>3359</v>
      </c>
      <c r="N1472" s="63" t="s">
        <v>3360</v>
      </c>
      <c r="O1472" s="64" t="s">
        <v>632</v>
      </c>
    </row>
    <row r="1473" spans="9:15" x14ac:dyDescent="0.45">
      <c r="I1473"/>
      <c r="J1473"/>
      <c r="M1473" s="62" t="s">
        <v>3361</v>
      </c>
      <c r="N1473" s="63" t="s">
        <v>3362</v>
      </c>
      <c r="O1473" s="64" t="s">
        <v>330</v>
      </c>
    </row>
    <row r="1474" spans="9:15" x14ac:dyDescent="0.45">
      <c r="I1474"/>
      <c r="J1474"/>
      <c r="M1474" s="62" t="s">
        <v>3363</v>
      </c>
      <c r="N1474" s="74" t="s">
        <v>3364</v>
      </c>
      <c r="O1474" s="64" t="s">
        <v>330</v>
      </c>
    </row>
    <row r="1475" spans="9:15" x14ac:dyDescent="0.45">
      <c r="I1475"/>
      <c r="J1475"/>
      <c r="M1475" s="62" t="s">
        <v>3365</v>
      </c>
      <c r="N1475" s="63" t="s">
        <v>3366</v>
      </c>
      <c r="O1475" s="64" t="s">
        <v>532</v>
      </c>
    </row>
    <row r="1476" spans="9:15" x14ac:dyDescent="0.45">
      <c r="I1476"/>
      <c r="J1476"/>
      <c r="M1476" s="62" t="s">
        <v>3367</v>
      </c>
      <c r="N1476" s="63" t="s">
        <v>3368</v>
      </c>
      <c r="O1476" s="64" t="s">
        <v>330</v>
      </c>
    </row>
    <row r="1477" spans="9:15" x14ac:dyDescent="0.45">
      <c r="I1477"/>
      <c r="J1477"/>
      <c r="M1477" s="62" t="s">
        <v>3369</v>
      </c>
      <c r="N1477" s="63" t="s">
        <v>3370</v>
      </c>
      <c r="O1477" s="64" t="s">
        <v>330</v>
      </c>
    </row>
    <row r="1478" spans="9:15" x14ac:dyDescent="0.45">
      <c r="I1478"/>
      <c r="J1478"/>
      <c r="M1478" s="62" t="s">
        <v>3371</v>
      </c>
      <c r="N1478" s="63" t="s">
        <v>3372</v>
      </c>
      <c r="O1478" s="64" t="s">
        <v>330</v>
      </c>
    </row>
    <row r="1479" spans="9:15" x14ac:dyDescent="0.45">
      <c r="I1479"/>
      <c r="J1479"/>
      <c r="M1479" s="62" t="s">
        <v>3373</v>
      </c>
      <c r="N1479" s="63" t="s">
        <v>3374</v>
      </c>
      <c r="O1479" s="64" t="s">
        <v>341</v>
      </c>
    </row>
    <row r="1480" spans="9:15" x14ac:dyDescent="0.45">
      <c r="I1480"/>
      <c r="J1480"/>
      <c r="M1480" s="62" t="s">
        <v>3375</v>
      </c>
      <c r="N1480" s="63" t="s">
        <v>3376</v>
      </c>
      <c r="O1480" s="64" t="s">
        <v>330</v>
      </c>
    </row>
    <row r="1481" spans="9:15" x14ac:dyDescent="0.45">
      <c r="I1481"/>
      <c r="J1481"/>
      <c r="M1481" s="62" t="s">
        <v>3377</v>
      </c>
      <c r="N1481" s="63" t="s">
        <v>3378</v>
      </c>
      <c r="O1481" s="64" t="s">
        <v>330</v>
      </c>
    </row>
    <row r="1482" spans="9:15" x14ac:dyDescent="0.45">
      <c r="I1482"/>
      <c r="J1482"/>
      <c r="M1482" s="62" t="s">
        <v>3379</v>
      </c>
      <c r="N1482" s="63" t="s">
        <v>3380</v>
      </c>
      <c r="O1482" s="64" t="s">
        <v>333</v>
      </c>
    </row>
    <row r="1483" spans="9:15" x14ac:dyDescent="0.45">
      <c r="I1483"/>
      <c r="J1483"/>
      <c r="M1483" s="62" t="s">
        <v>3381</v>
      </c>
      <c r="N1483" s="63" t="s">
        <v>3382</v>
      </c>
      <c r="O1483" s="64" t="s">
        <v>453</v>
      </c>
    </row>
    <row r="1484" spans="9:15" x14ac:dyDescent="0.45">
      <c r="I1484"/>
      <c r="J1484"/>
      <c r="M1484" s="62" t="s">
        <v>3383</v>
      </c>
      <c r="N1484" s="63" t="s">
        <v>3384</v>
      </c>
      <c r="O1484" s="64" t="s">
        <v>330</v>
      </c>
    </row>
    <row r="1485" spans="9:15" x14ac:dyDescent="0.45">
      <c r="I1485"/>
      <c r="J1485"/>
      <c r="M1485" s="62" t="s">
        <v>3385</v>
      </c>
      <c r="N1485" s="63" t="s">
        <v>3386</v>
      </c>
      <c r="O1485" s="64" t="s">
        <v>344</v>
      </c>
    </row>
    <row r="1486" spans="9:15" x14ac:dyDescent="0.45">
      <c r="I1486"/>
      <c r="J1486"/>
      <c r="M1486" s="62" t="s">
        <v>3387</v>
      </c>
      <c r="N1486" s="63" t="s">
        <v>3388</v>
      </c>
      <c r="O1486" s="64" t="s">
        <v>330</v>
      </c>
    </row>
    <row r="1487" spans="9:15" x14ac:dyDescent="0.45">
      <c r="I1487"/>
      <c r="J1487"/>
      <c r="M1487" s="62" t="s">
        <v>3389</v>
      </c>
      <c r="N1487" s="63" t="s">
        <v>3390</v>
      </c>
      <c r="O1487" s="64" t="s">
        <v>330</v>
      </c>
    </row>
    <row r="1488" spans="9:15" x14ac:dyDescent="0.45">
      <c r="I1488"/>
      <c r="J1488"/>
      <c r="M1488" s="62" t="s">
        <v>3391</v>
      </c>
      <c r="N1488" s="63" t="s">
        <v>3392</v>
      </c>
      <c r="O1488" s="64" t="s">
        <v>330</v>
      </c>
    </row>
    <row r="1489" spans="9:15" x14ac:dyDescent="0.45">
      <c r="I1489"/>
      <c r="J1489"/>
      <c r="M1489" s="62" t="s">
        <v>3393</v>
      </c>
      <c r="N1489" s="63" t="s">
        <v>3394</v>
      </c>
      <c r="O1489" s="64" t="s">
        <v>330</v>
      </c>
    </row>
    <row r="1490" spans="9:15" x14ac:dyDescent="0.45">
      <c r="I1490"/>
      <c r="J1490"/>
      <c r="M1490" s="62" t="s">
        <v>3395</v>
      </c>
      <c r="N1490" s="63" t="s">
        <v>3396</v>
      </c>
      <c r="O1490" s="64" t="s">
        <v>324</v>
      </c>
    </row>
    <row r="1491" spans="9:15" x14ac:dyDescent="0.45">
      <c r="I1491"/>
      <c r="J1491"/>
      <c r="M1491" s="62" t="s">
        <v>3397</v>
      </c>
      <c r="N1491" s="63" t="s">
        <v>3398</v>
      </c>
      <c r="O1491" s="64" t="s">
        <v>330</v>
      </c>
    </row>
    <row r="1492" spans="9:15" x14ac:dyDescent="0.45">
      <c r="I1492"/>
      <c r="J1492"/>
      <c r="M1492" s="62" t="s">
        <v>3399</v>
      </c>
      <c r="N1492" s="63" t="s">
        <v>3400</v>
      </c>
      <c r="O1492" s="64" t="s">
        <v>318</v>
      </c>
    </row>
    <row r="1493" spans="9:15" x14ac:dyDescent="0.45">
      <c r="I1493"/>
      <c r="J1493"/>
      <c r="M1493" s="62" t="s">
        <v>3401</v>
      </c>
      <c r="N1493" s="63" t="s">
        <v>3402</v>
      </c>
      <c r="O1493" s="64" t="s">
        <v>318</v>
      </c>
    </row>
    <row r="1494" spans="9:15" x14ac:dyDescent="0.45">
      <c r="I1494"/>
      <c r="J1494"/>
      <c r="M1494" s="62" t="s">
        <v>3403</v>
      </c>
      <c r="N1494" s="63" t="s">
        <v>3404</v>
      </c>
      <c r="O1494" s="64" t="s">
        <v>330</v>
      </c>
    </row>
    <row r="1495" spans="9:15" x14ac:dyDescent="0.45">
      <c r="I1495"/>
      <c r="J1495"/>
      <c r="M1495" s="62" t="s">
        <v>3405</v>
      </c>
      <c r="N1495" s="63" t="s">
        <v>3406</v>
      </c>
      <c r="O1495" s="64" t="s">
        <v>330</v>
      </c>
    </row>
    <row r="1496" spans="9:15" x14ac:dyDescent="0.45">
      <c r="I1496"/>
      <c r="J1496"/>
      <c r="M1496" s="62" t="s">
        <v>3407</v>
      </c>
      <c r="N1496" s="63" t="s">
        <v>3408</v>
      </c>
      <c r="O1496" s="64" t="s">
        <v>330</v>
      </c>
    </row>
    <row r="1497" spans="9:15" x14ac:dyDescent="0.45">
      <c r="I1497"/>
      <c r="J1497"/>
      <c r="M1497" s="62" t="s">
        <v>3409</v>
      </c>
      <c r="N1497" s="63" t="s">
        <v>3410</v>
      </c>
      <c r="O1497" s="64" t="s">
        <v>321</v>
      </c>
    </row>
    <row r="1498" spans="9:15" x14ac:dyDescent="0.45">
      <c r="I1498"/>
      <c r="J1498"/>
      <c r="M1498" s="62" t="s">
        <v>3411</v>
      </c>
      <c r="N1498" s="63" t="s">
        <v>3412</v>
      </c>
      <c r="O1498" s="64" t="s">
        <v>743</v>
      </c>
    </row>
    <row r="1499" spans="9:15" x14ac:dyDescent="0.45">
      <c r="I1499"/>
      <c r="J1499"/>
      <c r="M1499" s="62" t="s">
        <v>3413</v>
      </c>
      <c r="N1499" s="63" t="s">
        <v>3414</v>
      </c>
      <c r="O1499" s="64" t="s">
        <v>330</v>
      </c>
    </row>
    <row r="1500" spans="9:15" x14ac:dyDescent="0.45">
      <c r="I1500"/>
      <c r="J1500"/>
      <c r="M1500" s="62" t="s">
        <v>3415</v>
      </c>
      <c r="N1500" s="63" t="s">
        <v>3416</v>
      </c>
      <c r="O1500" s="64" t="s">
        <v>344</v>
      </c>
    </row>
    <row r="1501" spans="9:15" x14ac:dyDescent="0.45">
      <c r="I1501"/>
      <c r="J1501"/>
      <c r="M1501" s="62" t="s">
        <v>3417</v>
      </c>
      <c r="N1501" s="63" t="s">
        <v>3418</v>
      </c>
      <c r="O1501" s="64" t="s">
        <v>330</v>
      </c>
    </row>
    <row r="1502" spans="9:15" x14ac:dyDescent="0.45">
      <c r="I1502"/>
      <c r="J1502"/>
      <c r="M1502" s="62" t="s">
        <v>3419</v>
      </c>
      <c r="N1502" s="63" t="s">
        <v>3420</v>
      </c>
      <c r="O1502" s="64" t="s">
        <v>321</v>
      </c>
    </row>
    <row r="1503" spans="9:15" x14ac:dyDescent="0.45">
      <c r="I1503"/>
      <c r="J1503"/>
      <c r="M1503" s="71" t="s">
        <v>3421</v>
      </c>
      <c r="N1503" s="72" t="s">
        <v>3422</v>
      </c>
      <c r="O1503" s="72" t="s">
        <v>321</v>
      </c>
    </row>
    <row r="1504" spans="9:15" x14ac:dyDescent="0.45">
      <c r="I1504"/>
      <c r="J1504"/>
      <c r="M1504" s="62" t="s">
        <v>3423</v>
      </c>
      <c r="N1504" s="63" t="s">
        <v>3424</v>
      </c>
      <c r="O1504" s="64" t="s">
        <v>321</v>
      </c>
    </row>
    <row r="1505" spans="9:15" x14ac:dyDescent="0.45">
      <c r="I1505"/>
      <c r="J1505"/>
      <c r="M1505" s="62" t="s">
        <v>3425</v>
      </c>
      <c r="N1505" s="63" t="s">
        <v>3426</v>
      </c>
      <c r="O1505" s="64" t="s">
        <v>327</v>
      </c>
    </row>
    <row r="1506" spans="9:15" x14ac:dyDescent="0.45">
      <c r="I1506"/>
      <c r="J1506"/>
      <c r="M1506" s="62" t="s">
        <v>3427</v>
      </c>
      <c r="N1506" s="63" t="s">
        <v>3428</v>
      </c>
      <c r="O1506" s="64" t="s">
        <v>532</v>
      </c>
    </row>
    <row r="1507" spans="9:15" x14ac:dyDescent="0.45">
      <c r="I1507"/>
      <c r="J1507"/>
      <c r="M1507" s="62" t="s">
        <v>3429</v>
      </c>
      <c r="N1507" s="63" t="s">
        <v>3430</v>
      </c>
      <c r="O1507" s="64" t="s">
        <v>521</v>
      </c>
    </row>
    <row r="1508" spans="9:15" x14ac:dyDescent="0.45">
      <c r="I1508"/>
      <c r="J1508"/>
      <c r="M1508" s="62" t="s">
        <v>3431</v>
      </c>
      <c r="N1508" s="63" t="s">
        <v>3432</v>
      </c>
      <c r="O1508" s="64" t="s">
        <v>330</v>
      </c>
    </row>
    <row r="1509" spans="9:15" x14ac:dyDescent="0.45">
      <c r="I1509"/>
      <c r="J1509"/>
      <c r="M1509" s="62" t="s">
        <v>3433</v>
      </c>
      <c r="N1509" s="63" t="s">
        <v>3434</v>
      </c>
      <c r="O1509" s="64" t="s">
        <v>327</v>
      </c>
    </row>
    <row r="1510" spans="9:15" x14ac:dyDescent="0.45">
      <c r="I1510"/>
      <c r="J1510"/>
      <c r="M1510" s="75" t="s">
        <v>3435</v>
      </c>
      <c r="N1510" s="76" t="s">
        <v>3436</v>
      </c>
      <c r="O1510" s="77" t="s">
        <v>330</v>
      </c>
    </row>
    <row r="1511" spans="9:15" x14ac:dyDescent="0.45">
      <c r="I1511"/>
      <c r="J1511"/>
      <c r="M1511" s="62" t="s">
        <v>3437</v>
      </c>
      <c r="N1511" s="63" t="s">
        <v>3438</v>
      </c>
      <c r="O1511" s="64" t="s">
        <v>321</v>
      </c>
    </row>
    <row r="1512" spans="9:15" x14ac:dyDescent="0.45">
      <c r="I1512"/>
      <c r="J1512"/>
      <c r="M1512" s="62" t="s">
        <v>3439</v>
      </c>
      <c r="N1512" s="63" t="s">
        <v>3440</v>
      </c>
      <c r="O1512" s="64" t="s">
        <v>344</v>
      </c>
    </row>
    <row r="1513" spans="9:15" x14ac:dyDescent="0.45">
      <c r="I1513"/>
      <c r="J1513"/>
      <c r="M1513" s="62" t="s">
        <v>3441</v>
      </c>
      <c r="N1513" s="63" t="s">
        <v>3442</v>
      </c>
      <c r="O1513" s="64" t="s">
        <v>327</v>
      </c>
    </row>
    <row r="1514" spans="9:15" x14ac:dyDescent="0.45">
      <c r="I1514"/>
      <c r="J1514"/>
      <c r="M1514" s="62" t="s">
        <v>3443</v>
      </c>
      <c r="N1514" s="63" t="s">
        <v>3444</v>
      </c>
      <c r="O1514" s="64" t="s">
        <v>333</v>
      </c>
    </row>
    <row r="1515" spans="9:15" x14ac:dyDescent="0.45">
      <c r="I1515"/>
      <c r="J1515"/>
      <c r="M1515" s="62" t="s">
        <v>3445</v>
      </c>
      <c r="N1515" s="63" t="s">
        <v>3446</v>
      </c>
      <c r="O1515" s="64" t="s">
        <v>327</v>
      </c>
    </row>
    <row r="1516" spans="9:15" x14ac:dyDescent="0.45">
      <c r="I1516"/>
      <c r="J1516"/>
      <c r="M1516" s="62" t="s">
        <v>3447</v>
      </c>
      <c r="N1516" s="63" t="s">
        <v>3448</v>
      </c>
      <c r="O1516" s="64" t="s">
        <v>549</v>
      </c>
    </row>
    <row r="1517" spans="9:15" x14ac:dyDescent="0.45">
      <c r="I1517"/>
      <c r="J1517"/>
      <c r="M1517" s="62" t="s">
        <v>3449</v>
      </c>
      <c r="N1517" s="63" t="s">
        <v>3450</v>
      </c>
      <c r="O1517" s="64" t="s">
        <v>341</v>
      </c>
    </row>
    <row r="1518" spans="9:15" x14ac:dyDescent="0.45">
      <c r="I1518"/>
      <c r="J1518"/>
      <c r="M1518" s="62" t="s">
        <v>3451</v>
      </c>
      <c r="N1518" s="63" t="s">
        <v>3452</v>
      </c>
      <c r="O1518" s="64" t="s">
        <v>549</v>
      </c>
    </row>
    <row r="1519" spans="9:15" x14ac:dyDescent="0.45">
      <c r="I1519"/>
      <c r="J1519"/>
      <c r="M1519" s="62" t="s">
        <v>3453</v>
      </c>
      <c r="N1519" s="63" t="s">
        <v>3454</v>
      </c>
      <c r="O1519" s="64" t="s">
        <v>318</v>
      </c>
    </row>
    <row r="1520" spans="9:15" x14ac:dyDescent="0.45">
      <c r="I1520"/>
      <c r="J1520"/>
      <c r="M1520" s="62" t="s">
        <v>3455</v>
      </c>
      <c r="N1520" s="63" t="s">
        <v>3456</v>
      </c>
      <c r="O1520" s="64" t="s">
        <v>341</v>
      </c>
    </row>
    <row r="1521" spans="9:15" x14ac:dyDescent="0.45">
      <c r="I1521"/>
      <c r="J1521"/>
      <c r="M1521" s="62" t="s">
        <v>3457</v>
      </c>
      <c r="N1521" s="63" t="s">
        <v>3458</v>
      </c>
      <c r="O1521" s="64" t="s">
        <v>625</v>
      </c>
    </row>
    <row r="1522" spans="9:15" x14ac:dyDescent="0.45">
      <c r="I1522"/>
      <c r="J1522"/>
      <c r="M1522" s="62" t="s">
        <v>3459</v>
      </c>
      <c r="N1522" s="63" t="s">
        <v>3460</v>
      </c>
      <c r="O1522" s="64" t="s">
        <v>330</v>
      </c>
    </row>
    <row r="1523" spans="9:15" x14ac:dyDescent="0.45">
      <c r="I1523"/>
      <c r="J1523"/>
      <c r="M1523" s="62" t="s">
        <v>3461</v>
      </c>
      <c r="N1523" s="63" t="s">
        <v>3462</v>
      </c>
      <c r="O1523" s="64" t="s">
        <v>330</v>
      </c>
    </row>
    <row r="1524" spans="9:15" x14ac:dyDescent="0.45">
      <c r="I1524"/>
      <c r="J1524"/>
      <c r="M1524" s="62" t="s">
        <v>3463</v>
      </c>
      <c r="N1524" s="63" t="s">
        <v>3464</v>
      </c>
      <c r="O1524" s="64" t="s">
        <v>330</v>
      </c>
    </row>
    <row r="1525" spans="9:15" x14ac:dyDescent="0.45">
      <c r="I1525"/>
      <c r="J1525"/>
      <c r="M1525" s="71" t="s">
        <v>3465</v>
      </c>
      <c r="N1525" s="72" t="s">
        <v>3466</v>
      </c>
      <c r="O1525" s="64" t="s">
        <v>318</v>
      </c>
    </row>
    <row r="1526" spans="9:15" x14ac:dyDescent="0.45">
      <c r="I1526"/>
      <c r="J1526"/>
      <c r="M1526" s="62" t="s">
        <v>3467</v>
      </c>
      <c r="N1526" s="63" t="s">
        <v>3468</v>
      </c>
      <c r="O1526" s="64" t="s">
        <v>327</v>
      </c>
    </row>
    <row r="1527" spans="9:15" x14ac:dyDescent="0.45">
      <c r="I1527"/>
      <c r="J1527"/>
      <c r="M1527" s="62" t="s">
        <v>3469</v>
      </c>
      <c r="N1527" s="63" t="s">
        <v>3470</v>
      </c>
      <c r="O1527" s="64" t="s">
        <v>359</v>
      </c>
    </row>
    <row r="1528" spans="9:15" x14ac:dyDescent="0.45">
      <c r="I1528"/>
      <c r="J1528"/>
      <c r="M1528" s="62" t="s">
        <v>3471</v>
      </c>
      <c r="N1528" s="63" t="s">
        <v>3472</v>
      </c>
      <c r="O1528" s="64" t="s">
        <v>330</v>
      </c>
    </row>
    <row r="1529" spans="9:15" x14ac:dyDescent="0.45">
      <c r="I1529"/>
      <c r="J1529"/>
      <c r="M1529" s="62" t="s">
        <v>3473</v>
      </c>
      <c r="N1529" s="63" t="s">
        <v>3474</v>
      </c>
      <c r="O1529" s="64" t="s">
        <v>330</v>
      </c>
    </row>
    <row r="1530" spans="9:15" x14ac:dyDescent="0.45">
      <c r="I1530"/>
      <c r="J1530"/>
      <c r="M1530" s="62" t="s">
        <v>3475</v>
      </c>
      <c r="N1530" s="63" t="s">
        <v>3476</v>
      </c>
      <c r="O1530" s="64" t="s">
        <v>321</v>
      </c>
    </row>
    <row r="1531" spans="9:15" x14ac:dyDescent="0.45">
      <c r="I1531"/>
      <c r="J1531"/>
      <c r="M1531" s="75" t="s">
        <v>3477</v>
      </c>
      <c r="N1531" s="76" t="s">
        <v>3478</v>
      </c>
      <c r="O1531" s="77" t="s">
        <v>480</v>
      </c>
    </row>
    <row r="1532" spans="9:15" x14ac:dyDescent="0.45">
      <c r="I1532"/>
      <c r="J1532"/>
      <c r="M1532" s="62" t="s">
        <v>3479</v>
      </c>
      <c r="N1532" s="63" t="s">
        <v>3480</v>
      </c>
      <c r="O1532" s="64" t="s">
        <v>509</v>
      </c>
    </row>
    <row r="1533" spans="9:15" x14ac:dyDescent="0.45">
      <c r="I1533"/>
      <c r="J1533"/>
      <c r="M1533" s="62" t="s">
        <v>3481</v>
      </c>
      <c r="N1533" s="63" t="s">
        <v>3482</v>
      </c>
      <c r="O1533" s="64" t="s">
        <v>625</v>
      </c>
    </row>
    <row r="1534" spans="9:15" x14ac:dyDescent="0.45">
      <c r="I1534"/>
      <c r="J1534"/>
      <c r="M1534" s="62" t="s">
        <v>3483</v>
      </c>
      <c r="N1534" s="63" t="s">
        <v>3484</v>
      </c>
      <c r="O1534" s="64" t="s">
        <v>549</v>
      </c>
    </row>
    <row r="1535" spans="9:15" x14ac:dyDescent="0.45">
      <c r="I1535"/>
      <c r="J1535"/>
      <c r="M1535" s="62" t="s">
        <v>3485</v>
      </c>
      <c r="N1535" s="63" t="s">
        <v>3486</v>
      </c>
      <c r="O1535" s="64" t="s">
        <v>625</v>
      </c>
    </row>
    <row r="1536" spans="9:15" x14ac:dyDescent="0.45">
      <c r="I1536"/>
      <c r="J1536"/>
      <c r="M1536" s="62" t="s">
        <v>3487</v>
      </c>
      <c r="N1536" s="63" t="s">
        <v>3488</v>
      </c>
      <c r="O1536" s="64" t="s">
        <v>336</v>
      </c>
    </row>
    <row r="1537" spans="9:15" x14ac:dyDescent="0.45">
      <c r="I1537"/>
      <c r="J1537"/>
      <c r="M1537" s="62" t="s">
        <v>3489</v>
      </c>
      <c r="N1537" s="63" t="s">
        <v>3490</v>
      </c>
      <c r="O1537" s="64" t="s">
        <v>344</v>
      </c>
    </row>
    <row r="1538" spans="9:15" x14ac:dyDescent="0.45">
      <c r="I1538"/>
      <c r="J1538"/>
      <c r="M1538" s="62" t="s">
        <v>3491</v>
      </c>
      <c r="N1538" s="63" t="s">
        <v>3492</v>
      </c>
      <c r="O1538" s="64" t="s">
        <v>341</v>
      </c>
    </row>
    <row r="1539" spans="9:15" x14ac:dyDescent="0.45">
      <c r="I1539"/>
      <c r="J1539"/>
      <c r="M1539" s="62" t="s">
        <v>3493</v>
      </c>
      <c r="N1539" s="63" t="s">
        <v>3494</v>
      </c>
      <c r="O1539" s="64" t="s">
        <v>330</v>
      </c>
    </row>
    <row r="1540" spans="9:15" x14ac:dyDescent="0.45">
      <c r="I1540"/>
      <c r="J1540"/>
      <c r="M1540" s="62" t="s">
        <v>3495</v>
      </c>
      <c r="N1540" s="63" t="s">
        <v>3496</v>
      </c>
      <c r="O1540" s="64" t="s">
        <v>330</v>
      </c>
    </row>
    <row r="1541" spans="9:15" x14ac:dyDescent="0.45">
      <c r="I1541"/>
      <c r="J1541"/>
      <c r="M1541" s="62" t="s">
        <v>3497</v>
      </c>
      <c r="N1541" s="63" t="s">
        <v>3498</v>
      </c>
      <c r="O1541" s="64" t="s">
        <v>330</v>
      </c>
    </row>
    <row r="1542" spans="9:15" x14ac:dyDescent="0.45">
      <c r="I1542"/>
      <c r="J1542"/>
      <c r="M1542" s="62" t="s">
        <v>3499</v>
      </c>
      <c r="N1542" s="63" t="s">
        <v>3500</v>
      </c>
      <c r="O1542" s="64" t="s">
        <v>321</v>
      </c>
    </row>
    <row r="1543" spans="9:15" x14ac:dyDescent="0.45">
      <c r="I1543"/>
      <c r="J1543"/>
      <c r="M1543" s="62" t="s">
        <v>3501</v>
      </c>
      <c r="N1543" s="63" t="s">
        <v>3502</v>
      </c>
      <c r="O1543" s="64" t="s">
        <v>321</v>
      </c>
    </row>
    <row r="1544" spans="9:15" x14ac:dyDescent="0.45">
      <c r="I1544"/>
      <c r="J1544"/>
      <c r="M1544" s="62" t="s">
        <v>3503</v>
      </c>
      <c r="N1544" s="63" t="s">
        <v>3504</v>
      </c>
      <c r="O1544" s="64" t="s">
        <v>330</v>
      </c>
    </row>
    <row r="1545" spans="9:15" x14ac:dyDescent="0.45">
      <c r="I1545"/>
      <c r="J1545"/>
      <c r="M1545" s="62" t="s">
        <v>3505</v>
      </c>
      <c r="N1545" s="63" t="s">
        <v>3506</v>
      </c>
      <c r="O1545" s="64" t="s">
        <v>480</v>
      </c>
    </row>
    <row r="1546" spans="9:15" x14ac:dyDescent="0.45">
      <c r="I1546"/>
      <c r="J1546"/>
      <c r="M1546" s="62" t="s">
        <v>3507</v>
      </c>
      <c r="N1546" s="63" t="s">
        <v>3508</v>
      </c>
      <c r="O1546" s="64" t="s">
        <v>330</v>
      </c>
    </row>
    <row r="1547" spans="9:15" x14ac:dyDescent="0.45">
      <c r="I1547"/>
      <c r="J1547"/>
      <c r="M1547" s="62" t="s">
        <v>3509</v>
      </c>
      <c r="N1547" s="63" t="s">
        <v>3510</v>
      </c>
      <c r="O1547" s="64" t="s">
        <v>625</v>
      </c>
    </row>
    <row r="1548" spans="9:15" x14ac:dyDescent="0.45">
      <c r="I1548"/>
      <c r="J1548"/>
      <c r="M1548" s="62" t="s">
        <v>3511</v>
      </c>
      <c r="N1548" s="63" t="s">
        <v>3512</v>
      </c>
      <c r="O1548" s="64" t="s">
        <v>330</v>
      </c>
    </row>
    <row r="1549" spans="9:15" x14ac:dyDescent="0.45">
      <c r="I1549"/>
      <c r="J1549"/>
      <c r="M1549" s="62" t="s">
        <v>3513</v>
      </c>
      <c r="N1549" s="63" t="s">
        <v>3514</v>
      </c>
      <c r="O1549" s="64" t="s">
        <v>330</v>
      </c>
    </row>
    <row r="1550" spans="9:15" x14ac:dyDescent="0.45">
      <c r="I1550"/>
      <c r="J1550"/>
      <c r="M1550" s="62" t="s">
        <v>3515</v>
      </c>
      <c r="N1550" s="63" t="s">
        <v>3516</v>
      </c>
      <c r="O1550" s="64" t="s">
        <v>330</v>
      </c>
    </row>
    <row r="1551" spans="9:15" x14ac:dyDescent="0.45">
      <c r="I1551"/>
      <c r="J1551"/>
      <c r="M1551" s="62" t="s">
        <v>3517</v>
      </c>
      <c r="N1551" s="63" t="s">
        <v>3518</v>
      </c>
      <c r="O1551" s="64" t="s">
        <v>324</v>
      </c>
    </row>
    <row r="1552" spans="9:15" x14ac:dyDescent="0.45">
      <c r="I1552"/>
      <c r="J1552"/>
      <c r="M1552" s="62" t="s">
        <v>3519</v>
      </c>
      <c r="N1552" s="63" t="s">
        <v>3520</v>
      </c>
      <c r="O1552" s="64" t="s">
        <v>330</v>
      </c>
    </row>
    <row r="1553" spans="9:15" x14ac:dyDescent="0.45">
      <c r="I1553"/>
      <c r="J1553"/>
      <c r="M1553" s="62" t="s">
        <v>3521</v>
      </c>
      <c r="N1553" s="63" t="s">
        <v>3522</v>
      </c>
      <c r="O1553" s="64" t="s">
        <v>453</v>
      </c>
    </row>
    <row r="1554" spans="9:15" x14ac:dyDescent="0.45">
      <c r="I1554"/>
      <c r="J1554"/>
      <c r="M1554" s="62" t="s">
        <v>3523</v>
      </c>
      <c r="N1554" s="63" t="s">
        <v>3524</v>
      </c>
      <c r="O1554" s="64" t="s">
        <v>330</v>
      </c>
    </row>
    <row r="1555" spans="9:15" x14ac:dyDescent="0.45">
      <c r="I1555"/>
      <c r="J1555"/>
      <c r="M1555" s="62" t="s">
        <v>3525</v>
      </c>
      <c r="N1555" s="63" t="s">
        <v>3526</v>
      </c>
      <c r="O1555" s="64" t="s">
        <v>425</v>
      </c>
    </row>
    <row r="1556" spans="9:15" x14ac:dyDescent="0.45">
      <c r="I1556"/>
      <c r="J1556"/>
      <c r="M1556" s="62" t="s">
        <v>3527</v>
      </c>
      <c r="N1556" s="63" t="s">
        <v>3528</v>
      </c>
      <c r="O1556" s="64" t="s">
        <v>330</v>
      </c>
    </row>
    <row r="1557" spans="9:15" x14ac:dyDescent="0.45">
      <c r="I1557"/>
      <c r="J1557"/>
      <c r="M1557" s="62" t="s">
        <v>3529</v>
      </c>
      <c r="N1557" s="63" t="s">
        <v>3530</v>
      </c>
      <c r="O1557" s="64" t="s">
        <v>318</v>
      </c>
    </row>
    <row r="1558" spans="9:15" x14ac:dyDescent="0.45">
      <c r="I1558"/>
      <c r="J1558"/>
      <c r="M1558" s="62" t="s">
        <v>3531</v>
      </c>
      <c r="N1558" s="63" t="s">
        <v>3532</v>
      </c>
      <c r="O1558" s="64" t="s">
        <v>330</v>
      </c>
    </row>
    <row r="1559" spans="9:15" x14ac:dyDescent="0.45">
      <c r="I1559"/>
      <c r="J1559"/>
      <c r="M1559" s="62" t="s">
        <v>3533</v>
      </c>
      <c r="N1559" s="63" t="s">
        <v>3534</v>
      </c>
      <c r="O1559" s="64" t="s">
        <v>321</v>
      </c>
    </row>
    <row r="1560" spans="9:15" x14ac:dyDescent="0.45">
      <c r="I1560"/>
      <c r="J1560"/>
      <c r="M1560" s="62" t="s">
        <v>3535</v>
      </c>
      <c r="N1560" s="63" t="s">
        <v>3536</v>
      </c>
      <c r="O1560" s="64" t="s">
        <v>321</v>
      </c>
    </row>
    <row r="1561" spans="9:15" x14ac:dyDescent="0.45">
      <c r="I1561"/>
      <c r="J1561"/>
      <c r="M1561" s="62" t="s">
        <v>3537</v>
      </c>
      <c r="N1561" s="63" t="s">
        <v>3538</v>
      </c>
      <c r="O1561" s="64" t="s">
        <v>330</v>
      </c>
    </row>
    <row r="1562" spans="9:15" x14ac:dyDescent="0.45">
      <c r="I1562"/>
      <c r="J1562"/>
      <c r="M1562" s="62" t="s">
        <v>3539</v>
      </c>
      <c r="N1562" s="63" t="s">
        <v>3540</v>
      </c>
      <c r="O1562" s="64" t="s">
        <v>1031</v>
      </c>
    </row>
    <row r="1563" spans="9:15" x14ac:dyDescent="0.45">
      <c r="I1563"/>
      <c r="J1563"/>
      <c r="M1563" s="62" t="s">
        <v>3541</v>
      </c>
      <c r="N1563" s="63" t="s">
        <v>3542</v>
      </c>
      <c r="O1563" s="64" t="s">
        <v>330</v>
      </c>
    </row>
    <row r="1564" spans="9:15" x14ac:dyDescent="0.45">
      <c r="I1564"/>
      <c r="J1564"/>
      <c r="M1564" s="62" t="s">
        <v>3543</v>
      </c>
      <c r="N1564" s="63" t="s">
        <v>3544</v>
      </c>
      <c r="O1564" s="64" t="s">
        <v>1237</v>
      </c>
    </row>
    <row r="1565" spans="9:15" x14ac:dyDescent="0.45">
      <c r="I1565"/>
      <c r="J1565"/>
      <c r="M1565" s="65" t="s">
        <v>3545</v>
      </c>
      <c r="N1565" s="66" t="s">
        <v>3546</v>
      </c>
      <c r="O1565" s="64" t="s">
        <v>330</v>
      </c>
    </row>
    <row r="1566" spans="9:15" x14ac:dyDescent="0.45">
      <c r="I1566"/>
      <c r="J1566"/>
      <c r="M1566" s="62" t="s">
        <v>3547</v>
      </c>
      <c r="N1566" s="63" t="s">
        <v>3548</v>
      </c>
      <c r="O1566" s="64" t="s">
        <v>330</v>
      </c>
    </row>
    <row r="1567" spans="9:15" x14ac:dyDescent="0.45">
      <c r="I1567"/>
      <c r="J1567"/>
      <c r="M1567" s="62" t="s">
        <v>3549</v>
      </c>
      <c r="N1567" s="63" t="s">
        <v>3550</v>
      </c>
      <c r="O1567" s="64" t="s">
        <v>330</v>
      </c>
    </row>
    <row r="1568" spans="9:15" x14ac:dyDescent="0.45">
      <c r="I1568"/>
      <c r="J1568"/>
      <c r="M1568" s="62" t="s">
        <v>3551</v>
      </c>
      <c r="N1568" s="63" t="s">
        <v>3552</v>
      </c>
      <c r="O1568" s="64" t="s">
        <v>344</v>
      </c>
    </row>
    <row r="1569" spans="9:15" x14ac:dyDescent="0.45">
      <c r="I1569"/>
      <c r="J1569"/>
      <c r="M1569" s="62" t="s">
        <v>3553</v>
      </c>
      <c r="N1569" s="63" t="s">
        <v>3554</v>
      </c>
      <c r="O1569" s="64" t="s">
        <v>327</v>
      </c>
    </row>
    <row r="1570" spans="9:15" x14ac:dyDescent="0.45">
      <c r="I1570"/>
      <c r="J1570"/>
      <c r="M1570" s="62" t="s">
        <v>3555</v>
      </c>
      <c r="N1570" s="63" t="s">
        <v>3556</v>
      </c>
      <c r="O1570" s="64" t="s">
        <v>321</v>
      </c>
    </row>
    <row r="1571" spans="9:15" x14ac:dyDescent="0.45">
      <c r="I1571"/>
      <c r="J1571"/>
      <c r="M1571" s="62" t="s">
        <v>3557</v>
      </c>
      <c r="N1571" s="63" t="s">
        <v>3558</v>
      </c>
      <c r="O1571" s="64" t="s">
        <v>330</v>
      </c>
    </row>
    <row r="1572" spans="9:15" x14ac:dyDescent="0.45">
      <c r="I1572"/>
      <c r="J1572"/>
      <c r="M1572" s="62" t="s">
        <v>3559</v>
      </c>
      <c r="N1572" s="63" t="s">
        <v>3560</v>
      </c>
      <c r="O1572" s="64" t="s">
        <v>521</v>
      </c>
    </row>
    <row r="1573" spans="9:15" x14ac:dyDescent="0.45">
      <c r="I1573"/>
      <c r="J1573"/>
      <c r="M1573" s="62" t="s">
        <v>3561</v>
      </c>
      <c r="N1573" s="63" t="s">
        <v>3562</v>
      </c>
      <c r="O1573" s="64" t="s">
        <v>417</v>
      </c>
    </row>
    <row r="1574" spans="9:15" x14ac:dyDescent="0.45">
      <c r="I1574"/>
      <c r="J1574"/>
      <c r="M1574" s="62" t="s">
        <v>3563</v>
      </c>
      <c r="N1574" s="63" t="s">
        <v>3564</v>
      </c>
      <c r="O1574" s="64" t="s">
        <v>330</v>
      </c>
    </row>
    <row r="1575" spans="9:15" x14ac:dyDescent="0.45">
      <c r="I1575"/>
      <c r="J1575"/>
      <c r="M1575" s="62" t="s">
        <v>3565</v>
      </c>
      <c r="N1575" s="63" t="s">
        <v>3566</v>
      </c>
      <c r="O1575" s="64" t="s">
        <v>330</v>
      </c>
    </row>
    <row r="1576" spans="9:15" x14ac:dyDescent="0.45">
      <c r="I1576"/>
      <c r="J1576"/>
      <c r="M1576" s="62" t="s">
        <v>3567</v>
      </c>
      <c r="N1576" s="63" t="s">
        <v>3568</v>
      </c>
      <c r="O1576" s="64" t="s">
        <v>344</v>
      </c>
    </row>
    <row r="1577" spans="9:15" x14ac:dyDescent="0.45">
      <c r="I1577"/>
      <c r="J1577"/>
      <c r="M1577" s="62" t="s">
        <v>3569</v>
      </c>
      <c r="N1577" s="63" t="s">
        <v>3570</v>
      </c>
      <c r="O1577" s="64" t="s">
        <v>330</v>
      </c>
    </row>
    <row r="1578" spans="9:15" x14ac:dyDescent="0.45">
      <c r="I1578"/>
      <c r="J1578"/>
      <c r="M1578" s="62" t="s">
        <v>3571</v>
      </c>
      <c r="N1578" s="63" t="s">
        <v>3572</v>
      </c>
      <c r="O1578" s="64" t="s">
        <v>330</v>
      </c>
    </row>
    <row r="1579" spans="9:15" x14ac:dyDescent="0.45">
      <c r="I1579"/>
      <c r="J1579"/>
      <c r="M1579" s="62" t="s">
        <v>3573</v>
      </c>
      <c r="N1579" s="63" t="s">
        <v>3574</v>
      </c>
      <c r="O1579" s="64" t="s">
        <v>849</v>
      </c>
    </row>
    <row r="1580" spans="9:15" x14ac:dyDescent="0.45">
      <c r="I1580"/>
      <c r="J1580"/>
      <c r="M1580" s="62" t="s">
        <v>3575</v>
      </c>
      <c r="N1580" s="63" t="s">
        <v>3576</v>
      </c>
      <c r="O1580" s="64" t="s">
        <v>330</v>
      </c>
    </row>
    <row r="1581" spans="9:15" x14ac:dyDescent="0.45">
      <c r="I1581"/>
      <c r="J1581"/>
      <c r="M1581" s="62" t="s">
        <v>3577</v>
      </c>
      <c r="N1581" s="63" t="s">
        <v>3578</v>
      </c>
      <c r="O1581" s="64" t="s">
        <v>359</v>
      </c>
    </row>
    <row r="1582" spans="9:15" x14ac:dyDescent="0.45">
      <c r="I1582"/>
      <c r="J1582"/>
      <c r="M1582" s="62" t="s">
        <v>3579</v>
      </c>
      <c r="N1582" s="63" t="s">
        <v>3580</v>
      </c>
      <c r="O1582" s="64" t="s">
        <v>330</v>
      </c>
    </row>
    <row r="1583" spans="9:15" x14ac:dyDescent="0.45">
      <c r="I1583"/>
      <c r="J1583"/>
      <c r="M1583" s="62" t="s">
        <v>3581</v>
      </c>
      <c r="N1583" s="63" t="s">
        <v>3582</v>
      </c>
      <c r="O1583" s="64" t="s">
        <v>330</v>
      </c>
    </row>
    <row r="1584" spans="9:15" x14ac:dyDescent="0.45">
      <c r="I1584"/>
      <c r="J1584"/>
      <c r="M1584" s="62" t="s">
        <v>3583</v>
      </c>
      <c r="N1584" s="63" t="s">
        <v>3584</v>
      </c>
      <c r="O1584" s="64" t="s">
        <v>330</v>
      </c>
    </row>
    <row r="1585" spans="9:15" x14ac:dyDescent="0.45">
      <c r="I1585"/>
      <c r="J1585"/>
      <c r="M1585" s="62" t="s">
        <v>3585</v>
      </c>
      <c r="N1585" s="63" t="s">
        <v>3586</v>
      </c>
      <c r="O1585" s="64" t="s">
        <v>344</v>
      </c>
    </row>
    <row r="1586" spans="9:15" x14ac:dyDescent="0.45">
      <c r="I1586"/>
      <c r="J1586"/>
      <c r="M1586" s="62" t="s">
        <v>3587</v>
      </c>
      <c r="N1586" s="63" t="s">
        <v>3588</v>
      </c>
      <c r="O1586" s="64" t="s">
        <v>330</v>
      </c>
    </row>
    <row r="1587" spans="9:15" x14ac:dyDescent="0.45">
      <c r="I1587"/>
      <c r="J1587"/>
      <c r="M1587" s="62" t="s">
        <v>3589</v>
      </c>
      <c r="N1587" s="63" t="s">
        <v>3590</v>
      </c>
      <c r="O1587" s="64" t="s">
        <v>330</v>
      </c>
    </row>
    <row r="1588" spans="9:15" x14ac:dyDescent="0.45">
      <c r="I1588"/>
      <c r="J1588"/>
      <c r="M1588" s="65" t="s">
        <v>3591</v>
      </c>
      <c r="N1588" s="66" t="s">
        <v>3592</v>
      </c>
      <c r="O1588" s="64" t="s">
        <v>330</v>
      </c>
    </row>
    <row r="1589" spans="9:15" x14ac:dyDescent="0.45">
      <c r="I1589"/>
      <c r="J1589"/>
      <c r="M1589" s="62" t="s">
        <v>3593</v>
      </c>
      <c r="N1589" s="63" t="s">
        <v>3594</v>
      </c>
      <c r="O1589" s="64" t="s">
        <v>425</v>
      </c>
    </row>
    <row r="1590" spans="9:15" x14ac:dyDescent="0.45">
      <c r="I1590"/>
      <c r="J1590"/>
      <c r="M1590" s="62" t="s">
        <v>3595</v>
      </c>
      <c r="N1590" s="63" t="s">
        <v>3596</v>
      </c>
      <c r="O1590" s="64" t="s">
        <v>330</v>
      </c>
    </row>
    <row r="1591" spans="9:15" x14ac:dyDescent="0.45">
      <c r="I1591"/>
      <c r="J1591"/>
      <c r="M1591" s="62" t="s">
        <v>3597</v>
      </c>
      <c r="N1591" s="63" t="s">
        <v>3598</v>
      </c>
      <c r="O1591" s="64" t="s">
        <v>330</v>
      </c>
    </row>
    <row r="1592" spans="9:15" x14ac:dyDescent="0.45">
      <c r="I1592"/>
      <c r="J1592"/>
      <c r="M1592" s="75" t="s">
        <v>3599</v>
      </c>
      <c r="N1592" s="76" t="s">
        <v>3600</v>
      </c>
      <c r="O1592" s="77" t="s">
        <v>330</v>
      </c>
    </row>
    <row r="1593" spans="9:15" x14ac:dyDescent="0.45">
      <c r="I1593"/>
      <c r="J1593"/>
      <c r="M1593" s="62" t="s">
        <v>3601</v>
      </c>
      <c r="N1593" s="63" t="s">
        <v>3602</v>
      </c>
      <c r="O1593" s="64" t="s">
        <v>318</v>
      </c>
    </row>
    <row r="1594" spans="9:15" x14ac:dyDescent="0.45">
      <c r="I1594"/>
      <c r="J1594"/>
      <c r="M1594" s="62" t="s">
        <v>3603</v>
      </c>
      <c r="N1594" s="63" t="s">
        <v>3604</v>
      </c>
      <c r="O1594" s="64" t="s">
        <v>359</v>
      </c>
    </row>
    <row r="1595" spans="9:15" x14ac:dyDescent="0.45">
      <c r="I1595"/>
      <c r="J1595"/>
      <c r="M1595" s="62" t="s">
        <v>3605</v>
      </c>
      <c r="N1595" s="63" t="s">
        <v>3606</v>
      </c>
      <c r="O1595" s="64" t="s">
        <v>344</v>
      </c>
    </row>
    <row r="1596" spans="9:15" x14ac:dyDescent="0.45">
      <c r="I1596"/>
      <c r="J1596"/>
      <c r="M1596" s="62" t="s">
        <v>3607</v>
      </c>
      <c r="N1596" s="63" t="s">
        <v>3608</v>
      </c>
      <c r="O1596" s="64" t="s">
        <v>318</v>
      </c>
    </row>
    <row r="1597" spans="9:15" x14ac:dyDescent="0.45">
      <c r="I1597"/>
      <c r="J1597"/>
      <c r="M1597" s="62" t="s">
        <v>3609</v>
      </c>
      <c r="N1597" s="63" t="s">
        <v>3610</v>
      </c>
      <c r="O1597" s="64" t="s">
        <v>330</v>
      </c>
    </row>
    <row r="1598" spans="9:15" x14ac:dyDescent="0.45">
      <c r="I1598"/>
      <c r="J1598"/>
      <c r="M1598" s="62" t="s">
        <v>3611</v>
      </c>
      <c r="N1598" s="63" t="s">
        <v>3612</v>
      </c>
      <c r="O1598" s="64" t="s">
        <v>403</v>
      </c>
    </row>
    <row r="1599" spans="9:15" x14ac:dyDescent="0.45">
      <c r="I1599"/>
      <c r="J1599"/>
      <c r="M1599" s="62" t="s">
        <v>3613</v>
      </c>
      <c r="N1599" s="63" t="s">
        <v>3614</v>
      </c>
      <c r="O1599" s="64" t="s">
        <v>330</v>
      </c>
    </row>
    <row r="1600" spans="9:15" x14ac:dyDescent="0.45">
      <c r="I1600"/>
      <c r="J1600"/>
      <c r="M1600" s="62" t="s">
        <v>3615</v>
      </c>
      <c r="N1600" s="63" t="s">
        <v>3616</v>
      </c>
      <c r="O1600" s="64" t="s">
        <v>330</v>
      </c>
    </row>
    <row r="1601" spans="9:15" x14ac:dyDescent="0.45">
      <c r="I1601"/>
      <c r="J1601"/>
      <c r="M1601" s="62" t="s">
        <v>3617</v>
      </c>
      <c r="N1601" s="63" t="s">
        <v>3618</v>
      </c>
      <c r="O1601" s="64" t="s">
        <v>321</v>
      </c>
    </row>
    <row r="1602" spans="9:15" x14ac:dyDescent="0.45">
      <c r="I1602"/>
      <c r="J1602"/>
      <c r="M1602" s="62" t="s">
        <v>3619</v>
      </c>
      <c r="N1602" s="63" t="s">
        <v>3620</v>
      </c>
      <c r="O1602" s="64" t="s">
        <v>327</v>
      </c>
    </row>
    <row r="1603" spans="9:15" x14ac:dyDescent="0.45">
      <c r="I1603"/>
      <c r="J1603"/>
      <c r="M1603" s="62" t="s">
        <v>3621</v>
      </c>
      <c r="N1603" s="63" t="s">
        <v>3622</v>
      </c>
      <c r="O1603" s="64" t="s">
        <v>359</v>
      </c>
    </row>
    <row r="1604" spans="9:15" x14ac:dyDescent="0.45">
      <c r="I1604"/>
      <c r="J1604"/>
      <c r="M1604" s="62" t="s">
        <v>3623</v>
      </c>
      <c r="N1604" s="63" t="s">
        <v>3624</v>
      </c>
      <c r="O1604" s="64" t="s">
        <v>330</v>
      </c>
    </row>
    <row r="1605" spans="9:15" x14ac:dyDescent="0.45">
      <c r="I1605"/>
      <c r="J1605"/>
      <c r="M1605" s="62" t="s">
        <v>3625</v>
      </c>
      <c r="N1605" s="63" t="s">
        <v>3626</v>
      </c>
      <c r="O1605" s="64" t="s">
        <v>330</v>
      </c>
    </row>
    <row r="1606" spans="9:15" x14ac:dyDescent="0.45">
      <c r="I1606"/>
      <c r="J1606"/>
      <c r="M1606" s="62" t="s">
        <v>3627</v>
      </c>
      <c r="N1606" s="63" t="s">
        <v>3628</v>
      </c>
      <c r="O1606" s="64" t="s">
        <v>359</v>
      </c>
    </row>
    <row r="1607" spans="9:15" x14ac:dyDescent="0.45">
      <c r="I1607"/>
      <c r="J1607"/>
      <c r="M1607" s="62" t="s">
        <v>3629</v>
      </c>
      <c r="N1607" s="63" t="s">
        <v>3630</v>
      </c>
      <c r="O1607" s="64" t="s">
        <v>515</v>
      </c>
    </row>
    <row r="1608" spans="9:15" x14ac:dyDescent="0.45">
      <c r="I1608"/>
      <c r="J1608"/>
      <c r="M1608" s="65" t="s">
        <v>3631</v>
      </c>
      <c r="N1608" s="66" t="s">
        <v>3632</v>
      </c>
      <c r="O1608" s="64" t="s">
        <v>480</v>
      </c>
    </row>
    <row r="1609" spans="9:15" x14ac:dyDescent="0.45">
      <c r="I1609"/>
      <c r="J1609"/>
      <c r="M1609" s="62" t="s">
        <v>3633</v>
      </c>
      <c r="N1609" s="63" t="s">
        <v>3634</v>
      </c>
      <c r="O1609" s="64" t="s">
        <v>330</v>
      </c>
    </row>
    <row r="1610" spans="9:15" x14ac:dyDescent="0.45">
      <c r="I1610"/>
      <c r="J1610"/>
      <c r="M1610" s="62" t="s">
        <v>3635</v>
      </c>
      <c r="N1610" s="63" t="s">
        <v>3636</v>
      </c>
      <c r="O1610" s="64" t="s">
        <v>327</v>
      </c>
    </row>
    <row r="1611" spans="9:15" x14ac:dyDescent="0.45">
      <c r="I1611"/>
      <c r="J1611"/>
      <c r="M1611" s="62" t="s">
        <v>3637</v>
      </c>
      <c r="N1611" s="63" t="s">
        <v>3638</v>
      </c>
      <c r="O1611" s="64" t="s">
        <v>691</v>
      </c>
    </row>
    <row r="1612" spans="9:15" x14ac:dyDescent="0.45">
      <c r="I1612"/>
      <c r="J1612"/>
      <c r="M1612" s="62" t="s">
        <v>3639</v>
      </c>
      <c r="N1612" s="63" t="s">
        <v>3640</v>
      </c>
      <c r="O1612" s="64" t="s">
        <v>344</v>
      </c>
    </row>
    <row r="1613" spans="9:15" x14ac:dyDescent="0.45">
      <c r="I1613"/>
      <c r="J1613"/>
      <c r="M1613" s="62" t="s">
        <v>3641</v>
      </c>
      <c r="N1613" s="63" t="s">
        <v>3642</v>
      </c>
      <c r="O1613" s="64" t="s">
        <v>330</v>
      </c>
    </row>
    <row r="1614" spans="9:15" x14ac:dyDescent="0.45">
      <c r="I1614"/>
      <c r="J1614"/>
      <c r="M1614" s="62" t="s">
        <v>3643</v>
      </c>
      <c r="N1614" s="63" t="s">
        <v>3644</v>
      </c>
      <c r="O1614" s="64" t="s">
        <v>318</v>
      </c>
    </row>
    <row r="1615" spans="9:15" x14ac:dyDescent="0.45">
      <c r="I1615"/>
      <c r="J1615"/>
      <c r="M1615" s="62" t="s">
        <v>3645</v>
      </c>
      <c r="N1615" s="63" t="s">
        <v>3646</v>
      </c>
      <c r="O1615" s="64" t="s">
        <v>341</v>
      </c>
    </row>
    <row r="1616" spans="9:15" x14ac:dyDescent="0.45">
      <c r="I1616"/>
      <c r="J1616"/>
      <c r="M1616" s="62" t="s">
        <v>3647</v>
      </c>
      <c r="N1616" s="63" t="s">
        <v>3648</v>
      </c>
      <c r="O1616" s="64" t="s">
        <v>330</v>
      </c>
    </row>
    <row r="1617" spans="9:15" x14ac:dyDescent="0.45">
      <c r="I1617"/>
      <c r="J1617"/>
      <c r="M1617" s="62" t="s">
        <v>3649</v>
      </c>
      <c r="N1617" s="63" t="s">
        <v>3650</v>
      </c>
      <c r="O1617" s="64" t="s">
        <v>625</v>
      </c>
    </row>
    <row r="1618" spans="9:15" x14ac:dyDescent="0.45">
      <c r="I1618"/>
      <c r="J1618"/>
      <c r="M1618" s="62" t="s">
        <v>3651</v>
      </c>
      <c r="N1618" s="72" t="s">
        <v>3652</v>
      </c>
      <c r="O1618" s="64" t="s">
        <v>330</v>
      </c>
    </row>
    <row r="1619" spans="9:15" x14ac:dyDescent="0.45">
      <c r="I1619"/>
      <c r="J1619"/>
      <c r="M1619" s="62" t="s">
        <v>3653</v>
      </c>
      <c r="N1619" s="63" t="s">
        <v>3654</v>
      </c>
      <c r="O1619" s="64" t="s">
        <v>344</v>
      </c>
    </row>
    <row r="1620" spans="9:15" x14ac:dyDescent="0.45">
      <c r="I1620"/>
      <c r="J1620"/>
      <c r="M1620" s="62" t="s">
        <v>3655</v>
      </c>
      <c r="N1620" s="63" t="s">
        <v>3656</v>
      </c>
      <c r="O1620" s="64" t="s">
        <v>327</v>
      </c>
    </row>
    <row r="1621" spans="9:15" x14ac:dyDescent="0.45">
      <c r="I1621"/>
      <c r="J1621"/>
      <c r="M1621" s="62" t="s">
        <v>3657</v>
      </c>
      <c r="N1621" s="63" t="s">
        <v>3658</v>
      </c>
      <c r="O1621" s="64" t="s">
        <v>327</v>
      </c>
    </row>
    <row r="1622" spans="9:15" x14ac:dyDescent="0.45">
      <c r="I1622"/>
      <c r="J1622"/>
      <c r="M1622" s="62" t="s">
        <v>3659</v>
      </c>
      <c r="N1622" s="63" t="s">
        <v>3660</v>
      </c>
      <c r="O1622" s="64" t="s">
        <v>318</v>
      </c>
    </row>
    <row r="1623" spans="9:15" x14ac:dyDescent="0.45">
      <c r="I1623"/>
      <c r="J1623"/>
      <c r="M1623" s="62" t="s">
        <v>3661</v>
      </c>
      <c r="N1623" s="63" t="s">
        <v>3662</v>
      </c>
      <c r="O1623" s="64" t="s">
        <v>3663</v>
      </c>
    </row>
    <row r="1624" spans="9:15" x14ac:dyDescent="0.45">
      <c r="I1624"/>
      <c r="J1624"/>
      <c r="M1624" s="62" t="s">
        <v>3664</v>
      </c>
      <c r="N1624" s="63" t="s">
        <v>3665</v>
      </c>
      <c r="O1624" s="64" t="s">
        <v>324</v>
      </c>
    </row>
    <row r="1625" spans="9:15" x14ac:dyDescent="0.45">
      <c r="I1625"/>
      <c r="J1625"/>
      <c r="M1625" s="62" t="s">
        <v>3666</v>
      </c>
      <c r="N1625" s="63" t="s">
        <v>3667</v>
      </c>
      <c r="O1625" s="64" t="s">
        <v>330</v>
      </c>
    </row>
    <row r="1626" spans="9:15" x14ac:dyDescent="0.45">
      <c r="I1626"/>
      <c r="J1626"/>
      <c r="M1626" s="62" t="s">
        <v>3668</v>
      </c>
      <c r="N1626" s="63" t="s">
        <v>3669</v>
      </c>
      <c r="O1626" s="64" t="s">
        <v>330</v>
      </c>
    </row>
    <row r="1627" spans="9:15" x14ac:dyDescent="0.45">
      <c r="I1627"/>
      <c r="J1627"/>
      <c r="M1627" s="62" t="s">
        <v>3670</v>
      </c>
      <c r="N1627" s="63" t="s">
        <v>3671</v>
      </c>
      <c r="O1627" s="64" t="s">
        <v>1104</v>
      </c>
    </row>
    <row r="1628" spans="9:15" x14ac:dyDescent="0.45">
      <c r="I1628"/>
      <c r="J1628"/>
      <c r="M1628" s="62" t="s">
        <v>3672</v>
      </c>
      <c r="N1628" s="63" t="s">
        <v>3673</v>
      </c>
      <c r="O1628" s="64" t="s">
        <v>417</v>
      </c>
    </row>
    <row r="1629" spans="9:15" x14ac:dyDescent="0.45">
      <c r="I1629"/>
      <c r="J1629"/>
      <c r="M1629" s="62" t="s">
        <v>3674</v>
      </c>
      <c r="N1629" s="63" t="s">
        <v>3675</v>
      </c>
      <c r="O1629" s="64" t="s">
        <v>1860</v>
      </c>
    </row>
    <row r="1630" spans="9:15" x14ac:dyDescent="0.45">
      <c r="I1630"/>
      <c r="J1630"/>
      <c r="M1630" s="62" t="s">
        <v>3676</v>
      </c>
      <c r="N1630" s="63" t="s">
        <v>3677</v>
      </c>
      <c r="O1630" s="64" t="s">
        <v>425</v>
      </c>
    </row>
    <row r="1631" spans="9:15" x14ac:dyDescent="0.45">
      <c r="I1631"/>
      <c r="J1631"/>
      <c r="M1631" s="62" t="s">
        <v>3678</v>
      </c>
      <c r="N1631" s="63" t="s">
        <v>3679</v>
      </c>
      <c r="O1631" s="64" t="s">
        <v>330</v>
      </c>
    </row>
    <row r="1632" spans="9:15" x14ac:dyDescent="0.45">
      <c r="I1632"/>
      <c r="J1632"/>
      <c r="M1632" s="62" t="s">
        <v>3680</v>
      </c>
      <c r="N1632" s="63" t="s">
        <v>3681</v>
      </c>
      <c r="O1632" s="64" t="s">
        <v>330</v>
      </c>
    </row>
    <row r="1633" spans="9:15" x14ac:dyDescent="0.45">
      <c r="I1633"/>
      <c r="J1633"/>
      <c r="M1633" s="62" t="s">
        <v>3682</v>
      </c>
      <c r="N1633" s="63" t="s">
        <v>3683</v>
      </c>
      <c r="O1633" s="64" t="s">
        <v>344</v>
      </c>
    </row>
    <row r="1634" spans="9:15" x14ac:dyDescent="0.45">
      <c r="I1634"/>
      <c r="J1634"/>
      <c r="M1634" s="62" t="s">
        <v>3684</v>
      </c>
      <c r="N1634" s="63" t="s">
        <v>3685</v>
      </c>
      <c r="O1634" s="64" t="s">
        <v>330</v>
      </c>
    </row>
    <row r="1635" spans="9:15" x14ac:dyDescent="0.45">
      <c r="I1635"/>
      <c r="J1635"/>
      <c r="M1635" s="62" t="s">
        <v>3686</v>
      </c>
      <c r="N1635" s="63" t="s">
        <v>3687</v>
      </c>
      <c r="O1635" s="64" t="s">
        <v>632</v>
      </c>
    </row>
    <row r="1636" spans="9:15" x14ac:dyDescent="0.45">
      <c r="I1636"/>
      <c r="J1636"/>
      <c r="M1636" s="62" t="s">
        <v>3688</v>
      </c>
      <c r="N1636" s="63" t="s">
        <v>3689</v>
      </c>
      <c r="O1636" s="64" t="s">
        <v>318</v>
      </c>
    </row>
    <row r="1637" spans="9:15" x14ac:dyDescent="0.45">
      <c r="I1637"/>
      <c r="J1637"/>
      <c r="M1637" s="62" t="s">
        <v>3690</v>
      </c>
      <c r="N1637" s="63" t="s">
        <v>3691</v>
      </c>
      <c r="O1637" s="64" t="s">
        <v>327</v>
      </c>
    </row>
    <row r="1638" spans="9:15" x14ac:dyDescent="0.45">
      <c r="I1638"/>
      <c r="J1638"/>
      <c r="M1638" s="62" t="s">
        <v>3692</v>
      </c>
      <c r="N1638" s="63" t="s">
        <v>3693</v>
      </c>
      <c r="O1638" s="64" t="s">
        <v>330</v>
      </c>
    </row>
    <row r="1639" spans="9:15" x14ac:dyDescent="0.45">
      <c r="I1639"/>
      <c r="J1639"/>
      <c r="M1639" s="62" t="s">
        <v>3694</v>
      </c>
      <c r="N1639" s="63" t="s">
        <v>3695</v>
      </c>
      <c r="O1639" s="64" t="s">
        <v>417</v>
      </c>
    </row>
    <row r="1640" spans="9:15" x14ac:dyDescent="0.45">
      <c r="I1640"/>
      <c r="J1640"/>
      <c r="M1640" s="62" t="s">
        <v>3696</v>
      </c>
      <c r="N1640" s="63" t="s">
        <v>3697</v>
      </c>
      <c r="O1640" s="64" t="s">
        <v>330</v>
      </c>
    </row>
    <row r="1641" spans="9:15" x14ac:dyDescent="0.45">
      <c r="I1641"/>
      <c r="J1641"/>
      <c r="M1641" s="62" t="s">
        <v>3698</v>
      </c>
      <c r="N1641" s="63" t="s">
        <v>3699</v>
      </c>
      <c r="O1641" s="64" t="s">
        <v>330</v>
      </c>
    </row>
    <row r="1642" spans="9:15" x14ac:dyDescent="0.45">
      <c r="I1642"/>
      <c r="J1642"/>
      <c r="M1642" s="62" t="s">
        <v>3700</v>
      </c>
      <c r="N1642" s="63" t="s">
        <v>3701</v>
      </c>
      <c r="O1642" s="64" t="s">
        <v>330</v>
      </c>
    </row>
    <row r="1643" spans="9:15" x14ac:dyDescent="0.45">
      <c r="I1643"/>
      <c r="J1643"/>
      <c r="M1643" s="62" t="s">
        <v>3702</v>
      </c>
      <c r="N1643" s="63" t="s">
        <v>3703</v>
      </c>
      <c r="O1643" s="64" t="s">
        <v>330</v>
      </c>
    </row>
    <row r="1644" spans="9:15" x14ac:dyDescent="0.45">
      <c r="I1644"/>
      <c r="J1644"/>
      <c r="M1644" s="62" t="s">
        <v>3704</v>
      </c>
      <c r="N1644" s="63" t="s">
        <v>3705</v>
      </c>
      <c r="O1644" s="64" t="s">
        <v>330</v>
      </c>
    </row>
    <row r="1645" spans="9:15" x14ac:dyDescent="0.45">
      <c r="I1645"/>
      <c r="J1645"/>
      <c r="M1645" s="62" t="s">
        <v>3706</v>
      </c>
      <c r="N1645" s="63" t="s">
        <v>3707</v>
      </c>
      <c r="O1645" s="64" t="s">
        <v>318</v>
      </c>
    </row>
    <row r="1646" spans="9:15" x14ac:dyDescent="0.45">
      <c r="I1646"/>
      <c r="J1646"/>
      <c r="M1646" s="62" t="s">
        <v>3708</v>
      </c>
      <c r="N1646" s="63" t="s">
        <v>3709</v>
      </c>
      <c r="O1646" s="64" t="s">
        <v>344</v>
      </c>
    </row>
    <row r="1647" spans="9:15" x14ac:dyDescent="0.45">
      <c r="I1647"/>
      <c r="J1647"/>
      <c r="M1647" s="62" t="s">
        <v>3710</v>
      </c>
      <c r="N1647" s="63" t="s">
        <v>3711</v>
      </c>
      <c r="O1647" s="64" t="s">
        <v>330</v>
      </c>
    </row>
    <row r="1648" spans="9:15" x14ac:dyDescent="0.45">
      <c r="I1648"/>
      <c r="J1648"/>
      <c r="M1648" s="62" t="s">
        <v>3712</v>
      </c>
      <c r="N1648" s="63" t="s">
        <v>3713</v>
      </c>
      <c r="O1648" s="64" t="s">
        <v>330</v>
      </c>
    </row>
    <row r="1649" spans="9:15" x14ac:dyDescent="0.45">
      <c r="I1649"/>
      <c r="J1649"/>
      <c r="M1649" s="62" t="s">
        <v>3714</v>
      </c>
      <c r="N1649" s="63" t="s">
        <v>3715</v>
      </c>
      <c r="O1649" s="64" t="s">
        <v>341</v>
      </c>
    </row>
    <row r="1650" spans="9:15" x14ac:dyDescent="0.45">
      <c r="I1650"/>
      <c r="J1650"/>
      <c r="M1650" s="62" t="s">
        <v>3716</v>
      </c>
      <c r="N1650" s="63" t="s">
        <v>3717</v>
      </c>
      <c r="O1650" s="64" t="s">
        <v>453</v>
      </c>
    </row>
    <row r="1651" spans="9:15" x14ac:dyDescent="0.45">
      <c r="I1651"/>
      <c r="J1651"/>
      <c r="M1651" s="62" t="s">
        <v>3718</v>
      </c>
      <c r="N1651" s="63" t="s">
        <v>3719</v>
      </c>
      <c r="O1651" s="64" t="s">
        <v>327</v>
      </c>
    </row>
    <row r="1652" spans="9:15" x14ac:dyDescent="0.45">
      <c r="I1652"/>
      <c r="J1652"/>
      <c r="M1652" s="62" t="s">
        <v>3720</v>
      </c>
      <c r="N1652" s="63" t="s">
        <v>3721</v>
      </c>
      <c r="O1652" s="64" t="s">
        <v>632</v>
      </c>
    </row>
    <row r="1653" spans="9:15" x14ac:dyDescent="0.45">
      <c r="I1653"/>
      <c r="J1653"/>
      <c r="M1653" s="62" t="s">
        <v>3722</v>
      </c>
      <c r="N1653" s="63" t="s">
        <v>3723</v>
      </c>
      <c r="O1653" s="64" t="s">
        <v>532</v>
      </c>
    </row>
    <row r="1654" spans="9:15" x14ac:dyDescent="0.45">
      <c r="I1654"/>
      <c r="J1654"/>
      <c r="M1654" s="62" t="s">
        <v>3724</v>
      </c>
      <c r="N1654" s="63" t="s">
        <v>3725</v>
      </c>
      <c r="O1654" s="64" t="s">
        <v>509</v>
      </c>
    </row>
    <row r="1655" spans="9:15" x14ac:dyDescent="0.45">
      <c r="I1655"/>
      <c r="J1655"/>
      <c r="M1655" s="62" t="s">
        <v>3726</v>
      </c>
      <c r="N1655" s="63" t="s">
        <v>3727</v>
      </c>
      <c r="O1655" s="64" t="s">
        <v>321</v>
      </c>
    </row>
    <row r="1656" spans="9:15" x14ac:dyDescent="0.45">
      <c r="I1656"/>
      <c r="J1656"/>
      <c r="M1656" s="62" t="s">
        <v>3728</v>
      </c>
      <c r="N1656" s="63" t="s">
        <v>3729</v>
      </c>
      <c r="O1656" s="64" t="s">
        <v>330</v>
      </c>
    </row>
    <row r="1657" spans="9:15" x14ac:dyDescent="0.45">
      <c r="I1657"/>
      <c r="J1657"/>
      <c r="M1657" s="62" t="s">
        <v>3730</v>
      </c>
      <c r="N1657" s="63" t="s">
        <v>3731</v>
      </c>
      <c r="O1657" s="64" t="s">
        <v>509</v>
      </c>
    </row>
    <row r="1658" spans="9:15" x14ac:dyDescent="0.45">
      <c r="I1658"/>
      <c r="J1658"/>
      <c r="M1658" s="62" t="s">
        <v>3732</v>
      </c>
      <c r="N1658" s="63" t="s">
        <v>3733</v>
      </c>
      <c r="O1658" s="64" t="s">
        <v>330</v>
      </c>
    </row>
    <row r="1659" spans="9:15" x14ac:dyDescent="0.45">
      <c r="I1659"/>
      <c r="J1659"/>
      <c r="M1659" s="62" t="s">
        <v>3734</v>
      </c>
      <c r="N1659" s="63" t="s">
        <v>3735</v>
      </c>
      <c r="O1659" s="64" t="s">
        <v>324</v>
      </c>
    </row>
    <row r="1660" spans="9:15" x14ac:dyDescent="0.45">
      <c r="I1660"/>
      <c r="J1660"/>
      <c r="M1660" s="62" t="s">
        <v>3736</v>
      </c>
      <c r="N1660" s="63" t="s">
        <v>3737</v>
      </c>
      <c r="O1660" s="64" t="s">
        <v>596</v>
      </c>
    </row>
    <row r="1661" spans="9:15" x14ac:dyDescent="0.45">
      <c r="I1661"/>
      <c r="J1661"/>
      <c r="M1661" s="62" t="s">
        <v>3738</v>
      </c>
      <c r="N1661" s="63" t="s">
        <v>3739</v>
      </c>
      <c r="O1661" s="64" t="s">
        <v>330</v>
      </c>
    </row>
    <row r="1662" spans="9:15" x14ac:dyDescent="0.45">
      <c r="I1662"/>
      <c r="J1662"/>
      <c r="M1662" s="62" t="s">
        <v>3740</v>
      </c>
      <c r="N1662" s="63" t="s">
        <v>3741</v>
      </c>
      <c r="O1662" s="64" t="s">
        <v>3663</v>
      </c>
    </row>
    <row r="1663" spans="9:15" x14ac:dyDescent="0.45">
      <c r="I1663"/>
      <c r="J1663"/>
      <c r="M1663" s="62" t="s">
        <v>3742</v>
      </c>
      <c r="N1663" s="63" t="s">
        <v>3743</v>
      </c>
      <c r="O1663" s="64" t="s">
        <v>330</v>
      </c>
    </row>
    <row r="1664" spans="9:15" x14ac:dyDescent="0.45">
      <c r="I1664"/>
      <c r="J1664"/>
      <c r="M1664" s="62" t="s">
        <v>3744</v>
      </c>
      <c r="N1664" s="63" t="s">
        <v>3745</v>
      </c>
      <c r="O1664" s="64" t="s">
        <v>359</v>
      </c>
    </row>
    <row r="1665" spans="9:15" x14ac:dyDescent="0.45">
      <c r="I1665"/>
      <c r="J1665"/>
      <c r="M1665" s="62" t="s">
        <v>3746</v>
      </c>
      <c r="N1665" s="63" t="s">
        <v>3747</v>
      </c>
      <c r="O1665" s="64" t="s">
        <v>453</v>
      </c>
    </row>
    <row r="1666" spans="9:15" x14ac:dyDescent="0.45">
      <c r="I1666"/>
      <c r="J1666"/>
      <c r="M1666" s="62" t="s">
        <v>3748</v>
      </c>
      <c r="N1666" s="63" t="s">
        <v>3749</v>
      </c>
      <c r="O1666" s="64" t="s">
        <v>632</v>
      </c>
    </row>
    <row r="1667" spans="9:15" x14ac:dyDescent="0.45">
      <c r="I1667"/>
      <c r="J1667"/>
      <c r="M1667" s="62" t="s">
        <v>3750</v>
      </c>
      <c r="N1667" s="63" t="s">
        <v>3751</v>
      </c>
      <c r="O1667" s="64" t="s">
        <v>330</v>
      </c>
    </row>
    <row r="1668" spans="9:15" x14ac:dyDescent="0.45">
      <c r="I1668"/>
      <c r="J1668"/>
      <c r="M1668" s="62" t="s">
        <v>3752</v>
      </c>
      <c r="N1668" s="63" t="s">
        <v>3753</v>
      </c>
      <c r="O1668" s="64" t="s">
        <v>333</v>
      </c>
    </row>
    <row r="1669" spans="9:15" x14ac:dyDescent="0.45">
      <c r="I1669"/>
      <c r="J1669"/>
      <c r="M1669" s="62" t="s">
        <v>3754</v>
      </c>
      <c r="N1669" s="63" t="s">
        <v>3755</v>
      </c>
      <c r="O1669" s="64" t="s">
        <v>330</v>
      </c>
    </row>
    <row r="1670" spans="9:15" x14ac:dyDescent="0.45">
      <c r="I1670"/>
      <c r="J1670"/>
      <c r="M1670" s="62" t="s">
        <v>3756</v>
      </c>
      <c r="N1670" s="63" t="s">
        <v>3757</v>
      </c>
      <c r="O1670" s="64" t="s">
        <v>330</v>
      </c>
    </row>
    <row r="1671" spans="9:15" x14ac:dyDescent="0.45">
      <c r="I1671"/>
      <c r="J1671"/>
      <c r="M1671" s="62" t="s">
        <v>3758</v>
      </c>
      <c r="N1671" s="63" t="s">
        <v>3759</v>
      </c>
      <c r="O1671" s="64" t="s">
        <v>318</v>
      </c>
    </row>
    <row r="1672" spans="9:15" x14ac:dyDescent="0.45">
      <c r="I1672"/>
      <c r="J1672"/>
      <c r="M1672" s="62" t="s">
        <v>3760</v>
      </c>
      <c r="N1672" s="63" t="s">
        <v>3761</v>
      </c>
      <c r="O1672" s="64" t="s">
        <v>327</v>
      </c>
    </row>
    <row r="1673" spans="9:15" x14ac:dyDescent="0.45">
      <c r="I1673"/>
      <c r="J1673"/>
      <c r="M1673" s="62" t="s">
        <v>3762</v>
      </c>
      <c r="N1673" s="63" t="s">
        <v>3763</v>
      </c>
      <c r="O1673" s="64" t="s">
        <v>632</v>
      </c>
    </row>
    <row r="1674" spans="9:15" x14ac:dyDescent="0.45">
      <c r="I1674"/>
      <c r="J1674"/>
      <c r="M1674" s="62" t="s">
        <v>3764</v>
      </c>
      <c r="N1674" s="63" t="s">
        <v>3765</v>
      </c>
      <c r="O1674" s="64" t="s">
        <v>330</v>
      </c>
    </row>
    <row r="1675" spans="9:15" x14ac:dyDescent="0.45">
      <c r="I1675"/>
      <c r="J1675"/>
      <c r="M1675" s="62" t="s">
        <v>3766</v>
      </c>
      <c r="N1675" s="63" t="s">
        <v>3767</v>
      </c>
      <c r="O1675" s="64" t="s">
        <v>330</v>
      </c>
    </row>
    <row r="1676" spans="9:15" x14ac:dyDescent="0.45">
      <c r="I1676"/>
      <c r="J1676"/>
      <c r="M1676" s="62" t="s">
        <v>3768</v>
      </c>
      <c r="N1676" s="63" t="s">
        <v>3769</v>
      </c>
      <c r="O1676" s="64" t="s">
        <v>1008</v>
      </c>
    </row>
    <row r="1677" spans="9:15" x14ac:dyDescent="0.45">
      <c r="I1677"/>
      <c r="J1677"/>
      <c r="M1677" s="62" t="s">
        <v>3770</v>
      </c>
      <c r="N1677" s="63" t="s">
        <v>3771</v>
      </c>
      <c r="O1677" s="64" t="s">
        <v>330</v>
      </c>
    </row>
    <row r="1678" spans="9:15" x14ac:dyDescent="0.45">
      <c r="I1678"/>
      <c r="J1678"/>
      <c r="M1678" s="62" t="s">
        <v>3772</v>
      </c>
      <c r="N1678" s="63" t="s">
        <v>3773</v>
      </c>
      <c r="O1678" s="64" t="s">
        <v>341</v>
      </c>
    </row>
    <row r="1679" spans="9:15" x14ac:dyDescent="0.45">
      <c r="I1679"/>
      <c r="J1679"/>
      <c r="M1679" s="62" t="s">
        <v>3774</v>
      </c>
      <c r="N1679" s="63" t="s">
        <v>3775</v>
      </c>
      <c r="O1679" s="64" t="s">
        <v>425</v>
      </c>
    </row>
    <row r="1680" spans="9:15" x14ac:dyDescent="0.45">
      <c r="I1680"/>
      <c r="J1680"/>
      <c r="M1680" s="62" t="s">
        <v>3776</v>
      </c>
      <c r="N1680" s="63" t="s">
        <v>3777</v>
      </c>
      <c r="O1680" s="64" t="s">
        <v>330</v>
      </c>
    </row>
    <row r="1681" spans="9:15" x14ac:dyDescent="0.45">
      <c r="I1681"/>
      <c r="J1681"/>
      <c r="M1681" s="62" t="s">
        <v>3778</v>
      </c>
      <c r="N1681" s="63" t="s">
        <v>3779</v>
      </c>
      <c r="O1681" s="64" t="s">
        <v>330</v>
      </c>
    </row>
    <row r="1682" spans="9:15" x14ac:dyDescent="0.45">
      <c r="I1682"/>
      <c r="J1682"/>
      <c r="M1682" s="62" t="s">
        <v>3780</v>
      </c>
      <c r="N1682" s="63" t="s">
        <v>3781</v>
      </c>
      <c r="O1682" s="64" t="s">
        <v>625</v>
      </c>
    </row>
    <row r="1683" spans="9:15" x14ac:dyDescent="0.45">
      <c r="I1683"/>
      <c r="J1683"/>
      <c r="M1683" s="62" t="s">
        <v>3782</v>
      </c>
      <c r="N1683" s="63" t="s">
        <v>3783</v>
      </c>
      <c r="O1683" s="64" t="s">
        <v>632</v>
      </c>
    </row>
    <row r="1684" spans="9:15" x14ac:dyDescent="0.45">
      <c r="I1684"/>
      <c r="J1684"/>
      <c r="M1684" s="71" t="s">
        <v>3784</v>
      </c>
      <c r="N1684" s="72" t="s">
        <v>3785</v>
      </c>
      <c r="O1684" s="64" t="s">
        <v>330</v>
      </c>
    </row>
    <row r="1685" spans="9:15" x14ac:dyDescent="0.45">
      <c r="I1685"/>
      <c r="J1685"/>
      <c r="M1685" s="62" t="s">
        <v>3786</v>
      </c>
      <c r="N1685" s="63" t="s">
        <v>3787</v>
      </c>
      <c r="O1685" s="64" t="s">
        <v>632</v>
      </c>
    </row>
    <row r="1686" spans="9:15" x14ac:dyDescent="0.45">
      <c r="I1686"/>
      <c r="J1686"/>
      <c r="M1686" s="62" t="s">
        <v>3788</v>
      </c>
      <c r="N1686" s="63" t="s">
        <v>3789</v>
      </c>
      <c r="O1686" s="64" t="s">
        <v>515</v>
      </c>
    </row>
    <row r="1687" spans="9:15" x14ac:dyDescent="0.45">
      <c r="I1687"/>
      <c r="J1687"/>
      <c r="M1687" s="62" t="s">
        <v>3790</v>
      </c>
      <c r="N1687" s="63" t="s">
        <v>3791</v>
      </c>
      <c r="O1687" s="64" t="s">
        <v>321</v>
      </c>
    </row>
    <row r="1688" spans="9:15" x14ac:dyDescent="0.45">
      <c r="I1688"/>
      <c r="J1688"/>
      <c r="M1688" s="62" t="s">
        <v>3792</v>
      </c>
      <c r="N1688" s="63" t="s">
        <v>3793</v>
      </c>
      <c r="O1688" s="64" t="s">
        <v>330</v>
      </c>
    </row>
    <row r="1689" spans="9:15" x14ac:dyDescent="0.45">
      <c r="I1689"/>
      <c r="J1689"/>
      <c r="M1689" s="62" t="s">
        <v>3794</v>
      </c>
      <c r="N1689" s="63" t="s">
        <v>3795</v>
      </c>
      <c r="O1689" s="64" t="s">
        <v>723</v>
      </c>
    </row>
    <row r="1690" spans="9:15" x14ac:dyDescent="0.45">
      <c r="I1690"/>
      <c r="J1690"/>
      <c r="M1690" s="62" t="s">
        <v>3796</v>
      </c>
      <c r="N1690" s="63" t="s">
        <v>3797</v>
      </c>
      <c r="O1690" s="64" t="s">
        <v>330</v>
      </c>
    </row>
    <row r="1691" spans="9:15" x14ac:dyDescent="0.45">
      <c r="I1691"/>
      <c r="J1691"/>
      <c r="M1691" s="62" t="s">
        <v>3798</v>
      </c>
      <c r="N1691" s="63" t="s">
        <v>3799</v>
      </c>
      <c r="O1691" s="64" t="s">
        <v>330</v>
      </c>
    </row>
    <row r="1692" spans="9:15" x14ac:dyDescent="0.45">
      <c r="I1692"/>
      <c r="J1692"/>
      <c r="M1692" s="62" t="s">
        <v>3800</v>
      </c>
      <c r="N1692" s="63" t="s">
        <v>3801</v>
      </c>
      <c r="O1692" s="64" t="s">
        <v>327</v>
      </c>
    </row>
    <row r="1693" spans="9:15" x14ac:dyDescent="0.45">
      <c r="I1693"/>
      <c r="J1693"/>
      <c r="M1693" s="62" t="s">
        <v>3802</v>
      </c>
      <c r="N1693" s="63" t="s">
        <v>3803</v>
      </c>
      <c r="O1693" s="64" t="s">
        <v>330</v>
      </c>
    </row>
    <row r="1694" spans="9:15" x14ac:dyDescent="0.45">
      <c r="I1694"/>
      <c r="J1694"/>
      <c r="M1694" s="62" t="s">
        <v>3804</v>
      </c>
      <c r="N1694" s="63" t="s">
        <v>3805</v>
      </c>
      <c r="O1694" s="64" t="s">
        <v>330</v>
      </c>
    </row>
    <row r="1695" spans="9:15" x14ac:dyDescent="0.45">
      <c r="I1695"/>
      <c r="J1695"/>
      <c r="M1695" s="62" t="s">
        <v>3806</v>
      </c>
      <c r="N1695" s="63" t="s">
        <v>3807</v>
      </c>
      <c r="O1695" s="64" t="s">
        <v>330</v>
      </c>
    </row>
    <row r="1696" spans="9:15" x14ac:dyDescent="0.45">
      <c r="I1696"/>
      <c r="J1696"/>
      <c r="M1696" s="62" t="s">
        <v>3808</v>
      </c>
      <c r="N1696" s="63" t="s">
        <v>3809</v>
      </c>
      <c r="O1696" s="64" t="s">
        <v>330</v>
      </c>
    </row>
    <row r="1697" spans="9:15" x14ac:dyDescent="0.45">
      <c r="I1697"/>
      <c r="J1697"/>
      <c r="M1697" s="62" t="s">
        <v>3810</v>
      </c>
      <c r="N1697" s="63" t="s">
        <v>3811</v>
      </c>
      <c r="O1697" s="64" t="s">
        <v>453</v>
      </c>
    </row>
    <row r="1698" spans="9:15" x14ac:dyDescent="0.45">
      <c r="I1698"/>
      <c r="J1698"/>
      <c r="M1698" s="62" t="s">
        <v>3812</v>
      </c>
      <c r="N1698" s="63" t="s">
        <v>3813</v>
      </c>
      <c r="O1698" s="64" t="s">
        <v>330</v>
      </c>
    </row>
    <row r="1699" spans="9:15" x14ac:dyDescent="0.45">
      <c r="I1699"/>
      <c r="J1699"/>
      <c r="M1699" s="62" t="s">
        <v>3814</v>
      </c>
      <c r="N1699" s="63" t="s">
        <v>3815</v>
      </c>
      <c r="O1699" s="64" t="s">
        <v>330</v>
      </c>
    </row>
    <row r="1700" spans="9:15" x14ac:dyDescent="0.45">
      <c r="I1700"/>
      <c r="J1700"/>
      <c r="M1700" s="62" t="s">
        <v>3816</v>
      </c>
      <c r="N1700" s="63" t="s">
        <v>3817</v>
      </c>
      <c r="O1700" s="64" t="s">
        <v>330</v>
      </c>
    </row>
    <row r="1701" spans="9:15" x14ac:dyDescent="0.45">
      <c r="I1701"/>
      <c r="J1701"/>
      <c r="M1701" s="62" t="s">
        <v>3818</v>
      </c>
      <c r="N1701" s="63" t="s">
        <v>3819</v>
      </c>
      <c r="O1701" s="64" t="s">
        <v>1008</v>
      </c>
    </row>
    <row r="1702" spans="9:15" x14ac:dyDescent="0.45">
      <c r="I1702"/>
      <c r="J1702"/>
      <c r="M1702" s="62" t="s">
        <v>3820</v>
      </c>
      <c r="N1702" s="63" t="s">
        <v>3821</v>
      </c>
      <c r="O1702" s="64" t="s">
        <v>596</v>
      </c>
    </row>
    <row r="1703" spans="9:15" x14ac:dyDescent="0.45">
      <c r="I1703"/>
      <c r="J1703"/>
      <c r="M1703" s="62" t="s">
        <v>3822</v>
      </c>
      <c r="N1703" s="63" t="s">
        <v>3823</v>
      </c>
      <c r="O1703" s="64" t="s">
        <v>743</v>
      </c>
    </row>
    <row r="1704" spans="9:15" x14ac:dyDescent="0.45">
      <c r="I1704"/>
      <c r="J1704"/>
      <c r="M1704" s="62" t="s">
        <v>3824</v>
      </c>
      <c r="N1704" s="63" t="s">
        <v>3825</v>
      </c>
      <c r="O1704" s="64" t="s">
        <v>330</v>
      </c>
    </row>
    <row r="1705" spans="9:15" x14ac:dyDescent="0.45">
      <c r="I1705"/>
      <c r="J1705"/>
      <c r="M1705" s="62" t="s">
        <v>3826</v>
      </c>
      <c r="N1705" s="63" t="s">
        <v>3827</v>
      </c>
      <c r="O1705" s="64" t="s">
        <v>453</v>
      </c>
    </row>
    <row r="1706" spans="9:15" x14ac:dyDescent="0.45">
      <c r="I1706"/>
      <c r="J1706"/>
      <c r="M1706" s="62" t="s">
        <v>3828</v>
      </c>
      <c r="N1706" s="63" t="s">
        <v>3829</v>
      </c>
      <c r="O1706" s="64" t="s">
        <v>359</v>
      </c>
    </row>
    <row r="1707" spans="9:15" x14ac:dyDescent="0.45">
      <c r="I1707"/>
      <c r="J1707"/>
      <c r="M1707" s="62" t="s">
        <v>3830</v>
      </c>
      <c r="N1707" s="63" t="s">
        <v>3831</v>
      </c>
      <c r="O1707" s="64" t="s">
        <v>330</v>
      </c>
    </row>
    <row r="1708" spans="9:15" x14ac:dyDescent="0.45">
      <c r="I1708"/>
      <c r="J1708"/>
      <c r="M1708" s="62" t="s">
        <v>3832</v>
      </c>
      <c r="N1708" s="63" t="s">
        <v>3833</v>
      </c>
      <c r="O1708" s="64" t="s">
        <v>1056</v>
      </c>
    </row>
    <row r="1709" spans="9:15" x14ac:dyDescent="0.45">
      <c r="I1709"/>
      <c r="J1709"/>
      <c r="M1709" s="62" t="s">
        <v>3834</v>
      </c>
      <c r="N1709" s="63" t="s">
        <v>3835</v>
      </c>
      <c r="O1709" s="64" t="s">
        <v>330</v>
      </c>
    </row>
    <row r="1710" spans="9:15" x14ac:dyDescent="0.45">
      <c r="I1710"/>
      <c r="J1710"/>
      <c r="M1710" s="62" t="s">
        <v>3836</v>
      </c>
      <c r="N1710" s="63" t="s">
        <v>3837</v>
      </c>
      <c r="O1710" s="64" t="s">
        <v>330</v>
      </c>
    </row>
    <row r="1711" spans="9:15" x14ac:dyDescent="0.45">
      <c r="I1711"/>
      <c r="J1711"/>
      <c r="M1711" s="62" t="s">
        <v>3838</v>
      </c>
      <c r="N1711" s="63" t="s">
        <v>3839</v>
      </c>
      <c r="O1711" s="64" t="s">
        <v>330</v>
      </c>
    </row>
    <row r="1712" spans="9:15" x14ac:dyDescent="0.45">
      <c r="I1712"/>
      <c r="J1712"/>
      <c r="M1712" s="62" t="s">
        <v>3840</v>
      </c>
      <c r="N1712" s="63" t="s">
        <v>3841</v>
      </c>
      <c r="O1712" s="64" t="s">
        <v>330</v>
      </c>
    </row>
    <row r="1713" spans="9:15" x14ac:dyDescent="0.45">
      <c r="I1713"/>
      <c r="J1713"/>
      <c r="M1713" s="62" t="s">
        <v>3842</v>
      </c>
      <c r="N1713" s="63" t="s">
        <v>3843</v>
      </c>
      <c r="O1713" s="64" t="s">
        <v>330</v>
      </c>
    </row>
    <row r="1714" spans="9:15" x14ac:dyDescent="0.45">
      <c r="I1714"/>
      <c r="J1714"/>
      <c r="M1714" s="62" t="s">
        <v>3844</v>
      </c>
      <c r="N1714" s="63" t="s">
        <v>3845</v>
      </c>
      <c r="O1714" s="64" t="s">
        <v>330</v>
      </c>
    </row>
    <row r="1715" spans="9:15" x14ac:dyDescent="0.45">
      <c r="I1715"/>
      <c r="J1715"/>
      <c r="M1715" s="62" t="s">
        <v>3846</v>
      </c>
      <c r="N1715" s="63" t="s">
        <v>3847</v>
      </c>
      <c r="O1715" s="64" t="s">
        <v>330</v>
      </c>
    </row>
    <row r="1716" spans="9:15" x14ac:dyDescent="0.45">
      <c r="I1716"/>
      <c r="J1716"/>
      <c r="M1716" s="62" t="s">
        <v>3848</v>
      </c>
      <c r="N1716" s="63" t="s">
        <v>3849</v>
      </c>
      <c r="O1716" s="64" t="s">
        <v>453</v>
      </c>
    </row>
    <row r="1717" spans="9:15" x14ac:dyDescent="0.45">
      <c r="I1717"/>
      <c r="J1717"/>
      <c r="M1717" s="62" t="s">
        <v>3850</v>
      </c>
      <c r="N1717" s="63" t="s">
        <v>3851</v>
      </c>
      <c r="O1717" s="64" t="s">
        <v>330</v>
      </c>
    </row>
    <row r="1718" spans="9:15" x14ac:dyDescent="0.45">
      <c r="I1718"/>
      <c r="J1718"/>
      <c r="M1718" s="87" t="s">
        <v>3852</v>
      </c>
      <c r="N1718" s="88" t="s">
        <v>3853</v>
      </c>
      <c r="O1718" s="64" t="s">
        <v>509</v>
      </c>
    </row>
    <row r="1719" spans="9:15" x14ac:dyDescent="0.45">
      <c r="I1719"/>
      <c r="J1719"/>
      <c r="M1719" s="62" t="s">
        <v>3854</v>
      </c>
      <c r="N1719" s="63" t="s">
        <v>3855</v>
      </c>
      <c r="O1719" s="64" t="s">
        <v>453</v>
      </c>
    </row>
    <row r="1720" spans="9:15" x14ac:dyDescent="0.45">
      <c r="I1720"/>
      <c r="J1720"/>
      <c r="M1720" s="62" t="s">
        <v>3856</v>
      </c>
      <c r="N1720" s="63" t="s">
        <v>3857</v>
      </c>
      <c r="O1720" s="64" t="s">
        <v>330</v>
      </c>
    </row>
    <row r="1721" spans="9:15" x14ac:dyDescent="0.45">
      <c r="I1721"/>
      <c r="J1721"/>
      <c r="M1721" s="62" t="s">
        <v>3858</v>
      </c>
      <c r="N1721" s="63" t="s">
        <v>3859</v>
      </c>
      <c r="O1721" s="64" t="s">
        <v>327</v>
      </c>
    </row>
    <row r="1722" spans="9:15" x14ac:dyDescent="0.45">
      <c r="I1722"/>
      <c r="J1722"/>
      <c r="M1722" s="62" t="s">
        <v>3860</v>
      </c>
      <c r="N1722" s="63" t="s">
        <v>3861</v>
      </c>
      <c r="O1722" s="64" t="s">
        <v>549</v>
      </c>
    </row>
    <row r="1723" spans="9:15" x14ac:dyDescent="0.45">
      <c r="I1723"/>
      <c r="J1723"/>
      <c r="M1723" s="62" t="s">
        <v>3862</v>
      </c>
      <c r="N1723" s="63" t="s">
        <v>3863</v>
      </c>
      <c r="O1723" s="64" t="s">
        <v>344</v>
      </c>
    </row>
    <row r="1724" spans="9:15" x14ac:dyDescent="0.45">
      <c r="I1724"/>
      <c r="J1724"/>
      <c r="M1724" s="62" t="s">
        <v>3864</v>
      </c>
      <c r="N1724" s="63" t="s">
        <v>3865</v>
      </c>
      <c r="O1724" s="64" t="s">
        <v>330</v>
      </c>
    </row>
    <row r="1725" spans="9:15" x14ac:dyDescent="0.45">
      <c r="I1725"/>
      <c r="J1725"/>
      <c r="M1725" s="62" t="s">
        <v>3866</v>
      </c>
      <c r="N1725" s="63" t="s">
        <v>3867</v>
      </c>
      <c r="O1725" s="64" t="s">
        <v>330</v>
      </c>
    </row>
    <row r="1726" spans="9:15" x14ac:dyDescent="0.45">
      <c r="I1726"/>
      <c r="J1726"/>
      <c r="M1726" s="62" t="s">
        <v>3868</v>
      </c>
      <c r="N1726" s="63" t="s">
        <v>3869</v>
      </c>
      <c r="O1726" s="64" t="s">
        <v>509</v>
      </c>
    </row>
    <row r="1727" spans="9:15" x14ac:dyDescent="0.45">
      <c r="I1727"/>
      <c r="J1727"/>
      <c r="M1727" s="62" t="s">
        <v>3870</v>
      </c>
      <c r="N1727" s="63" t="s">
        <v>3871</v>
      </c>
      <c r="O1727" s="64" t="s">
        <v>596</v>
      </c>
    </row>
    <row r="1728" spans="9:15" x14ac:dyDescent="0.45">
      <c r="I1728"/>
      <c r="J1728"/>
      <c r="M1728" s="62" t="s">
        <v>3872</v>
      </c>
      <c r="N1728" s="63" t="s">
        <v>3873</v>
      </c>
      <c r="O1728" s="64" t="s">
        <v>327</v>
      </c>
    </row>
    <row r="1729" spans="9:15" x14ac:dyDescent="0.45">
      <c r="I1729"/>
      <c r="J1729"/>
      <c r="M1729" s="62" t="s">
        <v>3874</v>
      </c>
      <c r="N1729" s="63" t="s">
        <v>3875</v>
      </c>
      <c r="O1729" s="64" t="s">
        <v>910</v>
      </c>
    </row>
    <row r="1730" spans="9:15" x14ac:dyDescent="0.45">
      <c r="I1730"/>
      <c r="J1730"/>
      <c r="M1730" s="62" t="s">
        <v>3876</v>
      </c>
      <c r="N1730" s="63" t="s">
        <v>3877</v>
      </c>
      <c r="O1730" s="64" t="s">
        <v>453</v>
      </c>
    </row>
    <row r="1731" spans="9:15" x14ac:dyDescent="0.45">
      <c r="I1731"/>
      <c r="J1731"/>
      <c r="M1731" s="62" t="s">
        <v>3878</v>
      </c>
      <c r="N1731" s="63" t="s">
        <v>3879</v>
      </c>
      <c r="O1731" s="64" t="s">
        <v>324</v>
      </c>
    </row>
    <row r="1732" spans="9:15" x14ac:dyDescent="0.45">
      <c r="I1732"/>
      <c r="J1732"/>
      <c r="M1732" s="62" t="s">
        <v>3880</v>
      </c>
      <c r="N1732" s="63" t="s">
        <v>3881</v>
      </c>
      <c r="O1732" s="64" t="s">
        <v>336</v>
      </c>
    </row>
    <row r="1733" spans="9:15" x14ac:dyDescent="0.45">
      <c r="I1733"/>
      <c r="J1733"/>
      <c r="M1733" s="62" t="s">
        <v>3882</v>
      </c>
      <c r="N1733" s="63" t="s">
        <v>3883</v>
      </c>
      <c r="O1733" s="64" t="s">
        <v>3884</v>
      </c>
    </row>
    <row r="1734" spans="9:15" x14ac:dyDescent="0.45">
      <c r="I1734"/>
      <c r="J1734"/>
      <c r="M1734" s="62" t="s">
        <v>3885</v>
      </c>
      <c r="N1734" s="63" t="s">
        <v>3886</v>
      </c>
      <c r="O1734" s="64" t="s">
        <v>625</v>
      </c>
    </row>
    <row r="1735" spans="9:15" x14ac:dyDescent="0.45">
      <c r="I1735"/>
      <c r="J1735"/>
      <c r="M1735" s="62" t="s">
        <v>3887</v>
      </c>
      <c r="N1735" s="63" t="s">
        <v>3888</v>
      </c>
      <c r="O1735" s="64" t="s">
        <v>453</v>
      </c>
    </row>
    <row r="1736" spans="9:15" x14ac:dyDescent="0.45">
      <c r="I1736"/>
      <c r="J1736"/>
      <c r="M1736" s="62" t="s">
        <v>3889</v>
      </c>
      <c r="N1736" s="63" t="s">
        <v>3890</v>
      </c>
      <c r="O1736" s="64" t="s">
        <v>327</v>
      </c>
    </row>
    <row r="1737" spans="9:15" x14ac:dyDescent="0.45">
      <c r="I1737"/>
      <c r="J1737"/>
      <c r="M1737" s="62" t="s">
        <v>3891</v>
      </c>
      <c r="N1737" s="63" t="s">
        <v>3892</v>
      </c>
      <c r="O1737" s="64" t="s">
        <v>341</v>
      </c>
    </row>
    <row r="1738" spans="9:15" x14ac:dyDescent="0.45">
      <c r="I1738"/>
      <c r="J1738"/>
      <c r="M1738" s="62" t="s">
        <v>3893</v>
      </c>
      <c r="N1738" s="63" t="s">
        <v>3894</v>
      </c>
      <c r="O1738" s="64" t="s">
        <v>330</v>
      </c>
    </row>
    <row r="1739" spans="9:15" x14ac:dyDescent="0.45">
      <c r="I1739"/>
      <c r="J1739"/>
      <c r="M1739" s="62" t="s">
        <v>3895</v>
      </c>
      <c r="N1739" s="63" t="s">
        <v>3896</v>
      </c>
      <c r="O1739" s="64" t="s">
        <v>330</v>
      </c>
    </row>
    <row r="1740" spans="9:15" x14ac:dyDescent="0.45">
      <c r="I1740"/>
      <c r="J1740"/>
      <c r="M1740" s="62" t="s">
        <v>3897</v>
      </c>
      <c r="N1740" s="63" t="s">
        <v>3898</v>
      </c>
      <c r="O1740" s="64" t="s">
        <v>625</v>
      </c>
    </row>
    <row r="1741" spans="9:15" x14ac:dyDescent="0.45">
      <c r="I1741"/>
      <c r="J1741"/>
      <c r="M1741" s="62" t="s">
        <v>3899</v>
      </c>
      <c r="N1741" s="63" t="s">
        <v>3900</v>
      </c>
      <c r="O1741" s="64" t="s">
        <v>330</v>
      </c>
    </row>
    <row r="1742" spans="9:15" x14ac:dyDescent="0.45">
      <c r="I1742"/>
      <c r="J1742"/>
      <c r="M1742" s="62" t="s">
        <v>3901</v>
      </c>
      <c r="N1742" s="63" t="s">
        <v>3902</v>
      </c>
      <c r="O1742" s="64" t="s">
        <v>344</v>
      </c>
    </row>
    <row r="1743" spans="9:15" x14ac:dyDescent="0.45">
      <c r="I1743"/>
      <c r="J1743"/>
      <c r="M1743" s="62" t="s">
        <v>3903</v>
      </c>
      <c r="N1743" s="63" t="s">
        <v>3904</v>
      </c>
      <c r="O1743" s="64" t="s">
        <v>515</v>
      </c>
    </row>
    <row r="1744" spans="9:15" x14ac:dyDescent="0.45">
      <c r="I1744"/>
      <c r="J1744"/>
      <c r="M1744" s="62" t="s">
        <v>3905</v>
      </c>
      <c r="N1744" s="63" t="s">
        <v>3906</v>
      </c>
      <c r="O1744" s="64" t="s">
        <v>318</v>
      </c>
    </row>
    <row r="1745" spans="9:15" x14ac:dyDescent="0.45">
      <c r="I1745"/>
      <c r="J1745"/>
      <c r="M1745" s="62" t="s">
        <v>3907</v>
      </c>
      <c r="N1745" s="63" t="s">
        <v>3908</v>
      </c>
      <c r="O1745" s="64" t="s">
        <v>330</v>
      </c>
    </row>
    <row r="1746" spans="9:15" x14ac:dyDescent="0.45">
      <c r="I1746"/>
      <c r="J1746"/>
      <c r="M1746" s="62" t="s">
        <v>3909</v>
      </c>
      <c r="N1746" s="63" t="s">
        <v>3910</v>
      </c>
      <c r="O1746" s="64" t="s">
        <v>330</v>
      </c>
    </row>
    <row r="1747" spans="9:15" x14ac:dyDescent="0.45">
      <c r="I1747"/>
      <c r="J1747"/>
      <c r="M1747" s="62" t="s">
        <v>3911</v>
      </c>
      <c r="N1747" s="63" t="s">
        <v>3912</v>
      </c>
      <c r="O1747" s="64" t="s">
        <v>417</v>
      </c>
    </row>
    <row r="1748" spans="9:15" x14ac:dyDescent="0.45">
      <c r="I1748"/>
      <c r="J1748"/>
      <c r="M1748" s="62" t="s">
        <v>3913</v>
      </c>
      <c r="N1748" s="63" t="s">
        <v>3914</v>
      </c>
      <c r="O1748" s="64" t="s">
        <v>344</v>
      </c>
    </row>
    <row r="1749" spans="9:15" x14ac:dyDescent="0.45">
      <c r="I1749"/>
      <c r="J1749"/>
      <c r="M1749" s="62" t="s">
        <v>3915</v>
      </c>
      <c r="N1749" s="63" t="s">
        <v>3916</v>
      </c>
      <c r="O1749" s="64" t="s">
        <v>336</v>
      </c>
    </row>
    <row r="1750" spans="9:15" x14ac:dyDescent="0.45">
      <c r="I1750"/>
      <c r="J1750"/>
      <c r="M1750" s="62" t="s">
        <v>3917</v>
      </c>
      <c r="N1750" s="63" t="s">
        <v>3918</v>
      </c>
      <c r="O1750" s="64" t="s">
        <v>318</v>
      </c>
    </row>
    <row r="1751" spans="9:15" x14ac:dyDescent="0.45">
      <c r="I1751"/>
      <c r="J1751"/>
      <c r="M1751" s="62" t="s">
        <v>3919</v>
      </c>
      <c r="N1751" s="63" t="s">
        <v>3920</v>
      </c>
      <c r="O1751" s="64" t="s">
        <v>3127</v>
      </c>
    </row>
    <row r="1752" spans="9:15" x14ac:dyDescent="0.45">
      <c r="I1752"/>
      <c r="J1752"/>
      <c r="M1752" s="62" t="s">
        <v>3921</v>
      </c>
      <c r="N1752" s="63" t="s">
        <v>3922</v>
      </c>
      <c r="O1752" s="64" t="s">
        <v>330</v>
      </c>
    </row>
    <row r="1753" spans="9:15" x14ac:dyDescent="0.45">
      <c r="I1753"/>
      <c r="J1753"/>
      <c r="M1753" s="62" t="s">
        <v>3923</v>
      </c>
      <c r="N1753" s="63" t="s">
        <v>3924</v>
      </c>
      <c r="O1753" s="64" t="s">
        <v>321</v>
      </c>
    </row>
    <row r="1754" spans="9:15" x14ac:dyDescent="0.45">
      <c r="I1754"/>
      <c r="J1754"/>
      <c r="M1754" s="62" t="s">
        <v>3925</v>
      </c>
      <c r="N1754" s="63" t="s">
        <v>3926</v>
      </c>
      <c r="O1754" s="64" t="s">
        <v>613</v>
      </c>
    </row>
    <row r="1755" spans="9:15" x14ac:dyDescent="0.45">
      <c r="I1755"/>
      <c r="J1755"/>
      <c r="M1755" s="62" t="s">
        <v>3927</v>
      </c>
      <c r="N1755" s="63" t="s">
        <v>3928</v>
      </c>
      <c r="O1755" s="64" t="s">
        <v>330</v>
      </c>
    </row>
    <row r="1756" spans="9:15" x14ac:dyDescent="0.45">
      <c r="I1756"/>
      <c r="J1756"/>
      <c r="M1756" s="62" t="s">
        <v>3929</v>
      </c>
      <c r="N1756" s="63" t="s">
        <v>3930</v>
      </c>
      <c r="O1756" s="64" t="s">
        <v>364</v>
      </c>
    </row>
    <row r="1757" spans="9:15" x14ac:dyDescent="0.45">
      <c r="I1757"/>
      <c r="J1757"/>
      <c r="M1757" s="62" t="s">
        <v>3931</v>
      </c>
      <c r="N1757" s="63" t="s">
        <v>3932</v>
      </c>
      <c r="O1757" s="64" t="s">
        <v>3933</v>
      </c>
    </row>
    <row r="1758" spans="9:15" x14ac:dyDescent="0.45">
      <c r="I1758"/>
      <c r="J1758"/>
      <c r="M1758" s="62" t="s">
        <v>3934</v>
      </c>
      <c r="N1758" s="63" t="s">
        <v>3935</v>
      </c>
      <c r="O1758" s="64" t="s">
        <v>632</v>
      </c>
    </row>
    <row r="1759" spans="9:15" x14ac:dyDescent="0.45">
      <c r="I1759"/>
      <c r="J1759"/>
      <c r="M1759" s="62" t="s">
        <v>3936</v>
      </c>
      <c r="N1759" s="63" t="s">
        <v>3937</v>
      </c>
      <c r="O1759" s="64" t="s">
        <v>330</v>
      </c>
    </row>
    <row r="1760" spans="9:15" x14ac:dyDescent="0.45">
      <c r="I1760"/>
      <c r="J1760"/>
      <c r="M1760" s="62" t="s">
        <v>3938</v>
      </c>
      <c r="N1760" s="63" t="s">
        <v>3939</v>
      </c>
      <c r="O1760" s="64" t="s">
        <v>321</v>
      </c>
    </row>
    <row r="1761" spans="9:15" x14ac:dyDescent="0.45">
      <c r="I1761"/>
      <c r="J1761"/>
      <c r="M1761" s="62" t="s">
        <v>3940</v>
      </c>
      <c r="N1761" s="63" t="s">
        <v>3941</v>
      </c>
      <c r="O1761" s="64" t="s">
        <v>549</v>
      </c>
    </row>
    <row r="1762" spans="9:15" x14ac:dyDescent="0.45">
      <c r="I1762"/>
      <c r="J1762"/>
      <c r="M1762" s="62" t="s">
        <v>3942</v>
      </c>
      <c r="N1762" s="63" t="s">
        <v>3943</v>
      </c>
      <c r="O1762" s="64" t="s">
        <v>3663</v>
      </c>
    </row>
    <row r="1763" spans="9:15" x14ac:dyDescent="0.45">
      <c r="I1763"/>
      <c r="J1763"/>
      <c r="M1763" s="62" t="s">
        <v>3944</v>
      </c>
      <c r="N1763" s="63" t="s">
        <v>3945</v>
      </c>
      <c r="O1763" s="64" t="s">
        <v>743</v>
      </c>
    </row>
    <row r="1764" spans="9:15" x14ac:dyDescent="0.45">
      <c r="I1764"/>
      <c r="J1764"/>
      <c r="M1764" s="62" t="s">
        <v>3946</v>
      </c>
      <c r="N1764" s="63" t="s">
        <v>3947</v>
      </c>
      <c r="O1764" s="64" t="s">
        <v>425</v>
      </c>
    </row>
    <row r="1765" spans="9:15" x14ac:dyDescent="0.45">
      <c r="I1765"/>
      <c r="J1765"/>
      <c r="M1765" s="62" t="s">
        <v>3948</v>
      </c>
      <c r="N1765" s="63" t="s">
        <v>3949</v>
      </c>
      <c r="O1765" s="64" t="s">
        <v>509</v>
      </c>
    </row>
    <row r="1766" spans="9:15" x14ac:dyDescent="0.45">
      <c r="I1766"/>
      <c r="J1766"/>
      <c r="M1766" s="62" t="s">
        <v>3950</v>
      </c>
      <c r="N1766" s="63" t="s">
        <v>3951</v>
      </c>
      <c r="O1766" s="64" t="s">
        <v>330</v>
      </c>
    </row>
    <row r="1767" spans="9:15" x14ac:dyDescent="0.45">
      <c r="I1767"/>
      <c r="J1767"/>
      <c r="M1767" s="62" t="s">
        <v>3952</v>
      </c>
      <c r="N1767" s="63" t="s">
        <v>3953</v>
      </c>
      <c r="O1767" s="64" t="s">
        <v>344</v>
      </c>
    </row>
    <row r="1768" spans="9:15" x14ac:dyDescent="0.45">
      <c r="I1768"/>
      <c r="J1768"/>
      <c r="M1768" s="62" t="s">
        <v>3954</v>
      </c>
      <c r="N1768" s="63" t="s">
        <v>3955</v>
      </c>
      <c r="O1768" s="64" t="s">
        <v>330</v>
      </c>
    </row>
    <row r="1769" spans="9:15" x14ac:dyDescent="0.45">
      <c r="I1769"/>
      <c r="J1769"/>
      <c r="M1769" s="62" t="s">
        <v>3956</v>
      </c>
      <c r="N1769" s="63" t="s">
        <v>3957</v>
      </c>
      <c r="O1769" s="64" t="s">
        <v>549</v>
      </c>
    </row>
    <row r="1770" spans="9:15" x14ac:dyDescent="0.45">
      <c r="I1770"/>
      <c r="J1770"/>
      <c r="M1770" s="62" t="s">
        <v>3958</v>
      </c>
      <c r="N1770" s="63" t="s">
        <v>3959</v>
      </c>
      <c r="O1770" s="64" t="s">
        <v>509</v>
      </c>
    </row>
    <row r="1771" spans="9:15" x14ac:dyDescent="0.45">
      <c r="I1771"/>
      <c r="J1771"/>
      <c r="M1771" s="62" t="s">
        <v>3960</v>
      </c>
      <c r="N1771" s="63" t="s">
        <v>3961</v>
      </c>
      <c r="O1771" s="64" t="s">
        <v>330</v>
      </c>
    </row>
    <row r="1772" spans="9:15" x14ac:dyDescent="0.45">
      <c r="I1772"/>
      <c r="J1772"/>
      <c r="M1772" s="62" t="s">
        <v>3962</v>
      </c>
      <c r="N1772" s="63" t="s">
        <v>3963</v>
      </c>
      <c r="O1772" s="64" t="s">
        <v>321</v>
      </c>
    </row>
    <row r="1773" spans="9:15" x14ac:dyDescent="0.45">
      <c r="I1773"/>
      <c r="J1773"/>
      <c r="M1773" s="62" t="s">
        <v>3964</v>
      </c>
      <c r="N1773" s="63" t="s">
        <v>3965</v>
      </c>
      <c r="O1773" s="64" t="s">
        <v>3152</v>
      </c>
    </row>
    <row r="1774" spans="9:15" x14ac:dyDescent="0.45">
      <c r="I1774"/>
      <c r="J1774"/>
      <c r="M1774" s="62" t="s">
        <v>3966</v>
      </c>
      <c r="N1774" s="63" t="s">
        <v>3967</v>
      </c>
      <c r="O1774" s="64" t="s">
        <v>330</v>
      </c>
    </row>
    <row r="1775" spans="9:15" x14ac:dyDescent="0.45">
      <c r="I1775"/>
      <c r="J1775"/>
      <c r="M1775" s="62" t="s">
        <v>3968</v>
      </c>
      <c r="N1775" s="63" t="s">
        <v>3969</v>
      </c>
      <c r="O1775" s="64" t="s">
        <v>532</v>
      </c>
    </row>
    <row r="1776" spans="9:15" x14ac:dyDescent="0.45">
      <c r="I1776"/>
      <c r="J1776"/>
      <c r="M1776" s="62" t="s">
        <v>3970</v>
      </c>
      <c r="N1776" s="63" t="s">
        <v>3971</v>
      </c>
      <c r="O1776" s="64" t="s">
        <v>743</v>
      </c>
    </row>
    <row r="1777" spans="9:15" x14ac:dyDescent="0.45">
      <c r="I1777"/>
      <c r="J1777"/>
      <c r="M1777" s="62" t="s">
        <v>3972</v>
      </c>
      <c r="N1777" s="63" t="s">
        <v>3973</v>
      </c>
      <c r="O1777" s="64" t="s">
        <v>616</v>
      </c>
    </row>
    <row r="1778" spans="9:15" x14ac:dyDescent="0.45">
      <c r="I1778"/>
      <c r="J1778"/>
      <c r="M1778" s="62" t="s">
        <v>3974</v>
      </c>
      <c r="N1778" s="63" t="s">
        <v>3975</v>
      </c>
      <c r="O1778" s="64" t="s">
        <v>515</v>
      </c>
    </row>
    <row r="1779" spans="9:15" x14ac:dyDescent="0.45">
      <c r="I1779"/>
      <c r="J1779"/>
      <c r="M1779" s="62" t="s">
        <v>3976</v>
      </c>
      <c r="N1779" s="63" t="s">
        <v>3977</v>
      </c>
      <c r="O1779" s="64" t="s">
        <v>1863</v>
      </c>
    </row>
    <row r="1780" spans="9:15" x14ac:dyDescent="0.45">
      <c r="I1780"/>
      <c r="J1780"/>
      <c r="M1780" s="62" t="s">
        <v>3978</v>
      </c>
      <c r="N1780" s="63" t="s">
        <v>3979</v>
      </c>
      <c r="O1780" s="64" t="s">
        <v>632</v>
      </c>
    </row>
    <row r="1781" spans="9:15" x14ac:dyDescent="0.45">
      <c r="I1781"/>
      <c r="J1781"/>
      <c r="M1781" s="62" t="s">
        <v>3980</v>
      </c>
      <c r="N1781" s="63" t="s">
        <v>3981</v>
      </c>
      <c r="O1781" s="64" t="s">
        <v>359</v>
      </c>
    </row>
    <row r="1782" spans="9:15" x14ac:dyDescent="0.45">
      <c r="I1782"/>
      <c r="J1782"/>
      <c r="M1782" s="62" t="s">
        <v>3982</v>
      </c>
      <c r="N1782" s="63" t="s">
        <v>3983</v>
      </c>
      <c r="O1782" s="64" t="s">
        <v>632</v>
      </c>
    </row>
    <row r="1783" spans="9:15" x14ac:dyDescent="0.45">
      <c r="I1783"/>
      <c r="J1783"/>
      <c r="M1783" s="62" t="s">
        <v>3984</v>
      </c>
      <c r="N1783" s="63" t="s">
        <v>3985</v>
      </c>
      <c r="O1783" s="64" t="s">
        <v>330</v>
      </c>
    </row>
    <row r="1784" spans="9:15" x14ac:dyDescent="0.45">
      <c r="I1784"/>
      <c r="J1784"/>
      <c r="M1784" s="62" t="s">
        <v>3986</v>
      </c>
      <c r="N1784" s="63" t="s">
        <v>3987</v>
      </c>
      <c r="O1784" s="64" t="s">
        <v>330</v>
      </c>
    </row>
    <row r="1785" spans="9:15" x14ac:dyDescent="0.45">
      <c r="I1785"/>
      <c r="J1785"/>
      <c r="M1785" s="62" t="s">
        <v>3988</v>
      </c>
      <c r="N1785" s="63" t="s">
        <v>3989</v>
      </c>
      <c r="O1785" s="64" t="s">
        <v>330</v>
      </c>
    </row>
    <row r="1786" spans="9:15" x14ac:dyDescent="0.45">
      <c r="I1786"/>
      <c r="J1786"/>
      <c r="M1786" s="62" t="s">
        <v>3990</v>
      </c>
      <c r="N1786" s="63" t="s">
        <v>3991</v>
      </c>
      <c r="O1786" s="64" t="s">
        <v>330</v>
      </c>
    </row>
    <row r="1787" spans="9:15" x14ac:dyDescent="0.45">
      <c r="I1787"/>
      <c r="J1787"/>
      <c r="M1787" s="62" t="s">
        <v>3992</v>
      </c>
      <c r="N1787" s="63" t="s">
        <v>3993</v>
      </c>
      <c r="O1787" s="64" t="s">
        <v>509</v>
      </c>
    </row>
    <row r="1788" spans="9:15" x14ac:dyDescent="0.45">
      <c r="I1788"/>
      <c r="J1788"/>
      <c r="M1788" s="62" t="s">
        <v>3994</v>
      </c>
      <c r="N1788" s="63" t="s">
        <v>3995</v>
      </c>
      <c r="O1788" s="64" t="s">
        <v>344</v>
      </c>
    </row>
    <row r="1789" spans="9:15" x14ac:dyDescent="0.45">
      <c r="I1789"/>
      <c r="J1789"/>
      <c r="M1789" s="62" t="s">
        <v>3996</v>
      </c>
      <c r="N1789" s="63" t="s">
        <v>3997</v>
      </c>
      <c r="O1789" s="64" t="s">
        <v>330</v>
      </c>
    </row>
    <row r="1790" spans="9:15" x14ac:dyDescent="0.45">
      <c r="I1790"/>
      <c r="J1790"/>
      <c r="M1790" s="62" t="s">
        <v>3998</v>
      </c>
      <c r="N1790" s="63" t="s">
        <v>3999</v>
      </c>
      <c r="O1790" s="64" t="s">
        <v>318</v>
      </c>
    </row>
    <row r="1791" spans="9:15" x14ac:dyDescent="0.45">
      <c r="I1791"/>
      <c r="J1791"/>
      <c r="M1791" s="62" t="s">
        <v>4000</v>
      </c>
      <c r="N1791" s="63" t="s">
        <v>4001</v>
      </c>
      <c r="O1791" s="64" t="s">
        <v>344</v>
      </c>
    </row>
    <row r="1792" spans="9:15" x14ac:dyDescent="0.45">
      <c r="I1792"/>
      <c r="J1792"/>
      <c r="M1792" s="62" t="s">
        <v>4002</v>
      </c>
      <c r="N1792" s="63" t="s">
        <v>4003</v>
      </c>
      <c r="O1792" s="64" t="s">
        <v>330</v>
      </c>
    </row>
    <row r="1793" spans="9:15" x14ac:dyDescent="0.45">
      <c r="I1793"/>
      <c r="J1793"/>
      <c r="M1793" s="62" t="s">
        <v>4004</v>
      </c>
      <c r="N1793" s="63" t="s">
        <v>4005</v>
      </c>
      <c r="O1793" s="64" t="s">
        <v>330</v>
      </c>
    </row>
    <row r="1794" spans="9:15" x14ac:dyDescent="0.45">
      <c r="I1794"/>
      <c r="J1794"/>
      <c r="M1794" s="62" t="s">
        <v>4006</v>
      </c>
      <c r="N1794" s="63" t="s">
        <v>4007</v>
      </c>
      <c r="O1794" s="64" t="s">
        <v>632</v>
      </c>
    </row>
    <row r="1795" spans="9:15" x14ac:dyDescent="0.45">
      <c r="I1795"/>
      <c r="J1795"/>
      <c r="M1795" s="62" t="s">
        <v>4008</v>
      </c>
      <c r="N1795" s="63" t="s">
        <v>4009</v>
      </c>
      <c r="O1795" s="64" t="s">
        <v>318</v>
      </c>
    </row>
    <row r="1796" spans="9:15" x14ac:dyDescent="0.45">
      <c r="I1796"/>
      <c r="J1796"/>
      <c r="M1796" s="62" t="s">
        <v>4010</v>
      </c>
      <c r="N1796" s="63" t="s">
        <v>4011</v>
      </c>
      <c r="O1796" s="64" t="s">
        <v>318</v>
      </c>
    </row>
    <row r="1797" spans="9:15" x14ac:dyDescent="0.45">
      <c r="I1797"/>
      <c r="J1797"/>
      <c r="M1797" s="62" t="s">
        <v>4012</v>
      </c>
      <c r="N1797" s="63" t="s">
        <v>4013</v>
      </c>
      <c r="O1797" s="64" t="s">
        <v>2249</v>
      </c>
    </row>
    <row r="1798" spans="9:15" x14ac:dyDescent="0.45">
      <c r="I1798"/>
      <c r="J1798"/>
      <c r="M1798" s="62" t="s">
        <v>4014</v>
      </c>
      <c r="N1798" s="63" t="s">
        <v>4015</v>
      </c>
      <c r="O1798" s="64" t="s">
        <v>344</v>
      </c>
    </row>
    <row r="1799" spans="9:15" x14ac:dyDescent="0.45">
      <c r="I1799"/>
      <c r="J1799"/>
      <c r="M1799" s="62" t="s">
        <v>4016</v>
      </c>
      <c r="N1799" s="63" t="s">
        <v>4017</v>
      </c>
      <c r="O1799" s="64" t="s">
        <v>4018</v>
      </c>
    </row>
    <row r="1800" spans="9:15" x14ac:dyDescent="0.45">
      <c r="I1800"/>
      <c r="J1800"/>
      <c r="M1800" s="62" t="s">
        <v>4019</v>
      </c>
      <c r="N1800" s="63" t="s">
        <v>4020</v>
      </c>
      <c r="O1800" s="64" t="s">
        <v>3100</v>
      </c>
    </row>
    <row r="1801" spans="9:15" x14ac:dyDescent="0.45">
      <c r="I1801"/>
      <c r="J1801"/>
      <c r="M1801" s="62" t="s">
        <v>4021</v>
      </c>
      <c r="N1801" s="63" t="s">
        <v>4022</v>
      </c>
      <c r="O1801" s="64" t="s">
        <v>330</v>
      </c>
    </row>
    <row r="1802" spans="9:15" x14ac:dyDescent="0.45">
      <c r="I1802"/>
      <c r="J1802"/>
      <c r="M1802" s="83" t="s">
        <v>4023</v>
      </c>
      <c r="N1802" s="84" t="s">
        <v>4024</v>
      </c>
      <c r="O1802" s="64" t="s">
        <v>509</v>
      </c>
    </row>
    <row r="1803" spans="9:15" x14ac:dyDescent="0.45">
      <c r="I1803"/>
      <c r="J1803"/>
      <c r="M1803" s="62" t="s">
        <v>4025</v>
      </c>
      <c r="N1803" s="63" t="s">
        <v>4026</v>
      </c>
      <c r="O1803" s="64" t="s">
        <v>549</v>
      </c>
    </row>
    <row r="1804" spans="9:15" x14ac:dyDescent="0.45">
      <c r="I1804"/>
      <c r="J1804"/>
      <c r="M1804" s="62" t="s">
        <v>4027</v>
      </c>
      <c r="N1804" s="63" t="s">
        <v>4028</v>
      </c>
      <c r="O1804" s="64" t="s">
        <v>327</v>
      </c>
    </row>
    <row r="1805" spans="9:15" x14ac:dyDescent="0.45">
      <c r="I1805"/>
      <c r="J1805"/>
      <c r="M1805" s="62" t="s">
        <v>4029</v>
      </c>
      <c r="N1805" s="63" t="s">
        <v>4030</v>
      </c>
      <c r="O1805" s="64" t="s">
        <v>330</v>
      </c>
    </row>
    <row r="1806" spans="9:15" x14ac:dyDescent="0.45">
      <c r="I1806"/>
      <c r="J1806"/>
      <c r="M1806" s="62" t="s">
        <v>4031</v>
      </c>
      <c r="N1806" s="63" t="s">
        <v>4032</v>
      </c>
      <c r="O1806" s="64" t="s">
        <v>321</v>
      </c>
    </row>
    <row r="1807" spans="9:15" x14ac:dyDescent="0.45">
      <c r="I1807"/>
      <c r="J1807"/>
      <c r="M1807" s="62" t="s">
        <v>4033</v>
      </c>
      <c r="N1807" s="63" t="s">
        <v>4034</v>
      </c>
      <c r="O1807" s="64" t="s">
        <v>330</v>
      </c>
    </row>
    <row r="1808" spans="9:15" x14ac:dyDescent="0.45">
      <c r="I1808"/>
      <c r="J1808"/>
      <c r="M1808" s="62" t="s">
        <v>4035</v>
      </c>
      <c r="N1808" s="63" t="s">
        <v>4036</v>
      </c>
      <c r="O1808" s="64" t="s">
        <v>330</v>
      </c>
    </row>
    <row r="1809" spans="9:15" x14ac:dyDescent="0.45">
      <c r="I1809"/>
      <c r="J1809"/>
      <c r="M1809" s="71" t="s">
        <v>4037</v>
      </c>
      <c r="N1809" s="72" t="s">
        <v>4038</v>
      </c>
      <c r="O1809" s="64" t="s">
        <v>330</v>
      </c>
    </row>
    <row r="1810" spans="9:15" x14ac:dyDescent="0.45">
      <c r="I1810"/>
      <c r="J1810"/>
      <c r="M1810" s="62" t="s">
        <v>4039</v>
      </c>
      <c r="N1810" s="63" t="s">
        <v>4040</v>
      </c>
      <c r="O1810" s="64" t="s">
        <v>344</v>
      </c>
    </row>
    <row r="1811" spans="9:15" x14ac:dyDescent="0.45">
      <c r="I1811"/>
      <c r="J1811"/>
      <c r="M1811" s="62" t="s">
        <v>4041</v>
      </c>
      <c r="N1811" s="63" t="s">
        <v>4042</v>
      </c>
      <c r="O1811" s="64" t="s">
        <v>330</v>
      </c>
    </row>
    <row r="1812" spans="9:15" x14ac:dyDescent="0.45">
      <c r="I1812"/>
      <c r="J1812"/>
      <c r="M1812" s="62" t="s">
        <v>4043</v>
      </c>
      <c r="N1812" s="63" t="s">
        <v>4044</v>
      </c>
      <c r="O1812" s="64" t="s">
        <v>4018</v>
      </c>
    </row>
    <row r="1813" spans="9:15" x14ac:dyDescent="0.45">
      <c r="I1813"/>
      <c r="J1813"/>
      <c r="M1813" s="62" t="s">
        <v>4045</v>
      </c>
      <c r="N1813" s="63" t="s">
        <v>4046</v>
      </c>
      <c r="O1813" s="64" t="s">
        <v>4047</v>
      </c>
    </row>
    <row r="1814" spans="9:15" x14ac:dyDescent="0.45">
      <c r="I1814"/>
      <c r="J1814"/>
      <c r="M1814" s="62" t="s">
        <v>4048</v>
      </c>
      <c r="N1814" s="63" t="s">
        <v>4049</v>
      </c>
      <c r="O1814" s="64" t="s">
        <v>330</v>
      </c>
    </row>
    <row r="1815" spans="9:15" x14ac:dyDescent="0.45">
      <c r="I1815"/>
      <c r="J1815"/>
      <c r="M1815" s="62" t="s">
        <v>4050</v>
      </c>
      <c r="N1815" s="63" t="s">
        <v>4051</v>
      </c>
      <c r="O1815" s="64" t="s">
        <v>336</v>
      </c>
    </row>
    <row r="1816" spans="9:15" x14ac:dyDescent="0.45">
      <c r="I1816"/>
      <c r="J1816"/>
      <c r="M1816" s="69" t="s">
        <v>4052</v>
      </c>
      <c r="N1816" s="74" t="s">
        <v>4053</v>
      </c>
      <c r="O1816" s="63" t="s">
        <v>373</v>
      </c>
    </row>
    <row r="1817" spans="9:15" x14ac:dyDescent="0.45">
      <c r="I1817"/>
      <c r="J1817"/>
      <c r="M1817" s="62" t="s">
        <v>4054</v>
      </c>
      <c r="N1817" s="63" t="s">
        <v>4055</v>
      </c>
      <c r="O1817" s="64" t="s">
        <v>632</v>
      </c>
    </row>
    <row r="1818" spans="9:15" x14ac:dyDescent="0.45">
      <c r="I1818"/>
      <c r="J1818"/>
      <c r="M1818" s="62" t="s">
        <v>4056</v>
      </c>
      <c r="N1818" s="63" t="s">
        <v>4057</v>
      </c>
      <c r="O1818" s="64" t="s">
        <v>324</v>
      </c>
    </row>
    <row r="1819" spans="9:15" x14ac:dyDescent="0.45">
      <c r="I1819"/>
      <c r="J1819"/>
      <c r="M1819" s="62" t="s">
        <v>4058</v>
      </c>
      <c r="N1819" s="63" t="s">
        <v>4059</v>
      </c>
      <c r="O1819" s="64" t="s">
        <v>318</v>
      </c>
    </row>
    <row r="1820" spans="9:15" x14ac:dyDescent="0.45">
      <c r="I1820"/>
      <c r="J1820"/>
      <c r="M1820" s="62" t="s">
        <v>4060</v>
      </c>
      <c r="N1820" s="63" t="s">
        <v>4061</v>
      </c>
      <c r="O1820" s="64" t="s">
        <v>910</v>
      </c>
    </row>
    <row r="1821" spans="9:15" x14ac:dyDescent="0.45">
      <c r="I1821"/>
      <c r="J1821"/>
      <c r="M1821" s="62" t="s">
        <v>4062</v>
      </c>
      <c r="N1821" s="63" t="s">
        <v>4063</v>
      </c>
      <c r="O1821" s="64" t="s">
        <v>324</v>
      </c>
    </row>
    <row r="1822" spans="9:15" x14ac:dyDescent="0.45">
      <c r="I1822"/>
      <c r="J1822"/>
      <c r="M1822" s="62" t="s">
        <v>4064</v>
      </c>
      <c r="N1822" s="63" t="s">
        <v>4065</v>
      </c>
      <c r="O1822" s="64" t="s">
        <v>330</v>
      </c>
    </row>
    <row r="1823" spans="9:15" x14ac:dyDescent="0.45">
      <c r="I1823"/>
      <c r="J1823"/>
      <c r="M1823" s="62" t="s">
        <v>4066</v>
      </c>
      <c r="N1823" s="63" t="s">
        <v>4067</v>
      </c>
      <c r="O1823" s="64" t="s">
        <v>453</v>
      </c>
    </row>
    <row r="1824" spans="9:15" x14ac:dyDescent="0.45">
      <c r="I1824"/>
      <c r="J1824"/>
      <c r="M1824" s="62" t="s">
        <v>4068</v>
      </c>
      <c r="N1824" s="63" t="s">
        <v>4069</v>
      </c>
      <c r="O1824" s="64" t="s">
        <v>3071</v>
      </c>
    </row>
    <row r="1825" spans="9:15" x14ac:dyDescent="0.45">
      <c r="I1825"/>
      <c r="J1825"/>
      <c r="M1825" s="62" t="s">
        <v>4070</v>
      </c>
      <c r="N1825" s="63" t="s">
        <v>4071</v>
      </c>
      <c r="O1825" s="64" t="s">
        <v>400</v>
      </c>
    </row>
    <row r="1826" spans="9:15" x14ac:dyDescent="0.45">
      <c r="I1826"/>
      <c r="J1826"/>
      <c r="M1826" s="62" t="s">
        <v>4072</v>
      </c>
      <c r="N1826" s="63" t="s">
        <v>4073</v>
      </c>
      <c r="O1826" s="64" t="s">
        <v>333</v>
      </c>
    </row>
    <row r="1827" spans="9:15" x14ac:dyDescent="0.45">
      <c r="I1827"/>
      <c r="J1827"/>
      <c r="M1827" s="62" t="s">
        <v>4074</v>
      </c>
      <c r="N1827" s="63" t="s">
        <v>4075</v>
      </c>
      <c r="O1827" s="64" t="s">
        <v>327</v>
      </c>
    </row>
    <row r="1828" spans="9:15" x14ac:dyDescent="0.45">
      <c r="I1828"/>
      <c r="J1828"/>
      <c r="M1828" s="62" t="s">
        <v>4076</v>
      </c>
      <c r="N1828" s="63" t="s">
        <v>4077</v>
      </c>
      <c r="O1828" s="64" t="s">
        <v>318</v>
      </c>
    </row>
    <row r="1829" spans="9:15" x14ac:dyDescent="0.45">
      <c r="I1829"/>
      <c r="J1829"/>
      <c r="M1829" s="62" t="s">
        <v>4078</v>
      </c>
      <c r="N1829" s="63" t="s">
        <v>4079</v>
      </c>
      <c r="O1829" s="64" t="s">
        <v>330</v>
      </c>
    </row>
    <row r="1830" spans="9:15" x14ac:dyDescent="0.45">
      <c r="I1830"/>
      <c r="J1830"/>
      <c r="M1830" s="62" t="s">
        <v>4080</v>
      </c>
      <c r="N1830" s="63" t="s">
        <v>4081</v>
      </c>
      <c r="O1830" s="64" t="s">
        <v>330</v>
      </c>
    </row>
    <row r="1831" spans="9:15" x14ac:dyDescent="0.45">
      <c r="I1831"/>
      <c r="J1831"/>
      <c r="M1831" s="62" t="s">
        <v>4082</v>
      </c>
      <c r="N1831" s="63" t="s">
        <v>4083</v>
      </c>
      <c r="O1831" s="64" t="s">
        <v>330</v>
      </c>
    </row>
    <row r="1832" spans="9:15" x14ac:dyDescent="0.45">
      <c r="I1832"/>
      <c r="J1832"/>
      <c r="M1832" s="62" t="s">
        <v>4084</v>
      </c>
      <c r="N1832" s="63" t="s">
        <v>4085</v>
      </c>
      <c r="O1832" s="64" t="s">
        <v>318</v>
      </c>
    </row>
    <row r="1833" spans="9:15" x14ac:dyDescent="0.45">
      <c r="I1833"/>
      <c r="J1833"/>
      <c r="M1833" s="62" t="s">
        <v>4086</v>
      </c>
      <c r="N1833" s="63" t="s">
        <v>4087</v>
      </c>
      <c r="O1833" s="64" t="s">
        <v>509</v>
      </c>
    </row>
    <row r="1834" spans="9:15" x14ac:dyDescent="0.45">
      <c r="I1834"/>
      <c r="J1834"/>
      <c r="M1834" s="62" t="s">
        <v>4088</v>
      </c>
      <c r="N1834" s="63" t="s">
        <v>4089</v>
      </c>
      <c r="O1834" s="64" t="s">
        <v>723</v>
      </c>
    </row>
    <row r="1835" spans="9:15" x14ac:dyDescent="0.45">
      <c r="I1835"/>
      <c r="J1835"/>
      <c r="M1835" s="62" t="s">
        <v>4090</v>
      </c>
      <c r="N1835" s="63" t="s">
        <v>4091</v>
      </c>
      <c r="O1835" s="64" t="s">
        <v>330</v>
      </c>
    </row>
    <row r="1836" spans="9:15" x14ac:dyDescent="0.45">
      <c r="I1836"/>
      <c r="J1836"/>
      <c r="M1836" s="62" t="s">
        <v>4092</v>
      </c>
      <c r="N1836" s="63" t="s">
        <v>4093</v>
      </c>
      <c r="O1836" s="64" t="s">
        <v>318</v>
      </c>
    </row>
    <row r="1837" spans="9:15" x14ac:dyDescent="0.45">
      <c r="I1837"/>
      <c r="J1837"/>
      <c r="M1837" s="62" t="s">
        <v>4094</v>
      </c>
      <c r="N1837" s="63" t="s">
        <v>4095</v>
      </c>
      <c r="O1837" s="64" t="s">
        <v>330</v>
      </c>
    </row>
    <row r="1838" spans="9:15" x14ac:dyDescent="0.45">
      <c r="I1838"/>
      <c r="J1838"/>
      <c r="M1838" s="62" t="s">
        <v>4096</v>
      </c>
      <c r="N1838" s="63" t="s">
        <v>4097</v>
      </c>
      <c r="O1838" s="64" t="s">
        <v>327</v>
      </c>
    </row>
    <row r="1839" spans="9:15" x14ac:dyDescent="0.45">
      <c r="I1839"/>
      <c r="J1839"/>
      <c r="M1839" s="62" t="s">
        <v>4098</v>
      </c>
      <c r="N1839" s="63" t="s">
        <v>4099</v>
      </c>
      <c r="O1839" s="64" t="s">
        <v>344</v>
      </c>
    </row>
    <row r="1840" spans="9:15" x14ac:dyDescent="0.45">
      <c r="I1840"/>
      <c r="J1840"/>
      <c r="M1840" s="62" t="s">
        <v>4100</v>
      </c>
      <c r="N1840" s="63" t="s">
        <v>4101</v>
      </c>
      <c r="O1840" s="64" t="s">
        <v>453</v>
      </c>
    </row>
    <row r="1841" spans="9:15" x14ac:dyDescent="0.45">
      <c r="I1841"/>
      <c r="J1841"/>
      <c r="M1841" s="62" t="s">
        <v>4102</v>
      </c>
      <c r="N1841" s="63" t="s">
        <v>4103</v>
      </c>
      <c r="O1841" s="64" t="s">
        <v>691</v>
      </c>
    </row>
    <row r="1842" spans="9:15" x14ac:dyDescent="0.45">
      <c r="I1842"/>
      <c r="J1842"/>
      <c r="M1842" s="62" t="s">
        <v>4104</v>
      </c>
      <c r="N1842" s="63" t="s">
        <v>4105</v>
      </c>
      <c r="O1842" s="64" t="s">
        <v>324</v>
      </c>
    </row>
    <row r="1843" spans="9:15" x14ac:dyDescent="0.45">
      <c r="I1843"/>
      <c r="J1843"/>
      <c r="M1843" s="62" t="s">
        <v>4106</v>
      </c>
      <c r="N1843" s="63" t="s">
        <v>4107</v>
      </c>
      <c r="O1843" s="64" t="s">
        <v>632</v>
      </c>
    </row>
    <row r="1844" spans="9:15" x14ac:dyDescent="0.45">
      <c r="I1844"/>
      <c r="J1844"/>
      <c r="M1844" s="62" t="s">
        <v>4108</v>
      </c>
      <c r="N1844" s="63" t="s">
        <v>4109</v>
      </c>
      <c r="O1844" s="64" t="s">
        <v>330</v>
      </c>
    </row>
    <row r="1845" spans="9:15" x14ac:dyDescent="0.45">
      <c r="I1845"/>
      <c r="J1845"/>
      <c r="M1845" s="62" t="s">
        <v>4110</v>
      </c>
      <c r="N1845" s="63" t="s">
        <v>4111</v>
      </c>
      <c r="O1845" s="64" t="s">
        <v>1085</v>
      </c>
    </row>
    <row r="1846" spans="9:15" x14ac:dyDescent="0.45">
      <c r="I1846"/>
      <c r="J1846"/>
      <c r="M1846" s="62" t="s">
        <v>4112</v>
      </c>
      <c r="N1846" s="63" t="s">
        <v>4113</v>
      </c>
      <c r="O1846" s="64" t="s">
        <v>330</v>
      </c>
    </row>
    <row r="1847" spans="9:15" x14ac:dyDescent="0.45">
      <c r="I1847"/>
      <c r="J1847"/>
      <c r="M1847" s="62" t="s">
        <v>4114</v>
      </c>
      <c r="N1847" s="63" t="s">
        <v>4115</v>
      </c>
      <c r="O1847" s="64" t="s">
        <v>344</v>
      </c>
    </row>
    <row r="1848" spans="9:15" x14ac:dyDescent="0.45">
      <c r="I1848"/>
      <c r="J1848"/>
      <c r="M1848" s="62" t="s">
        <v>4116</v>
      </c>
      <c r="N1848" s="63" t="s">
        <v>4117</v>
      </c>
      <c r="O1848" s="64" t="s">
        <v>344</v>
      </c>
    </row>
    <row r="1849" spans="9:15" x14ac:dyDescent="0.45">
      <c r="I1849"/>
      <c r="J1849"/>
      <c r="M1849" s="62" t="s">
        <v>4118</v>
      </c>
      <c r="N1849" s="63" t="s">
        <v>4119</v>
      </c>
      <c r="O1849" s="64" t="s">
        <v>4120</v>
      </c>
    </row>
    <row r="1850" spans="9:15" x14ac:dyDescent="0.45">
      <c r="I1850"/>
      <c r="J1850"/>
      <c r="M1850" s="62" t="s">
        <v>4121</v>
      </c>
      <c r="N1850" s="63" t="s">
        <v>4122</v>
      </c>
      <c r="O1850" s="64" t="s">
        <v>549</v>
      </c>
    </row>
    <row r="1851" spans="9:15" x14ac:dyDescent="0.45">
      <c r="I1851"/>
      <c r="J1851"/>
      <c r="M1851" s="62" t="s">
        <v>4123</v>
      </c>
      <c r="N1851" s="63" t="s">
        <v>4124</v>
      </c>
      <c r="O1851" s="64" t="s">
        <v>330</v>
      </c>
    </row>
    <row r="1852" spans="9:15" x14ac:dyDescent="0.45">
      <c r="I1852"/>
      <c r="J1852"/>
      <c r="M1852" s="62" t="s">
        <v>4125</v>
      </c>
      <c r="N1852" s="63" t="s">
        <v>4126</v>
      </c>
      <c r="O1852" s="64" t="s">
        <v>330</v>
      </c>
    </row>
    <row r="1853" spans="9:15" x14ac:dyDescent="0.45">
      <c r="I1853"/>
      <c r="J1853"/>
      <c r="M1853" s="62" t="s">
        <v>4127</v>
      </c>
      <c r="N1853" s="63" t="s">
        <v>4128</v>
      </c>
      <c r="O1853" s="64" t="s">
        <v>509</v>
      </c>
    </row>
    <row r="1854" spans="9:15" x14ac:dyDescent="0.45">
      <c r="I1854"/>
      <c r="J1854"/>
      <c r="M1854" s="62" t="s">
        <v>4129</v>
      </c>
      <c r="N1854" s="63" t="s">
        <v>4130</v>
      </c>
      <c r="O1854" s="64" t="s">
        <v>549</v>
      </c>
    </row>
    <row r="1855" spans="9:15" x14ac:dyDescent="0.45">
      <c r="I1855"/>
      <c r="J1855"/>
      <c r="M1855" s="62" t="s">
        <v>4131</v>
      </c>
      <c r="N1855" s="63" t="s">
        <v>4132</v>
      </c>
      <c r="O1855" s="64" t="s">
        <v>359</v>
      </c>
    </row>
    <row r="1856" spans="9:15" x14ac:dyDescent="0.45">
      <c r="I1856"/>
      <c r="J1856"/>
      <c r="M1856" s="62" t="s">
        <v>4133</v>
      </c>
      <c r="N1856" s="63" t="s">
        <v>4134</v>
      </c>
      <c r="O1856" s="64" t="s">
        <v>625</v>
      </c>
    </row>
    <row r="1857" spans="9:15" x14ac:dyDescent="0.45">
      <c r="I1857"/>
      <c r="J1857"/>
      <c r="M1857" s="62" t="s">
        <v>4135</v>
      </c>
      <c r="N1857" s="63" t="s">
        <v>4136</v>
      </c>
      <c r="O1857" s="64" t="s">
        <v>327</v>
      </c>
    </row>
    <row r="1858" spans="9:15" x14ac:dyDescent="0.45">
      <c r="I1858"/>
      <c r="J1858"/>
      <c r="M1858" s="62" t="s">
        <v>4137</v>
      </c>
      <c r="N1858" s="63" t="s">
        <v>4138</v>
      </c>
      <c r="O1858" s="64" t="s">
        <v>336</v>
      </c>
    </row>
    <row r="1859" spans="9:15" x14ac:dyDescent="0.45">
      <c r="I1859"/>
      <c r="J1859"/>
      <c r="M1859" s="62" t="s">
        <v>4139</v>
      </c>
      <c r="N1859" s="63" t="s">
        <v>4140</v>
      </c>
      <c r="O1859" s="64" t="s">
        <v>344</v>
      </c>
    </row>
    <row r="1860" spans="9:15" x14ac:dyDescent="0.45">
      <c r="I1860"/>
      <c r="J1860"/>
      <c r="M1860" s="62" t="s">
        <v>4141</v>
      </c>
      <c r="N1860" s="63" t="s">
        <v>4142</v>
      </c>
      <c r="O1860" s="64" t="s">
        <v>330</v>
      </c>
    </row>
    <row r="1861" spans="9:15" x14ac:dyDescent="0.45">
      <c r="I1861"/>
      <c r="J1861"/>
      <c r="M1861" s="62" t="s">
        <v>4143</v>
      </c>
      <c r="N1861" s="63" t="s">
        <v>4144</v>
      </c>
      <c r="O1861" s="64" t="s">
        <v>330</v>
      </c>
    </row>
    <row r="1862" spans="9:15" x14ac:dyDescent="0.45">
      <c r="I1862"/>
      <c r="J1862"/>
      <c r="M1862" s="62" t="s">
        <v>4145</v>
      </c>
      <c r="N1862" s="63" t="s">
        <v>4146</v>
      </c>
      <c r="O1862" s="64" t="s">
        <v>333</v>
      </c>
    </row>
    <row r="1863" spans="9:15" x14ac:dyDescent="0.45">
      <c r="I1863"/>
      <c r="J1863"/>
      <c r="M1863" s="62" t="s">
        <v>4147</v>
      </c>
      <c r="N1863" s="63" t="s">
        <v>4148</v>
      </c>
      <c r="O1863" s="64" t="s">
        <v>596</v>
      </c>
    </row>
    <row r="1864" spans="9:15" x14ac:dyDescent="0.45">
      <c r="I1864"/>
      <c r="J1864"/>
      <c r="M1864" s="62" t="s">
        <v>4149</v>
      </c>
      <c r="N1864" s="63" t="s">
        <v>4150</v>
      </c>
      <c r="O1864" s="64" t="s">
        <v>518</v>
      </c>
    </row>
    <row r="1865" spans="9:15" x14ac:dyDescent="0.45">
      <c r="I1865"/>
      <c r="J1865"/>
      <c r="M1865" s="62" t="s">
        <v>4151</v>
      </c>
      <c r="N1865" s="63" t="s">
        <v>4152</v>
      </c>
      <c r="O1865" s="64" t="s">
        <v>330</v>
      </c>
    </row>
    <row r="1866" spans="9:15" x14ac:dyDescent="0.45">
      <c r="I1866"/>
      <c r="J1866"/>
      <c r="M1866" s="62" t="s">
        <v>4153</v>
      </c>
      <c r="N1866" s="63" t="s">
        <v>4154</v>
      </c>
      <c r="O1866" s="64" t="s">
        <v>330</v>
      </c>
    </row>
    <row r="1867" spans="9:15" x14ac:dyDescent="0.45">
      <c r="I1867"/>
      <c r="J1867"/>
      <c r="M1867" s="62" t="s">
        <v>4155</v>
      </c>
      <c r="N1867" s="63" t="s">
        <v>4156</v>
      </c>
      <c r="O1867" s="64" t="s">
        <v>327</v>
      </c>
    </row>
    <row r="1868" spans="9:15" x14ac:dyDescent="0.45">
      <c r="I1868"/>
      <c r="J1868"/>
      <c r="M1868" s="62" t="s">
        <v>4157</v>
      </c>
      <c r="N1868" s="63" t="s">
        <v>4158</v>
      </c>
      <c r="O1868" s="64" t="s">
        <v>321</v>
      </c>
    </row>
    <row r="1869" spans="9:15" x14ac:dyDescent="0.45">
      <c r="I1869"/>
      <c r="J1869"/>
      <c r="M1869" s="62" t="s">
        <v>4159</v>
      </c>
      <c r="N1869" s="63" t="s">
        <v>4160</v>
      </c>
      <c r="O1869" s="64" t="s">
        <v>330</v>
      </c>
    </row>
    <row r="1870" spans="9:15" x14ac:dyDescent="0.45">
      <c r="I1870"/>
      <c r="J1870"/>
      <c r="M1870" s="62" t="s">
        <v>4161</v>
      </c>
      <c r="N1870" s="63" t="s">
        <v>4162</v>
      </c>
      <c r="O1870" s="64" t="s">
        <v>330</v>
      </c>
    </row>
    <row r="1871" spans="9:15" x14ac:dyDescent="0.45">
      <c r="I1871"/>
      <c r="J1871"/>
      <c r="M1871" s="62" t="s">
        <v>4163</v>
      </c>
      <c r="N1871" s="63" t="s">
        <v>4164</v>
      </c>
      <c r="O1871" s="64" t="s">
        <v>417</v>
      </c>
    </row>
    <row r="1872" spans="9:15" x14ac:dyDescent="0.45">
      <c r="I1872"/>
      <c r="J1872"/>
      <c r="M1872" s="62" t="s">
        <v>4165</v>
      </c>
      <c r="N1872" s="63" t="s">
        <v>4166</v>
      </c>
      <c r="O1872" s="64" t="s">
        <v>3009</v>
      </c>
    </row>
    <row r="1873" spans="9:15" x14ac:dyDescent="0.45">
      <c r="I1873"/>
      <c r="J1873"/>
      <c r="M1873" s="62" t="s">
        <v>4167</v>
      </c>
      <c r="N1873" s="63" t="s">
        <v>4168</v>
      </c>
      <c r="O1873" s="64" t="s">
        <v>3933</v>
      </c>
    </row>
    <row r="1874" spans="9:15" x14ac:dyDescent="0.45">
      <c r="I1874"/>
      <c r="J1874"/>
      <c r="M1874" s="62" t="s">
        <v>4169</v>
      </c>
      <c r="N1874" s="63" t="s">
        <v>4170</v>
      </c>
      <c r="O1874" s="64" t="s">
        <v>330</v>
      </c>
    </row>
    <row r="1875" spans="9:15" x14ac:dyDescent="0.45">
      <c r="I1875"/>
      <c r="J1875"/>
      <c r="M1875" s="62" t="s">
        <v>4171</v>
      </c>
      <c r="N1875" s="63" t="s">
        <v>4172</v>
      </c>
      <c r="O1875" s="64" t="s">
        <v>330</v>
      </c>
    </row>
    <row r="1876" spans="9:15" x14ac:dyDescent="0.45">
      <c r="I1876"/>
      <c r="J1876"/>
      <c r="M1876" s="87" t="s">
        <v>4173</v>
      </c>
      <c r="N1876" s="88" t="s">
        <v>4174</v>
      </c>
      <c r="O1876" s="64" t="s">
        <v>509</v>
      </c>
    </row>
    <row r="1877" spans="9:15" x14ac:dyDescent="0.45">
      <c r="I1877"/>
      <c r="J1877"/>
      <c r="M1877" s="62" t="s">
        <v>4175</v>
      </c>
      <c r="N1877" s="63" t="s">
        <v>4176</v>
      </c>
      <c r="O1877" s="64" t="s">
        <v>849</v>
      </c>
    </row>
    <row r="1878" spans="9:15" x14ac:dyDescent="0.45">
      <c r="I1878"/>
      <c r="J1878"/>
      <c r="M1878" s="62" t="s">
        <v>4177</v>
      </c>
      <c r="N1878" s="63" t="s">
        <v>4178</v>
      </c>
      <c r="O1878" s="64" t="s">
        <v>364</v>
      </c>
    </row>
    <row r="1879" spans="9:15" x14ac:dyDescent="0.45">
      <c r="I1879"/>
      <c r="J1879"/>
      <c r="M1879" s="62" t="s">
        <v>4179</v>
      </c>
      <c r="N1879" s="63" t="s">
        <v>4180</v>
      </c>
      <c r="O1879" s="64" t="s">
        <v>330</v>
      </c>
    </row>
    <row r="1880" spans="9:15" x14ac:dyDescent="0.45">
      <c r="I1880"/>
      <c r="J1880"/>
      <c r="M1880" s="62" t="s">
        <v>4181</v>
      </c>
      <c r="N1880" s="63" t="s">
        <v>4182</v>
      </c>
      <c r="O1880" s="64" t="s">
        <v>509</v>
      </c>
    </row>
    <row r="1881" spans="9:15" x14ac:dyDescent="0.45">
      <c r="I1881"/>
      <c r="J1881"/>
      <c r="M1881" s="62" t="s">
        <v>4183</v>
      </c>
      <c r="N1881" s="63" t="s">
        <v>4184</v>
      </c>
      <c r="O1881" s="64" t="s">
        <v>330</v>
      </c>
    </row>
    <row r="1882" spans="9:15" x14ac:dyDescent="0.45">
      <c r="I1882"/>
      <c r="J1882"/>
      <c r="M1882" s="62" t="s">
        <v>4185</v>
      </c>
      <c r="N1882" s="63" t="s">
        <v>4186</v>
      </c>
      <c r="O1882" s="64" t="s">
        <v>743</v>
      </c>
    </row>
    <row r="1883" spans="9:15" x14ac:dyDescent="0.45">
      <c r="I1883"/>
      <c r="J1883"/>
      <c r="M1883" s="62" t="s">
        <v>4187</v>
      </c>
      <c r="N1883" s="63" t="s">
        <v>4188</v>
      </c>
      <c r="O1883" s="64" t="s">
        <v>515</v>
      </c>
    </row>
    <row r="1884" spans="9:15" x14ac:dyDescent="0.45">
      <c r="I1884"/>
      <c r="J1884"/>
      <c r="M1884" s="62" t="s">
        <v>4189</v>
      </c>
      <c r="N1884" s="63" t="s">
        <v>4190</v>
      </c>
      <c r="O1884" s="64" t="s">
        <v>330</v>
      </c>
    </row>
    <row r="1885" spans="9:15" x14ac:dyDescent="0.45">
      <c r="I1885"/>
      <c r="J1885"/>
      <c r="M1885" s="62" t="s">
        <v>4191</v>
      </c>
      <c r="N1885" s="63" t="s">
        <v>4192</v>
      </c>
      <c r="O1885" s="64" t="s">
        <v>341</v>
      </c>
    </row>
    <row r="1886" spans="9:15" x14ac:dyDescent="0.45">
      <c r="I1886"/>
      <c r="J1886"/>
      <c r="M1886" s="62" t="s">
        <v>4193</v>
      </c>
      <c r="N1886" s="63" t="s">
        <v>4194</v>
      </c>
      <c r="O1886" s="64" t="s">
        <v>400</v>
      </c>
    </row>
    <row r="1887" spans="9:15" x14ac:dyDescent="0.45">
      <c r="I1887"/>
      <c r="J1887"/>
      <c r="M1887" s="62" t="s">
        <v>4195</v>
      </c>
      <c r="N1887" s="63" t="s">
        <v>4196</v>
      </c>
      <c r="O1887" s="64" t="s">
        <v>330</v>
      </c>
    </row>
    <row r="1888" spans="9:15" x14ac:dyDescent="0.45">
      <c r="I1888"/>
      <c r="J1888"/>
      <c r="M1888" s="62" t="s">
        <v>4197</v>
      </c>
      <c r="N1888" s="63" t="s">
        <v>4198</v>
      </c>
      <c r="O1888" s="64" t="s">
        <v>515</v>
      </c>
    </row>
    <row r="1889" spans="9:15" x14ac:dyDescent="0.45">
      <c r="I1889"/>
      <c r="J1889"/>
      <c r="M1889" s="75" t="s">
        <v>4199</v>
      </c>
      <c r="N1889" s="76" t="s">
        <v>4200</v>
      </c>
      <c r="O1889" s="77" t="s">
        <v>344</v>
      </c>
    </row>
    <row r="1890" spans="9:15" x14ac:dyDescent="0.45">
      <c r="I1890"/>
      <c r="J1890"/>
      <c r="M1890" s="62" t="s">
        <v>4201</v>
      </c>
      <c r="N1890" s="63" t="s">
        <v>4202</v>
      </c>
      <c r="O1890" s="64" t="s">
        <v>437</v>
      </c>
    </row>
    <row r="1891" spans="9:15" x14ac:dyDescent="0.45">
      <c r="I1891"/>
      <c r="J1891"/>
      <c r="M1891" s="62" t="s">
        <v>4203</v>
      </c>
      <c r="N1891" s="63" t="s">
        <v>4204</v>
      </c>
      <c r="O1891" s="64" t="s">
        <v>327</v>
      </c>
    </row>
    <row r="1892" spans="9:15" x14ac:dyDescent="0.45">
      <c r="I1892"/>
      <c r="J1892"/>
      <c r="M1892" s="62" t="s">
        <v>4205</v>
      </c>
      <c r="N1892" s="63" t="s">
        <v>4206</v>
      </c>
      <c r="O1892" s="64" t="s">
        <v>330</v>
      </c>
    </row>
    <row r="1893" spans="9:15" x14ac:dyDescent="0.45">
      <c r="I1893"/>
      <c r="J1893"/>
      <c r="M1893" s="62" t="s">
        <v>4207</v>
      </c>
      <c r="N1893" s="63" t="s">
        <v>4208</v>
      </c>
      <c r="O1893" s="64" t="s">
        <v>321</v>
      </c>
    </row>
    <row r="1894" spans="9:15" x14ac:dyDescent="0.45">
      <c r="I1894"/>
      <c r="J1894"/>
      <c r="M1894" s="62" t="s">
        <v>4209</v>
      </c>
      <c r="N1894" s="63" t="s">
        <v>4210</v>
      </c>
      <c r="O1894" s="64" t="s">
        <v>330</v>
      </c>
    </row>
    <row r="1895" spans="9:15" x14ac:dyDescent="0.45">
      <c r="I1895"/>
      <c r="J1895"/>
      <c r="M1895" s="62" t="s">
        <v>4211</v>
      </c>
      <c r="N1895" s="63" t="s">
        <v>4212</v>
      </c>
      <c r="O1895" s="64" t="s">
        <v>327</v>
      </c>
    </row>
    <row r="1896" spans="9:15" x14ac:dyDescent="0.45">
      <c r="I1896"/>
      <c r="J1896"/>
      <c r="M1896" s="62" t="s">
        <v>4213</v>
      </c>
      <c r="N1896" s="63" t="s">
        <v>4214</v>
      </c>
      <c r="O1896" s="64" t="s">
        <v>3100</v>
      </c>
    </row>
    <row r="1897" spans="9:15" x14ac:dyDescent="0.45">
      <c r="I1897"/>
      <c r="J1897"/>
      <c r="M1897" s="62" t="s">
        <v>4215</v>
      </c>
      <c r="N1897" s="63" t="s">
        <v>4216</v>
      </c>
      <c r="O1897" s="64" t="s">
        <v>632</v>
      </c>
    </row>
    <row r="1898" spans="9:15" x14ac:dyDescent="0.45">
      <c r="I1898"/>
      <c r="J1898"/>
      <c r="M1898" s="62" t="s">
        <v>4217</v>
      </c>
      <c r="N1898" s="63" t="s">
        <v>4218</v>
      </c>
      <c r="O1898" s="64" t="s">
        <v>321</v>
      </c>
    </row>
    <row r="1899" spans="9:15" x14ac:dyDescent="0.45">
      <c r="I1899"/>
      <c r="J1899"/>
      <c r="M1899" s="62" t="s">
        <v>4219</v>
      </c>
      <c r="N1899" s="63" t="s">
        <v>4220</v>
      </c>
      <c r="O1899" s="64" t="s">
        <v>359</v>
      </c>
    </row>
    <row r="1900" spans="9:15" x14ac:dyDescent="0.45">
      <c r="I1900"/>
      <c r="J1900"/>
      <c r="M1900" s="62" t="s">
        <v>4221</v>
      </c>
      <c r="N1900" s="63" t="s">
        <v>4222</v>
      </c>
      <c r="O1900" s="64" t="s">
        <v>625</v>
      </c>
    </row>
    <row r="1901" spans="9:15" x14ac:dyDescent="0.45">
      <c r="I1901"/>
      <c r="J1901"/>
      <c r="M1901" s="62" t="s">
        <v>4223</v>
      </c>
      <c r="N1901" s="63" t="s">
        <v>4224</v>
      </c>
      <c r="O1901" s="64" t="s">
        <v>1085</v>
      </c>
    </row>
    <row r="1902" spans="9:15" x14ac:dyDescent="0.45">
      <c r="I1902"/>
      <c r="J1902"/>
      <c r="M1902" s="62" t="s">
        <v>4225</v>
      </c>
      <c r="N1902" s="63" t="s">
        <v>4226</v>
      </c>
      <c r="O1902" s="64" t="s">
        <v>364</v>
      </c>
    </row>
    <row r="1903" spans="9:15" x14ac:dyDescent="0.45">
      <c r="I1903"/>
      <c r="J1903"/>
      <c r="M1903" s="62" t="s">
        <v>4227</v>
      </c>
      <c r="N1903" s="63" t="s">
        <v>4228</v>
      </c>
      <c r="O1903" s="64" t="s">
        <v>532</v>
      </c>
    </row>
    <row r="1904" spans="9:15" x14ac:dyDescent="0.45">
      <c r="I1904"/>
      <c r="J1904"/>
      <c r="M1904" s="62" t="s">
        <v>4229</v>
      </c>
      <c r="N1904" s="63" t="s">
        <v>4230</v>
      </c>
      <c r="O1904" s="64" t="s">
        <v>330</v>
      </c>
    </row>
    <row r="1905" spans="9:15" x14ac:dyDescent="0.45">
      <c r="I1905"/>
      <c r="J1905"/>
      <c r="M1905" s="62" t="s">
        <v>4231</v>
      </c>
      <c r="N1905" s="63" t="s">
        <v>4232</v>
      </c>
      <c r="O1905" s="64" t="s">
        <v>330</v>
      </c>
    </row>
    <row r="1906" spans="9:15" x14ac:dyDescent="0.45">
      <c r="I1906"/>
      <c r="J1906"/>
      <c r="M1906" s="62" t="s">
        <v>4233</v>
      </c>
      <c r="N1906" s="63" t="s">
        <v>4234</v>
      </c>
      <c r="O1906" s="64" t="s">
        <v>330</v>
      </c>
    </row>
    <row r="1907" spans="9:15" x14ac:dyDescent="0.45">
      <c r="I1907"/>
      <c r="J1907"/>
      <c r="M1907" s="62" t="s">
        <v>4235</v>
      </c>
      <c r="N1907" s="63" t="s">
        <v>4236</v>
      </c>
      <c r="O1907" s="64" t="s">
        <v>344</v>
      </c>
    </row>
    <row r="1908" spans="9:15" x14ac:dyDescent="0.45">
      <c r="I1908"/>
      <c r="J1908"/>
      <c r="M1908" s="62" t="s">
        <v>4237</v>
      </c>
      <c r="N1908" s="63" t="s">
        <v>4238</v>
      </c>
      <c r="O1908" s="64" t="s">
        <v>330</v>
      </c>
    </row>
    <row r="1909" spans="9:15" x14ac:dyDescent="0.45">
      <c r="I1909"/>
      <c r="J1909"/>
      <c r="M1909" s="62" t="s">
        <v>4239</v>
      </c>
      <c r="N1909" s="63" t="s">
        <v>4240</v>
      </c>
      <c r="O1909" s="64" t="s">
        <v>625</v>
      </c>
    </row>
    <row r="1910" spans="9:15" x14ac:dyDescent="0.45">
      <c r="I1910"/>
      <c r="J1910"/>
      <c r="M1910" s="62" t="s">
        <v>4241</v>
      </c>
      <c r="N1910" s="63" t="s">
        <v>4242</v>
      </c>
      <c r="O1910" s="64" t="s">
        <v>330</v>
      </c>
    </row>
    <row r="1911" spans="9:15" x14ac:dyDescent="0.45">
      <c r="I1911"/>
      <c r="J1911"/>
      <c r="M1911" s="62" t="s">
        <v>4243</v>
      </c>
      <c r="N1911" s="63" t="s">
        <v>4244</v>
      </c>
      <c r="O1911" s="64" t="s">
        <v>344</v>
      </c>
    </row>
    <row r="1912" spans="9:15" x14ac:dyDescent="0.45">
      <c r="I1912"/>
      <c r="J1912"/>
      <c r="M1912" s="62" t="s">
        <v>4245</v>
      </c>
      <c r="N1912" s="63" t="s">
        <v>4246</v>
      </c>
      <c r="O1912" s="64" t="s">
        <v>330</v>
      </c>
    </row>
    <row r="1913" spans="9:15" x14ac:dyDescent="0.45">
      <c r="I1913"/>
      <c r="J1913"/>
      <c r="M1913" s="62" t="s">
        <v>4247</v>
      </c>
      <c r="N1913" s="63" t="s">
        <v>4248</v>
      </c>
      <c r="O1913" s="64" t="s">
        <v>327</v>
      </c>
    </row>
    <row r="1914" spans="9:15" x14ac:dyDescent="0.45">
      <c r="I1914"/>
      <c r="J1914"/>
      <c r="M1914" s="62" t="s">
        <v>4249</v>
      </c>
      <c r="N1914" s="63" t="s">
        <v>4250</v>
      </c>
      <c r="O1914" s="64" t="s">
        <v>327</v>
      </c>
    </row>
    <row r="1915" spans="9:15" x14ac:dyDescent="0.45">
      <c r="I1915"/>
      <c r="J1915"/>
      <c r="M1915" s="62" t="s">
        <v>4251</v>
      </c>
      <c r="N1915" s="63" t="s">
        <v>4252</v>
      </c>
      <c r="O1915" s="64" t="s">
        <v>330</v>
      </c>
    </row>
    <row r="1916" spans="9:15" x14ac:dyDescent="0.45">
      <c r="I1916"/>
      <c r="J1916"/>
      <c r="M1916" s="62" t="s">
        <v>4253</v>
      </c>
      <c r="N1916" s="63" t="s">
        <v>4254</v>
      </c>
      <c r="O1916" s="64" t="s">
        <v>321</v>
      </c>
    </row>
    <row r="1917" spans="9:15" x14ac:dyDescent="0.45">
      <c r="I1917"/>
      <c r="J1917"/>
      <c r="M1917" s="62" t="s">
        <v>4255</v>
      </c>
      <c r="N1917" s="63" t="s">
        <v>4256</v>
      </c>
      <c r="O1917" s="64" t="s">
        <v>2249</v>
      </c>
    </row>
    <row r="1918" spans="9:15" x14ac:dyDescent="0.45">
      <c r="I1918"/>
      <c r="J1918"/>
      <c r="M1918" s="62" t="s">
        <v>4257</v>
      </c>
      <c r="N1918" s="63" t="s">
        <v>4258</v>
      </c>
      <c r="O1918" s="64" t="s">
        <v>336</v>
      </c>
    </row>
    <row r="1919" spans="9:15" x14ac:dyDescent="0.45">
      <c r="I1919"/>
      <c r="J1919"/>
      <c r="M1919" s="71" t="s">
        <v>4259</v>
      </c>
      <c r="N1919" s="72" t="s">
        <v>4260</v>
      </c>
      <c r="O1919" s="72" t="s">
        <v>330</v>
      </c>
    </row>
    <row r="1920" spans="9:15" x14ac:dyDescent="0.45">
      <c r="I1920"/>
      <c r="J1920"/>
      <c r="M1920" s="62" t="s">
        <v>4261</v>
      </c>
      <c r="N1920" s="63" t="s">
        <v>4262</v>
      </c>
      <c r="O1920" s="64" t="s">
        <v>327</v>
      </c>
    </row>
    <row r="1921" spans="9:15" x14ac:dyDescent="0.45">
      <c r="I1921"/>
      <c r="J1921"/>
      <c r="M1921" s="62" t="s">
        <v>4263</v>
      </c>
      <c r="N1921" s="63" t="s">
        <v>4264</v>
      </c>
      <c r="O1921" s="64" t="s">
        <v>321</v>
      </c>
    </row>
    <row r="1922" spans="9:15" x14ac:dyDescent="0.45">
      <c r="I1922"/>
      <c r="J1922"/>
      <c r="M1922" s="62" t="s">
        <v>4265</v>
      </c>
      <c r="N1922" s="63" t="s">
        <v>4266</v>
      </c>
      <c r="O1922" s="64" t="s">
        <v>330</v>
      </c>
    </row>
    <row r="1923" spans="9:15" x14ac:dyDescent="0.45">
      <c r="I1923"/>
      <c r="J1923"/>
      <c r="M1923" s="62" t="s">
        <v>4267</v>
      </c>
      <c r="N1923" s="63" t="s">
        <v>4268</v>
      </c>
      <c r="O1923" s="64" t="s">
        <v>509</v>
      </c>
    </row>
    <row r="1924" spans="9:15" x14ac:dyDescent="0.45">
      <c r="I1924"/>
      <c r="J1924"/>
      <c r="M1924" s="62" t="s">
        <v>4269</v>
      </c>
      <c r="N1924" s="63" t="s">
        <v>4270</v>
      </c>
      <c r="O1924" s="64" t="s">
        <v>509</v>
      </c>
    </row>
    <row r="1925" spans="9:15" x14ac:dyDescent="0.45">
      <c r="I1925"/>
      <c r="J1925"/>
      <c r="M1925" s="62" t="s">
        <v>4271</v>
      </c>
      <c r="N1925" s="63" t="s">
        <v>4272</v>
      </c>
      <c r="O1925" s="64" t="s">
        <v>344</v>
      </c>
    </row>
    <row r="1926" spans="9:15" x14ac:dyDescent="0.45">
      <c r="I1926"/>
      <c r="J1926"/>
      <c r="M1926" s="75" t="s">
        <v>4273</v>
      </c>
      <c r="N1926" s="76" t="s">
        <v>4274</v>
      </c>
      <c r="O1926" s="64" t="s">
        <v>549</v>
      </c>
    </row>
    <row r="1927" spans="9:15" x14ac:dyDescent="0.45">
      <c r="I1927"/>
      <c r="J1927"/>
      <c r="M1927" s="62" t="s">
        <v>4275</v>
      </c>
      <c r="N1927" s="63" t="s">
        <v>4276</v>
      </c>
      <c r="O1927" s="64" t="s">
        <v>330</v>
      </c>
    </row>
    <row r="1928" spans="9:15" x14ac:dyDescent="0.45">
      <c r="I1928"/>
      <c r="J1928"/>
      <c r="M1928" s="62" t="s">
        <v>4277</v>
      </c>
      <c r="N1928" s="63" t="s">
        <v>4278</v>
      </c>
      <c r="O1928" s="64" t="s">
        <v>616</v>
      </c>
    </row>
    <row r="1929" spans="9:15" x14ac:dyDescent="0.45">
      <c r="I1929"/>
      <c r="J1929"/>
      <c r="M1929" s="62" t="s">
        <v>4279</v>
      </c>
      <c r="N1929" s="63" t="s">
        <v>4280</v>
      </c>
      <c r="O1929" s="64" t="s">
        <v>330</v>
      </c>
    </row>
    <row r="1930" spans="9:15" x14ac:dyDescent="0.45">
      <c r="I1930"/>
      <c r="J1930"/>
      <c r="M1930" s="62" t="s">
        <v>4281</v>
      </c>
      <c r="N1930" s="63" t="s">
        <v>4282</v>
      </c>
      <c r="O1930" s="64" t="s">
        <v>344</v>
      </c>
    </row>
    <row r="1931" spans="9:15" x14ac:dyDescent="0.45">
      <c r="I1931"/>
      <c r="J1931"/>
      <c r="M1931" s="62" t="s">
        <v>4283</v>
      </c>
      <c r="N1931" s="63" t="s">
        <v>4284</v>
      </c>
      <c r="O1931" s="64" t="s">
        <v>330</v>
      </c>
    </row>
    <row r="1932" spans="9:15" x14ac:dyDescent="0.45">
      <c r="I1932"/>
      <c r="J1932"/>
      <c r="M1932" s="62" t="s">
        <v>4285</v>
      </c>
      <c r="N1932" s="63" t="s">
        <v>4286</v>
      </c>
      <c r="O1932" s="64" t="s">
        <v>521</v>
      </c>
    </row>
    <row r="1933" spans="9:15" x14ac:dyDescent="0.45">
      <c r="I1933"/>
      <c r="J1933"/>
      <c r="M1933" s="62" t="s">
        <v>4287</v>
      </c>
      <c r="N1933" s="63" t="s">
        <v>4288</v>
      </c>
      <c r="O1933" s="64" t="s">
        <v>330</v>
      </c>
    </row>
    <row r="1934" spans="9:15" x14ac:dyDescent="0.45">
      <c r="I1934"/>
      <c r="J1934"/>
      <c r="M1934" s="62" t="s">
        <v>4289</v>
      </c>
      <c r="N1934" s="63" t="s">
        <v>4290</v>
      </c>
      <c r="O1934" s="64" t="s">
        <v>327</v>
      </c>
    </row>
    <row r="1935" spans="9:15" x14ac:dyDescent="0.45">
      <c r="I1935"/>
      <c r="J1935"/>
      <c r="M1935" s="62" t="s">
        <v>4291</v>
      </c>
      <c r="N1935" s="63" t="s">
        <v>4292</v>
      </c>
      <c r="O1935" s="64" t="s">
        <v>327</v>
      </c>
    </row>
    <row r="1936" spans="9:15" x14ac:dyDescent="0.45">
      <c r="I1936"/>
      <c r="J1936"/>
      <c r="M1936" s="62" t="s">
        <v>4293</v>
      </c>
      <c r="N1936" s="63" t="s">
        <v>4294</v>
      </c>
      <c r="O1936" s="64" t="s">
        <v>632</v>
      </c>
    </row>
    <row r="1937" spans="9:15" x14ac:dyDescent="0.45">
      <c r="I1937"/>
      <c r="J1937"/>
      <c r="M1937" s="62" t="s">
        <v>4295</v>
      </c>
      <c r="N1937" s="63" t="s">
        <v>4296</v>
      </c>
      <c r="O1937" s="64" t="s">
        <v>330</v>
      </c>
    </row>
    <row r="1938" spans="9:15" x14ac:dyDescent="0.45">
      <c r="I1938"/>
      <c r="J1938"/>
      <c r="M1938" s="62" t="s">
        <v>4297</v>
      </c>
      <c r="N1938" s="63" t="s">
        <v>4298</v>
      </c>
      <c r="O1938" s="64" t="s">
        <v>333</v>
      </c>
    </row>
    <row r="1939" spans="9:15" x14ac:dyDescent="0.45">
      <c r="I1939"/>
      <c r="J1939"/>
      <c r="M1939" s="62" t="s">
        <v>4299</v>
      </c>
      <c r="N1939" s="63" t="s">
        <v>4300</v>
      </c>
      <c r="O1939" s="64" t="s">
        <v>453</v>
      </c>
    </row>
    <row r="1940" spans="9:15" x14ac:dyDescent="0.45">
      <c r="I1940"/>
      <c r="J1940"/>
      <c r="M1940" s="62" t="s">
        <v>4301</v>
      </c>
      <c r="N1940" s="63" t="s">
        <v>4302</v>
      </c>
      <c r="O1940" s="64" t="s">
        <v>4303</v>
      </c>
    </row>
    <row r="1941" spans="9:15" x14ac:dyDescent="0.45">
      <c r="I1941"/>
      <c r="J1941"/>
      <c r="M1941" s="62" t="s">
        <v>4304</v>
      </c>
      <c r="N1941" s="63" t="s">
        <v>4305</v>
      </c>
      <c r="O1941" s="64" t="s">
        <v>330</v>
      </c>
    </row>
    <row r="1942" spans="9:15" x14ac:dyDescent="0.45">
      <c r="I1942"/>
      <c r="J1942"/>
      <c r="M1942" s="62" t="s">
        <v>4306</v>
      </c>
      <c r="N1942" s="63" t="s">
        <v>4307</v>
      </c>
      <c r="O1942" s="64" t="s">
        <v>330</v>
      </c>
    </row>
    <row r="1943" spans="9:15" x14ac:dyDescent="0.45">
      <c r="I1943"/>
      <c r="J1943"/>
      <c r="M1943" s="62" t="s">
        <v>4308</v>
      </c>
      <c r="N1943" s="63" t="s">
        <v>4309</v>
      </c>
      <c r="O1943" s="64" t="s">
        <v>330</v>
      </c>
    </row>
    <row r="1944" spans="9:15" x14ac:dyDescent="0.45">
      <c r="I1944"/>
      <c r="J1944"/>
      <c r="M1944" s="62" t="s">
        <v>4310</v>
      </c>
      <c r="N1944" s="63" t="s">
        <v>4311</v>
      </c>
      <c r="O1944" s="64" t="s">
        <v>2801</v>
      </c>
    </row>
    <row r="1945" spans="9:15" x14ac:dyDescent="0.45">
      <c r="I1945"/>
      <c r="J1945"/>
      <c r="M1945" s="62" t="s">
        <v>4312</v>
      </c>
      <c r="N1945" s="63" t="s">
        <v>4313</v>
      </c>
      <c r="O1945" s="64" t="s">
        <v>330</v>
      </c>
    </row>
    <row r="1946" spans="9:15" x14ac:dyDescent="0.45">
      <c r="I1946"/>
      <c r="J1946"/>
      <c r="M1946" s="62" t="s">
        <v>4314</v>
      </c>
      <c r="N1946" s="63" t="s">
        <v>4315</v>
      </c>
      <c r="O1946" s="64" t="s">
        <v>330</v>
      </c>
    </row>
    <row r="1947" spans="9:15" x14ac:dyDescent="0.45">
      <c r="I1947"/>
      <c r="J1947"/>
      <c r="M1947" s="62" t="s">
        <v>4316</v>
      </c>
      <c r="N1947" s="63" t="s">
        <v>4317</v>
      </c>
      <c r="O1947" s="64" t="s">
        <v>330</v>
      </c>
    </row>
    <row r="1948" spans="9:15" x14ac:dyDescent="0.45">
      <c r="I1948"/>
      <c r="J1948"/>
      <c r="M1948" s="62" t="s">
        <v>4318</v>
      </c>
      <c r="N1948" s="63" t="s">
        <v>4319</v>
      </c>
      <c r="O1948" s="64" t="s">
        <v>330</v>
      </c>
    </row>
    <row r="1949" spans="9:15" x14ac:dyDescent="0.45">
      <c r="I1949"/>
      <c r="J1949"/>
      <c r="M1949" s="62" t="s">
        <v>4320</v>
      </c>
      <c r="N1949" s="63" t="s">
        <v>4321</v>
      </c>
      <c r="O1949" s="64" t="s">
        <v>327</v>
      </c>
    </row>
    <row r="1950" spans="9:15" x14ac:dyDescent="0.45">
      <c r="I1950"/>
      <c r="J1950"/>
      <c r="M1950" s="62" t="s">
        <v>4322</v>
      </c>
      <c r="N1950" s="63" t="s">
        <v>4323</v>
      </c>
      <c r="O1950" s="64" t="s">
        <v>324</v>
      </c>
    </row>
    <row r="1951" spans="9:15" x14ac:dyDescent="0.45">
      <c r="I1951"/>
      <c r="J1951"/>
      <c r="M1951" s="62" t="s">
        <v>4324</v>
      </c>
      <c r="N1951" s="63" t="s">
        <v>4325</v>
      </c>
      <c r="O1951" s="64" t="s">
        <v>403</v>
      </c>
    </row>
    <row r="1952" spans="9:15" x14ac:dyDescent="0.45">
      <c r="I1952"/>
      <c r="J1952"/>
      <c r="M1952" s="62" t="s">
        <v>4326</v>
      </c>
      <c r="N1952" s="63" t="s">
        <v>4327</v>
      </c>
      <c r="O1952" s="64" t="s">
        <v>330</v>
      </c>
    </row>
    <row r="1953" spans="9:15" x14ac:dyDescent="0.45">
      <c r="I1953"/>
      <c r="J1953"/>
      <c r="M1953" s="62" t="s">
        <v>4328</v>
      </c>
      <c r="N1953" s="63" t="s">
        <v>4329</v>
      </c>
      <c r="O1953" s="64" t="s">
        <v>4330</v>
      </c>
    </row>
    <row r="1954" spans="9:15" x14ac:dyDescent="0.45">
      <c r="I1954"/>
      <c r="J1954"/>
      <c r="M1954" s="62" t="s">
        <v>4331</v>
      </c>
      <c r="N1954" s="63" t="s">
        <v>4332</v>
      </c>
      <c r="O1954" s="64" t="s">
        <v>344</v>
      </c>
    </row>
    <row r="1955" spans="9:15" x14ac:dyDescent="0.45">
      <c r="I1955"/>
      <c r="J1955"/>
      <c r="M1955" s="62" t="s">
        <v>4333</v>
      </c>
      <c r="N1955" s="63" t="s">
        <v>4334</v>
      </c>
      <c r="O1955" s="64" t="s">
        <v>324</v>
      </c>
    </row>
    <row r="1956" spans="9:15" x14ac:dyDescent="0.45">
      <c r="I1956"/>
      <c r="J1956"/>
      <c r="M1956" s="62" t="s">
        <v>4335</v>
      </c>
      <c r="N1956" s="63" t="s">
        <v>4336</v>
      </c>
      <c r="O1956" s="64" t="s">
        <v>549</v>
      </c>
    </row>
    <row r="1957" spans="9:15" x14ac:dyDescent="0.45">
      <c r="I1957"/>
      <c r="J1957"/>
      <c r="M1957" s="62" t="s">
        <v>4337</v>
      </c>
      <c r="N1957" s="63" t="s">
        <v>4338</v>
      </c>
      <c r="O1957" s="64" t="s">
        <v>344</v>
      </c>
    </row>
    <row r="1958" spans="9:15" x14ac:dyDescent="0.45">
      <c r="I1958"/>
      <c r="J1958"/>
      <c r="M1958" s="62" t="s">
        <v>4339</v>
      </c>
      <c r="N1958" s="63" t="s">
        <v>4340</v>
      </c>
      <c r="O1958" s="64" t="s">
        <v>318</v>
      </c>
    </row>
    <row r="1959" spans="9:15" x14ac:dyDescent="0.45">
      <c r="I1959"/>
      <c r="J1959"/>
      <c r="M1959" s="62" t="s">
        <v>4341</v>
      </c>
      <c r="N1959" s="63" t="s">
        <v>4342</v>
      </c>
      <c r="O1959" s="64" t="s">
        <v>344</v>
      </c>
    </row>
    <row r="1960" spans="9:15" x14ac:dyDescent="0.45">
      <c r="I1960"/>
      <c r="J1960"/>
      <c r="M1960" s="62" t="s">
        <v>4343</v>
      </c>
      <c r="N1960" s="63" t="s">
        <v>4344</v>
      </c>
      <c r="O1960" s="64" t="s">
        <v>336</v>
      </c>
    </row>
    <row r="1961" spans="9:15" x14ac:dyDescent="0.45">
      <c r="I1961"/>
      <c r="J1961"/>
      <c r="M1961" s="62" t="s">
        <v>4345</v>
      </c>
      <c r="N1961" s="63" t="s">
        <v>4346</v>
      </c>
      <c r="O1961" s="64" t="s">
        <v>324</v>
      </c>
    </row>
    <row r="1962" spans="9:15" x14ac:dyDescent="0.45">
      <c r="I1962"/>
      <c r="J1962"/>
      <c r="M1962" s="67" t="s">
        <v>4347</v>
      </c>
      <c r="N1962" s="68" t="s">
        <v>4348</v>
      </c>
      <c r="O1962" s="64" t="s">
        <v>318</v>
      </c>
    </row>
    <row r="1963" spans="9:15" x14ac:dyDescent="0.45">
      <c r="I1963"/>
      <c r="J1963"/>
      <c r="M1963" s="71" t="s">
        <v>4349</v>
      </c>
      <c r="N1963" s="72" t="s">
        <v>4350</v>
      </c>
      <c r="O1963" s="72" t="s">
        <v>330</v>
      </c>
    </row>
    <row r="1964" spans="9:15" x14ac:dyDescent="0.45">
      <c r="I1964"/>
      <c r="J1964"/>
      <c r="M1964" s="62" t="s">
        <v>4351</v>
      </c>
      <c r="N1964" s="63" t="s">
        <v>4352</v>
      </c>
      <c r="O1964" s="64" t="s">
        <v>632</v>
      </c>
    </row>
    <row r="1965" spans="9:15" x14ac:dyDescent="0.45">
      <c r="I1965"/>
      <c r="J1965"/>
      <c r="M1965" s="62" t="s">
        <v>4353</v>
      </c>
      <c r="N1965" s="63" t="s">
        <v>4354</v>
      </c>
      <c r="O1965" s="64" t="s">
        <v>324</v>
      </c>
    </row>
    <row r="1966" spans="9:15" x14ac:dyDescent="0.45">
      <c r="I1966"/>
      <c r="J1966"/>
      <c r="M1966" s="62" t="s">
        <v>4355</v>
      </c>
      <c r="N1966" s="63" t="s">
        <v>4356</v>
      </c>
      <c r="O1966" s="64" t="s">
        <v>3933</v>
      </c>
    </row>
    <row r="1967" spans="9:15" x14ac:dyDescent="0.45">
      <c r="I1967"/>
      <c r="J1967"/>
      <c r="M1967" s="62" t="s">
        <v>4357</v>
      </c>
      <c r="N1967" s="63" t="s">
        <v>4358</v>
      </c>
      <c r="O1967" s="64" t="s">
        <v>330</v>
      </c>
    </row>
    <row r="1968" spans="9:15" x14ac:dyDescent="0.45">
      <c r="I1968"/>
      <c r="J1968"/>
      <c r="M1968" s="62" t="s">
        <v>4359</v>
      </c>
      <c r="N1968" s="63" t="s">
        <v>4360</v>
      </c>
      <c r="O1968" s="64" t="s">
        <v>330</v>
      </c>
    </row>
    <row r="1969" spans="9:15" x14ac:dyDescent="0.45">
      <c r="I1969"/>
      <c r="J1969"/>
      <c r="M1969" s="62" t="s">
        <v>4361</v>
      </c>
      <c r="N1969" s="63" t="s">
        <v>4362</v>
      </c>
      <c r="O1969" s="64" t="s">
        <v>344</v>
      </c>
    </row>
    <row r="1970" spans="9:15" x14ac:dyDescent="0.45">
      <c r="I1970"/>
      <c r="J1970"/>
      <c r="M1970" s="62" t="s">
        <v>4363</v>
      </c>
      <c r="N1970" s="63" t="s">
        <v>4364</v>
      </c>
      <c r="O1970" s="64" t="s">
        <v>330</v>
      </c>
    </row>
    <row r="1971" spans="9:15" x14ac:dyDescent="0.45">
      <c r="I1971"/>
      <c r="J1971"/>
      <c r="M1971" s="62" t="s">
        <v>4365</v>
      </c>
      <c r="N1971" s="63" t="s">
        <v>4366</v>
      </c>
      <c r="O1971" s="64" t="s">
        <v>330</v>
      </c>
    </row>
    <row r="1972" spans="9:15" x14ac:dyDescent="0.45">
      <c r="I1972"/>
      <c r="J1972"/>
      <c r="M1972" s="62" t="s">
        <v>4367</v>
      </c>
      <c r="N1972" s="63" t="s">
        <v>4368</v>
      </c>
      <c r="O1972" s="64" t="s">
        <v>425</v>
      </c>
    </row>
    <row r="1973" spans="9:15" x14ac:dyDescent="0.45">
      <c r="I1973"/>
      <c r="J1973"/>
      <c r="M1973" s="62" t="s">
        <v>4369</v>
      </c>
      <c r="N1973" s="63" t="s">
        <v>4370</v>
      </c>
      <c r="O1973" s="64" t="s">
        <v>632</v>
      </c>
    </row>
    <row r="1974" spans="9:15" x14ac:dyDescent="0.45">
      <c r="I1974"/>
      <c r="J1974"/>
      <c r="M1974" s="62" t="s">
        <v>4371</v>
      </c>
      <c r="N1974" s="63" t="s">
        <v>4372</v>
      </c>
      <c r="O1974" s="64" t="s">
        <v>344</v>
      </c>
    </row>
    <row r="1975" spans="9:15" x14ac:dyDescent="0.45">
      <c r="I1975"/>
      <c r="J1975"/>
      <c r="M1975" s="62" t="s">
        <v>4373</v>
      </c>
      <c r="N1975" s="63" t="s">
        <v>4374</v>
      </c>
      <c r="O1975" s="64" t="s">
        <v>330</v>
      </c>
    </row>
    <row r="1976" spans="9:15" x14ac:dyDescent="0.45">
      <c r="I1976"/>
      <c r="J1976"/>
      <c r="M1976" s="87" t="s">
        <v>4375</v>
      </c>
      <c r="N1976" s="88" t="s">
        <v>4376</v>
      </c>
      <c r="O1976" s="89" t="s">
        <v>1237</v>
      </c>
    </row>
    <row r="1977" spans="9:15" x14ac:dyDescent="0.45">
      <c r="I1977"/>
      <c r="J1977"/>
      <c r="M1977" s="62" t="s">
        <v>4377</v>
      </c>
      <c r="N1977" s="63" t="s">
        <v>4378</v>
      </c>
      <c r="O1977" s="64" t="s">
        <v>330</v>
      </c>
    </row>
    <row r="1978" spans="9:15" x14ac:dyDescent="0.45">
      <c r="I1978"/>
      <c r="J1978"/>
      <c r="M1978" s="62" t="s">
        <v>4379</v>
      </c>
      <c r="N1978" s="63" t="s">
        <v>4380</v>
      </c>
      <c r="O1978" s="64" t="s">
        <v>330</v>
      </c>
    </row>
    <row r="1979" spans="9:15" x14ac:dyDescent="0.45">
      <c r="I1979"/>
      <c r="J1979"/>
      <c r="M1979" s="62" t="s">
        <v>4381</v>
      </c>
      <c r="N1979" s="63" t="s">
        <v>4382</v>
      </c>
      <c r="O1979" s="64" t="s">
        <v>453</v>
      </c>
    </row>
    <row r="1980" spans="9:15" x14ac:dyDescent="0.45">
      <c r="I1980"/>
      <c r="J1980"/>
      <c r="M1980" s="62" t="s">
        <v>4383</v>
      </c>
      <c r="N1980" s="63" t="s">
        <v>4384</v>
      </c>
      <c r="O1980" s="64" t="s">
        <v>2717</v>
      </c>
    </row>
    <row r="1981" spans="9:15" x14ac:dyDescent="0.45">
      <c r="I1981"/>
      <c r="J1981"/>
      <c r="M1981" s="62" t="s">
        <v>4385</v>
      </c>
      <c r="N1981" s="63" t="s">
        <v>4386</v>
      </c>
      <c r="O1981" s="64" t="s">
        <v>1104</v>
      </c>
    </row>
    <row r="1982" spans="9:15" x14ac:dyDescent="0.45">
      <c r="I1982"/>
      <c r="J1982"/>
      <c r="M1982" s="62" t="s">
        <v>4387</v>
      </c>
      <c r="N1982" s="63" t="s">
        <v>4388</v>
      </c>
      <c r="O1982" s="64" t="s">
        <v>344</v>
      </c>
    </row>
    <row r="1983" spans="9:15" x14ac:dyDescent="0.45">
      <c r="I1983"/>
      <c r="J1983"/>
      <c r="M1983" s="62" t="s">
        <v>4389</v>
      </c>
      <c r="N1983" s="63" t="s">
        <v>4390</v>
      </c>
      <c r="O1983" s="64" t="s">
        <v>330</v>
      </c>
    </row>
    <row r="1984" spans="9:15" x14ac:dyDescent="0.45">
      <c r="I1984"/>
      <c r="J1984"/>
      <c r="M1984" s="62" t="s">
        <v>4391</v>
      </c>
      <c r="N1984" s="63" t="s">
        <v>4392</v>
      </c>
      <c r="O1984" s="64" t="s">
        <v>330</v>
      </c>
    </row>
    <row r="1985" spans="9:15" x14ac:dyDescent="0.45">
      <c r="I1985"/>
      <c r="J1985"/>
      <c r="M1985" s="62" t="s">
        <v>4393</v>
      </c>
      <c r="N1985" s="63" t="s">
        <v>4394</v>
      </c>
      <c r="O1985" s="64" t="s">
        <v>330</v>
      </c>
    </row>
    <row r="1986" spans="9:15" x14ac:dyDescent="0.45">
      <c r="I1986"/>
      <c r="J1986"/>
      <c r="M1986" s="62" t="s">
        <v>4395</v>
      </c>
      <c r="N1986" s="63" t="s">
        <v>4396</v>
      </c>
      <c r="O1986" s="64" t="s">
        <v>330</v>
      </c>
    </row>
    <row r="1987" spans="9:15" x14ac:dyDescent="0.45">
      <c r="I1987"/>
      <c r="J1987"/>
      <c r="M1987" s="62" t="s">
        <v>4397</v>
      </c>
      <c r="N1987" s="63" t="s">
        <v>4398</v>
      </c>
      <c r="O1987" s="64" t="s">
        <v>330</v>
      </c>
    </row>
    <row r="1988" spans="9:15" x14ac:dyDescent="0.45">
      <c r="I1988"/>
      <c r="J1988"/>
      <c r="M1988" s="62" t="s">
        <v>4399</v>
      </c>
      <c r="N1988" s="63" t="s">
        <v>4400</v>
      </c>
      <c r="O1988" s="64" t="s">
        <v>3100</v>
      </c>
    </row>
    <row r="1989" spans="9:15" x14ac:dyDescent="0.45">
      <c r="I1989"/>
      <c r="J1989"/>
      <c r="M1989" s="62" t="s">
        <v>4401</v>
      </c>
      <c r="N1989" s="63" t="s">
        <v>4402</v>
      </c>
      <c r="O1989" s="64" t="s">
        <v>400</v>
      </c>
    </row>
    <row r="1990" spans="9:15" x14ac:dyDescent="0.45">
      <c r="I1990"/>
      <c r="J1990"/>
      <c r="M1990" s="62" t="s">
        <v>4403</v>
      </c>
      <c r="N1990" s="63" t="s">
        <v>4404</v>
      </c>
      <c r="O1990" s="64" t="s">
        <v>518</v>
      </c>
    </row>
    <row r="1991" spans="9:15" x14ac:dyDescent="0.45">
      <c r="I1991"/>
      <c r="J1991"/>
      <c r="M1991" s="62" t="s">
        <v>4405</v>
      </c>
      <c r="N1991" s="63" t="s">
        <v>4406</v>
      </c>
      <c r="O1991" s="64" t="s">
        <v>3933</v>
      </c>
    </row>
    <row r="1992" spans="9:15" x14ac:dyDescent="0.45">
      <c r="I1992"/>
      <c r="J1992"/>
      <c r="M1992" s="62" t="s">
        <v>4407</v>
      </c>
      <c r="N1992" s="63" t="s">
        <v>4408</v>
      </c>
      <c r="O1992" s="64" t="s">
        <v>509</v>
      </c>
    </row>
    <row r="1993" spans="9:15" x14ac:dyDescent="0.45">
      <c r="I1993"/>
      <c r="J1993"/>
      <c r="M1993" s="62" t="s">
        <v>4409</v>
      </c>
      <c r="N1993" s="63" t="s">
        <v>4410</v>
      </c>
      <c r="O1993" s="64" t="s">
        <v>330</v>
      </c>
    </row>
    <row r="1994" spans="9:15" x14ac:dyDescent="0.45">
      <c r="I1994"/>
      <c r="J1994"/>
      <c r="M1994" s="62" t="s">
        <v>4411</v>
      </c>
      <c r="N1994" s="63" t="s">
        <v>4412</v>
      </c>
      <c r="O1994" s="64" t="s">
        <v>330</v>
      </c>
    </row>
    <row r="1995" spans="9:15" x14ac:dyDescent="0.45">
      <c r="I1995"/>
      <c r="J1995"/>
      <c r="M1995" s="62" t="s">
        <v>4413</v>
      </c>
      <c r="N1995" s="63" t="s">
        <v>4414</v>
      </c>
      <c r="O1995" s="64" t="s">
        <v>330</v>
      </c>
    </row>
    <row r="1996" spans="9:15" x14ac:dyDescent="0.45">
      <c r="I1996"/>
      <c r="J1996"/>
      <c r="M1996" s="62" t="s">
        <v>4415</v>
      </c>
      <c r="N1996" s="63" t="s">
        <v>4416</v>
      </c>
      <c r="O1996" s="64" t="s">
        <v>330</v>
      </c>
    </row>
    <row r="1997" spans="9:15" x14ac:dyDescent="0.45">
      <c r="I1997"/>
      <c r="J1997"/>
      <c r="M1997" s="62" t="s">
        <v>4417</v>
      </c>
      <c r="N1997" s="63" t="s">
        <v>4418</v>
      </c>
      <c r="O1997" s="64" t="s">
        <v>509</v>
      </c>
    </row>
    <row r="1998" spans="9:15" x14ac:dyDescent="0.45">
      <c r="I1998"/>
      <c r="J1998"/>
      <c r="M1998" s="62" t="s">
        <v>4419</v>
      </c>
      <c r="N1998" s="63" t="s">
        <v>4420</v>
      </c>
      <c r="O1998" s="64" t="s">
        <v>625</v>
      </c>
    </row>
    <row r="1999" spans="9:15" x14ac:dyDescent="0.45">
      <c r="I1999"/>
      <c r="J1999"/>
      <c r="M1999" s="62" t="s">
        <v>4421</v>
      </c>
      <c r="N1999" s="63" t="s">
        <v>4422</v>
      </c>
      <c r="O1999" s="64" t="s">
        <v>327</v>
      </c>
    </row>
    <row r="2000" spans="9:15" x14ac:dyDescent="0.45">
      <c r="I2000"/>
      <c r="J2000"/>
      <c r="M2000" s="62" t="s">
        <v>4423</v>
      </c>
      <c r="N2000" s="63" t="s">
        <v>4424</v>
      </c>
      <c r="O2000" s="64" t="s">
        <v>3127</v>
      </c>
    </row>
    <row r="2001" spans="9:15" x14ac:dyDescent="0.45">
      <c r="I2001"/>
      <c r="J2001"/>
      <c r="M2001" s="62" t="s">
        <v>4425</v>
      </c>
      <c r="N2001" s="63" t="s">
        <v>4426</v>
      </c>
      <c r="O2001" s="64" t="s">
        <v>632</v>
      </c>
    </row>
    <row r="2002" spans="9:15" x14ac:dyDescent="0.45">
      <c r="I2002"/>
      <c r="J2002"/>
      <c r="M2002" s="62" t="s">
        <v>4427</v>
      </c>
      <c r="N2002" s="63" t="s">
        <v>4428</v>
      </c>
      <c r="O2002" s="64" t="s">
        <v>4429</v>
      </c>
    </row>
    <row r="2003" spans="9:15" x14ac:dyDescent="0.45">
      <c r="I2003"/>
      <c r="J2003"/>
      <c r="M2003" s="62" t="s">
        <v>4430</v>
      </c>
      <c r="N2003" s="63" t="s">
        <v>4431</v>
      </c>
      <c r="O2003" s="64" t="s">
        <v>318</v>
      </c>
    </row>
    <row r="2004" spans="9:15" x14ac:dyDescent="0.45">
      <c r="I2004"/>
      <c r="J2004"/>
      <c r="M2004" s="62" t="s">
        <v>4432</v>
      </c>
      <c r="N2004" s="63" t="s">
        <v>4433</v>
      </c>
      <c r="O2004" s="64" t="s">
        <v>330</v>
      </c>
    </row>
    <row r="2005" spans="9:15" x14ac:dyDescent="0.45">
      <c r="I2005"/>
      <c r="J2005"/>
      <c r="M2005" s="62" t="s">
        <v>4434</v>
      </c>
      <c r="N2005" s="63" t="s">
        <v>4435</v>
      </c>
      <c r="O2005" s="64" t="s">
        <v>480</v>
      </c>
    </row>
    <row r="2006" spans="9:15" x14ac:dyDescent="0.45">
      <c r="I2006"/>
      <c r="J2006"/>
      <c r="M2006" s="62" t="s">
        <v>4436</v>
      </c>
      <c r="N2006" s="63" t="s">
        <v>4437</v>
      </c>
      <c r="O2006" s="64" t="s">
        <v>1031</v>
      </c>
    </row>
    <row r="2007" spans="9:15" x14ac:dyDescent="0.45">
      <c r="I2007"/>
      <c r="J2007"/>
      <c r="M2007" s="62" t="s">
        <v>4438</v>
      </c>
      <c r="N2007" s="63" t="s">
        <v>4439</v>
      </c>
      <c r="O2007" s="64" t="s">
        <v>330</v>
      </c>
    </row>
    <row r="2008" spans="9:15" x14ac:dyDescent="0.45">
      <c r="I2008"/>
      <c r="J2008"/>
      <c r="M2008" s="62" t="s">
        <v>4440</v>
      </c>
      <c r="N2008" s="63" t="s">
        <v>4441</v>
      </c>
      <c r="O2008" s="64" t="s">
        <v>344</v>
      </c>
    </row>
    <row r="2009" spans="9:15" x14ac:dyDescent="0.45">
      <c r="I2009"/>
      <c r="J2009"/>
      <c r="M2009" s="62" t="s">
        <v>4442</v>
      </c>
      <c r="N2009" s="63" t="s">
        <v>4443</v>
      </c>
      <c r="O2009" s="64" t="s">
        <v>330</v>
      </c>
    </row>
    <row r="2010" spans="9:15" x14ac:dyDescent="0.45">
      <c r="I2010"/>
      <c r="J2010"/>
      <c r="M2010" s="62" t="s">
        <v>4444</v>
      </c>
      <c r="N2010" s="63" t="s">
        <v>4445</v>
      </c>
      <c r="O2010" s="64" t="s">
        <v>849</v>
      </c>
    </row>
    <row r="2011" spans="9:15" x14ac:dyDescent="0.45">
      <c r="I2011"/>
      <c r="J2011"/>
      <c r="M2011" s="62" t="s">
        <v>4446</v>
      </c>
      <c r="N2011" s="63" t="s">
        <v>4447</v>
      </c>
      <c r="O2011" s="64" t="s">
        <v>1104</v>
      </c>
    </row>
    <row r="2012" spans="9:15" x14ac:dyDescent="0.45">
      <c r="I2012"/>
      <c r="J2012"/>
      <c r="M2012" s="62" t="s">
        <v>4448</v>
      </c>
      <c r="N2012" s="63" t="s">
        <v>4449</v>
      </c>
      <c r="O2012" s="64" t="s">
        <v>596</v>
      </c>
    </row>
    <row r="2013" spans="9:15" x14ac:dyDescent="0.45">
      <c r="I2013"/>
      <c r="J2013"/>
      <c r="M2013" s="62" t="s">
        <v>4450</v>
      </c>
      <c r="N2013" s="63" t="s">
        <v>4451</v>
      </c>
      <c r="O2013" s="64" t="s">
        <v>318</v>
      </c>
    </row>
    <row r="2014" spans="9:15" x14ac:dyDescent="0.45">
      <c r="I2014"/>
      <c r="J2014"/>
      <c r="M2014" s="62" t="s">
        <v>4452</v>
      </c>
      <c r="N2014" s="63" t="s">
        <v>4453</v>
      </c>
      <c r="O2014" s="64" t="s">
        <v>321</v>
      </c>
    </row>
    <row r="2015" spans="9:15" x14ac:dyDescent="0.45">
      <c r="I2015"/>
      <c r="J2015"/>
      <c r="M2015" s="62" t="s">
        <v>4454</v>
      </c>
      <c r="N2015" s="63" t="s">
        <v>4455</v>
      </c>
      <c r="O2015" s="64" t="s">
        <v>330</v>
      </c>
    </row>
    <row r="2016" spans="9:15" x14ac:dyDescent="0.45">
      <c r="I2016"/>
      <c r="J2016"/>
      <c r="M2016" s="62" t="s">
        <v>4456</v>
      </c>
      <c r="N2016" s="63" t="s">
        <v>4457</v>
      </c>
      <c r="O2016" s="64" t="s">
        <v>2027</v>
      </c>
    </row>
    <row r="2017" spans="9:15" x14ac:dyDescent="0.45">
      <c r="I2017"/>
      <c r="J2017"/>
      <c r="M2017" s="62" t="s">
        <v>4458</v>
      </c>
      <c r="N2017" s="63" t="s">
        <v>4459</v>
      </c>
      <c r="O2017" s="64" t="s">
        <v>330</v>
      </c>
    </row>
    <row r="2018" spans="9:15" x14ac:dyDescent="0.45">
      <c r="I2018"/>
      <c r="J2018"/>
      <c r="M2018" s="62" t="s">
        <v>4460</v>
      </c>
      <c r="N2018" s="63" t="s">
        <v>4461</v>
      </c>
      <c r="O2018" s="64" t="s">
        <v>327</v>
      </c>
    </row>
    <row r="2019" spans="9:15" x14ac:dyDescent="0.45">
      <c r="I2019"/>
      <c r="J2019"/>
      <c r="M2019" s="62" t="s">
        <v>4462</v>
      </c>
      <c r="N2019" s="63" t="s">
        <v>4463</v>
      </c>
      <c r="O2019" s="64" t="s">
        <v>324</v>
      </c>
    </row>
    <row r="2020" spans="9:15" x14ac:dyDescent="0.45">
      <c r="I2020"/>
      <c r="J2020"/>
      <c r="M2020" s="62" t="s">
        <v>4464</v>
      </c>
      <c r="N2020" s="63" t="s">
        <v>4465</v>
      </c>
      <c r="O2020" s="64" t="s">
        <v>2665</v>
      </c>
    </row>
    <row r="2021" spans="9:15" x14ac:dyDescent="0.45">
      <c r="I2021"/>
      <c r="J2021"/>
      <c r="M2021" s="62" t="s">
        <v>4466</v>
      </c>
      <c r="N2021" s="63" t="s">
        <v>4467</v>
      </c>
      <c r="O2021" s="64" t="s">
        <v>330</v>
      </c>
    </row>
    <row r="2022" spans="9:15" x14ac:dyDescent="0.45">
      <c r="I2022"/>
      <c r="J2022"/>
      <c r="M2022" s="62" t="s">
        <v>4468</v>
      </c>
      <c r="N2022" s="63" t="s">
        <v>4469</v>
      </c>
      <c r="O2022" s="64" t="s">
        <v>344</v>
      </c>
    </row>
    <row r="2023" spans="9:15" x14ac:dyDescent="0.45">
      <c r="I2023"/>
      <c r="J2023"/>
      <c r="M2023" s="62" t="s">
        <v>4470</v>
      </c>
      <c r="N2023" s="63" t="s">
        <v>4471</v>
      </c>
      <c r="O2023" s="64" t="s">
        <v>344</v>
      </c>
    </row>
    <row r="2024" spans="9:15" x14ac:dyDescent="0.45">
      <c r="I2024"/>
      <c r="J2024"/>
      <c r="M2024" s="62" t="s">
        <v>4472</v>
      </c>
      <c r="N2024" s="63" t="s">
        <v>4473</v>
      </c>
      <c r="O2024" s="64" t="s">
        <v>417</v>
      </c>
    </row>
    <row r="2025" spans="9:15" x14ac:dyDescent="0.45">
      <c r="I2025"/>
      <c r="J2025"/>
      <c r="M2025" s="62" t="s">
        <v>4474</v>
      </c>
      <c r="N2025" s="63" t="s">
        <v>4475</v>
      </c>
      <c r="O2025" s="64" t="s">
        <v>344</v>
      </c>
    </row>
    <row r="2026" spans="9:15" x14ac:dyDescent="0.45">
      <c r="I2026"/>
      <c r="J2026"/>
      <c r="M2026" s="62" t="s">
        <v>4476</v>
      </c>
      <c r="N2026" s="63" t="s">
        <v>4477</v>
      </c>
      <c r="O2026" s="64" t="s">
        <v>318</v>
      </c>
    </row>
    <row r="2027" spans="9:15" x14ac:dyDescent="0.45">
      <c r="I2027"/>
      <c r="J2027"/>
      <c r="M2027" s="62" t="s">
        <v>4478</v>
      </c>
      <c r="N2027" s="63" t="s">
        <v>4479</v>
      </c>
      <c r="O2027" s="64" t="s">
        <v>330</v>
      </c>
    </row>
    <row r="2028" spans="9:15" x14ac:dyDescent="0.45">
      <c r="I2028"/>
      <c r="J2028"/>
      <c r="M2028" s="62" t="s">
        <v>4480</v>
      </c>
      <c r="N2028" s="63" t="s">
        <v>4481</v>
      </c>
      <c r="O2028" s="64" t="s">
        <v>480</v>
      </c>
    </row>
    <row r="2029" spans="9:15" x14ac:dyDescent="0.45">
      <c r="I2029"/>
      <c r="J2029"/>
      <c r="M2029" s="62" t="s">
        <v>4482</v>
      </c>
      <c r="N2029" s="63" t="s">
        <v>4483</v>
      </c>
      <c r="O2029" s="64" t="s">
        <v>1104</v>
      </c>
    </row>
    <row r="2030" spans="9:15" x14ac:dyDescent="0.45">
      <c r="I2030"/>
      <c r="J2030"/>
      <c r="M2030" s="90" t="s">
        <v>4484</v>
      </c>
      <c r="N2030" s="91" t="s">
        <v>4485</v>
      </c>
      <c r="O2030" s="64" t="s">
        <v>330</v>
      </c>
    </row>
    <row r="2031" spans="9:15" x14ac:dyDescent="0.45">
      <c r="I2031"/>
      <c r="J2031"/>
      <c r="M2031" s="62" t="s">
        <v>4486</v>
      </c>
      <c r="N2031" s="63" t="s">
        <v>4487</v>
      </c>
      <c r="O2031" s="64" t="s">
        <v>324</v>
      </c>
    </row>
    <row r="2032" spans="9:15" x14ac:dyDescent="0.45">
      <c r="I2032"/>
      <c r="J2032"/>
      <c r="M2032" s="62" t="s">
        <v>4488</v>
      </c>
      <c r="N2032" s="63" t="s">
        <v>4489</v>
      </c>
      <c r="O2032" s="64" t="s">
        <v>330</v>
      </c>
    </row>
    <row r="2033" spans="9:15" x14ac:dyDescent="0.45">
      <c r="I2033"/>
      <c r="J2033"/>
      <c r="M2033" s="62" t="s">
        <v>4490</v>
      </c>
      <c r="N2033" s="63" t="s">
        <v>4491</v>
      </c>
      <c r="O2033" s="64" t="s">
        <v>330</v>
      </c>
    </row>
    <row r="2034" spans="9:15" x14ac:dyDescent="0.45">
      <c r="I2034"/>
      <c r="J2034"/>
      <c r="M2034" s="62" t="s">
        <v>4492</v>
      </c>
      <c r="N2034" s="63" t="s">
        <v>4493</v>
      </c>
      <c r="O2034" s="64" t="s">
        <v>330</v>
      </c>
    </row>
    <row r="2035" spans="9:15" x14ac:dyDescent="0.45">
      <c r="I2035"/>
      <c r="J2035"/>
      <c r="M2035" s="62" t="s">
        <v>4494</v>
      </c>
      <c r="N2035" s="63" t="s">
        <v>4495</v>
      </c>
      <c r="O2035" s="64" t="s">
        <v>515</v>
      </c>
    </row>
    <row r="2036" spans="9:15" x14ac:dyDescent="0.45">
      <c r="I2036"/>
      <c r="J2036"/>
      <c r="M2036" s="62" t="s">
        <v>4496</v>
      </c>
      <c r="N2036" s="63" t="s">
        <v>4497</v>
      </c>
      <c r="O2036" s="64" t="s">
        <v>1757</v>
      </c>
    </row>
    <row r="2037" spans="9:15" x14ac:dyDescent="0.45">
      <c r="I2037"/>
      <c r="J2037"/>
      <c r="M2037" s="62" t="s">
        <v>4498</v>
      </c>
      <c r="N2037" s="63" t="s">
        <v>4499</v>
      </c>
      <c r="O2037" s="64" t="s">
        <v>330</v>
      </c>
    </row>
    <row r="2038" spans="9:15" x14ac:dyDescent="0.45">
      <c r="I2038"/>
      <c r="J2038"/>
      <c r="M2038" s="62" t="s">
        <v>4500</v>
      </c>
      <c r="N2038" s="63" t="s">
        <v>4501</v>
      </c>
      <c r="O2038" s="64" t="s">
        <v>330</v>
      </c>
    </row>
    <row r="2039" spans="9:15" x14ac:dyDescent="0.45">
      <c r="I2039"/>
      <c r="J2039"/>
      <c r="M2039" s="62" t="s">
        <v>4502</v>
      </c>
      <c r="N2039" s="63" t="s">
        <v>4503</v>
      </c>
      <c r="O2039" s="64" t="s">
        <v>743</v>
      </c>
    </row>
    <row r="2040" spans="9:15" x14ac:dyDescent="0.45">
      <c r="I2040"/>
      <c r="J2040"/>
      <c r="M2040" s="62" t="s">
        <v>4504</v>
      </c>
      <c r="N2040" s="63" t="s">
        <v>4505</v>
      </c>
      <c r="O2040" s="64" t="s">
        <v>327</v>
      </c>
    </row>
    <row r="2041" spans="9:15" x14ac:dyDescent="0.45">
      <c r="I2041"/>
      <c r="J2041"/>
      <c r="M2041" s="62" t="s">
        <v>4506</v>
      </c>
      <c r="N2041" s="63" t="s">
        <v>4507</v>
      </c>
      <c r="O2041" s="64" t="s">
        <v>330</v>
      </c>
    </row>
    <row r="2042" spans="9:15" x14ac:dyDescent="0.45">
      <c r="I2042"/>
      <c r="J2042"/>
      <c r="M2042" s="62" t="s">
        <v>4508</v>
      </c>
      <c r="N2042" s="63" t="s">
        <v>4509</v>
      </c>
      <c r="O2042" s="64" t="s">
        <v>330</v>
      </c>
    </row>
    <row r="2043" spans="9:15" x14ac:dyDescent="0.45">
      <c r="I2043"/>
      <c r="J2043"/>
      <c r="M2043" s="62" t="s">
        <v>4510</v>
      </c>
      <c r="N2043" s="63" t="s">
        <v>4511</v>
      </c>
      <c r="O2043" s="64" t="s">
        <v>417</v>
      </c>
    </row>
    <row r="2044" spans="9:15" x14ac:dyDescent="0.45">
      <c r="I2044"/>
      <c r="J2044"/>
      <c r="M2044" s="62" t="s">
        <v>4512</v>
      </c>
      <c r="N2044" s="63" t="s">
        <v>4513</v>
      </c>
      <c r="O2044" s="64" t="s">
        <v>330</v>
      </c>
    </row>
    <row r="2045" spans="9:15" x14ac:dyDescent="0.45">
      <c r="I2045"/>
      <c r="J2045"/>
      <c r="M2045" s="62" t="s">
        <v>4514</v>
      </c>
      <c r="N2045" s="63" t="s">
        <v>4515</v>
      </c>
      <c r="O2045" s="64" t="s">
        <v>330</v>
      </c>
    </row>
    <row r="2046" spans="9:15" x14ac:dyDescent="0.45">
      <c r="I2046"/>
      <c r="J2046"/>
      <c r="M2046" s="62" t="s">
        <v>4516</v>
      </c>
      <c r="N2046" s="63" t="s">
        <v>4517</v>
      </c>
      <c r="O2046" s="64" t="s">
        <v>330</v>
      </c>
    </row>
    <row r="2047" spans="9:15" x14ac:dyDescent="0.45">
      <c r="I2047"/>
      <c r="J2047"/>
      <c r="M2047" s="62" t="s">
        <v>4518</v>
      </c>
      <c r="N2047" s="63" t="s">
        <v>4519</v>
      </c>
      <c r="O2047" s="64" t="s">
        <v>330</v>
      </c>
    </row>
    <row r="2048" spans="9:15" x14ac:dyDescent="0.45">
      <c r="I2048"/>
      <c r="J2048"/>
      <c r="M2048" s="62" t="s">
        <v>4520</v>
      </c>
      <c r="N2048" s="63" t="s">
        <v>4521</v>
      </c>
      <c r="O2048" s="64" t="s">
        <v>344</v>
      </c>
    </row>
    <row r="2049" spans="9:15" x14ac:dyDescent="0.45">
      <c r="I2049"/>
      <c r="J2049"/>
      <c r="M2049" s="62" t="s">
        <v>4522</v>
      </c>
      <c r="N2049" s="63" t="s">
        <v>4523</v>
      </c>
      <c r="O2049" s="64" t="s">
        <v>330</v>
      </c>
    </row>
    <row r="2050" spans="9:15" x14ac:dyDescent="0.45">
      <c r="I2050"/>
      <c r="J2050"/>
      <c r="M2050" s="62" t="s">
        <v>4524</v>
      </c>
      <c r="N2050" s="63" t="s">
        <v>4525</v>
      </c>
      <c r="O2050" s="64" t="s">
        <v>330</v>
      </c>
    </row>
    <row r="2051" spans="9:15" x14ac:dyDescent="0.45">
      <c r="I2051"/>
      <c r="J2051"/>
      <c r="M2051" s="62" t="s">
        <v>4526</v>
      </c>
      <c r="N2051" s="63" t="s">
        <v>4527</v>
      </c>
      <c r="O2051" s="64" t="s">
        <v>625</v>
      </c>
    </row>
    <row r="2052" spans="9:15" x14ac:dyDescent="0.45">
      <c r="I2052"/>
      <c r="J2052"/>
      <c r="M2052" s="62" t="s">
        <v>4528</v>
      </c>
      <c r="N2052" s="63" t="s">
        <v>4529</v>
      </c>
      <c r="O2052" s="64" t="s">
        <v>330</v>
      </c>
    </row>
    <row r="2053" spans="9:15" x14ac:dyDescent="0.45">
      <c r="I2053"/>
      <c r="J2053"/>
      <c r="M2053" s="62" t="s">
        <v>4530</v>
      </c>
      <c r="N2053" s="63" t="s">
        <v>4531</v>
      </c>
      <c r="O2053" s="64" t="s">
        <v>330</v>
      </c>
    </row>
    <row r="2054" spans="9:15" x14ac:dyDescent="0.45">
      <c r="I2054"/>
      <c r="J2054"/>
      <c r="M2054" s="62" t="s">
        <v>4532</v>
      </c>
      <c r="N2054" s="63" t="s">
        <v>4533</v>
      </c>
      <c r="O2054" s="64" t="s">
        <v>2405</v>
      </c>
    </row>
    <row r="2055" spans="9:15" x14ac:dyDescent="0.45">
      <c r="I2055"/>
      <c r="J2055"/>
      <c r="M2055" s="62" t="s">
        <v>4534</v>
      </c>
      <c r="N2055" s="63" t="s">
        <v>4535</v>
      </c>
      <c r="O2055" s="64" t="s">
        <v>625</v>
      </c>
    </row>
    <row r="2056" spans="9:15" x14ac:dyDescent="0.45">
      <c r="I2056"/>
      <c r="J2056"/>
      <c r="M2056" s="62" t="s">
        <v>4536</v>
      </c>
      <c r="N2056" s="63" t="s">
        <v>4537</v>
      </c>
      <c r="O2056" s="64" t="s">
        <v>632</v>
      </c>
    </row>
    <row r="2057" spans="9:15" x14ac:dyDescent="0.45">
      <c r="I2057"/>
      <c r="J2057"/>
      <c r="M2057" s="62" t="s">
        <v>4538</v>
      </c>
      <c r="N2057" s="63" t="s">
        <v>4539</v>
      </c>
      <c r="O2057" s="64" t="s">
        <v>359</v>
      </c>
    </row>
    <row r="2058" spans="9:15" x14ac:dyDescent="0.45">
      <c r="I2058"/>
      <c r="J2058"/>
      <c r="M2058" s="62" t="s">
        <v>4540</v>
      </c>
      <c r="N2058" s="63" t="s">
        <v>4541</v>
      </c>
      <c r="O2058" s="64" t="s">
        <v>330</v>
      </c>
    </row>
    <row r="2059" spans="9:15" x14ac:dyDescent="0.45">
      <c r="I2059"/>
      <c r="J2059"/>
      <c r="M2059" s="62" t="s">
        <v>4542</v>
      </c>
      <c r="N2059" s="63" t="s">
        <v>4543</v>
      </c>
      <c r="O2059" s="64" t="s">
        <v>330</v>
      </c>
    </row>
    <row r="2060" spans="9:15" x14ac:dyDescent="0.45">
      <c r="I2060"/>
      <c r="J2060"/>
      <c r="M2060" s="62" t="s">
        <v>4544</v>
      </c>
      <c r="N2060" s="63" t="s">
        <v>4545</v>
      </c>
      <c r="O2060" s="64" t="s">
        <v>330</v>
      </c>
    </row>
    <row r="2061" spans="9:15" x14ac:dyDescent="0.45">
      <c r="I2061"/>
      <c r="J2061"/>
      <c r="M2061" s="62" t="s">
        <v>4546</v>
      </c>
      <c r="N2061" s="63" t="s">
        <v>4547</v>
      </c>
      <c r="O2061" s="64" t="s">
        <v>632</v>
      </c>
    </row>
    <row r="2062" spans="9:15" x14ac:dyDescent="0.45">
      <c r="I2062"/>
      <c r="J2062"/>
      <c r="M2062" s="62" t="s">
        <v>4548</v>
      </c>
      <c r="N2062" s="63" t="s">
        <v>4549</v>
      </c>
      <c r="O2062" s="64" t="s">
        <v>330</v>
      </c>
    </row>
    <row r="2063" spans="9:15" x14ac:dyDescent="0.45">
      <c r="I2063"/>
      <c r="J2063"/>
      <c r="M2063" s="62" t="s">
        <v>4550</v>
      </c>
      <c r="N2063" s="63" t="s">
        <v>4551</v>
      </c>
      <c r="O2063" s="64" t="s">
        <v>532</v>
      </c>
    </row>
    <row r="2064" spans="9:15" x14ac:dyDescent="0.45">
      <c r="I2064"/>
      <c r="J2064"/>
      <c r="M2064" s="62" t="s">
        <v>4552</v>
      </c>
      <c r="N2064" s="63" t="s">
        <v>4553</v>
      </c>
      <c r="O2064" s="64" t="s">
        <v>330</v>
      </c>
    </row>
    <row r="2065" spans="9:15" x14ac:dyDescent="0.45">
      <c r="I2065"/>
      <c r="J2065"/>
      <c r="M2065" s="62" t="s">
        <v>4554</v>
      </c>
      <c r="N2065" s="63" t="s">
        <v>4555</v>
      </c>
      <c r="O2065" s="64" t="s">
        <v>330</v>
      </c>
    </row>
    <row r="2066" spans="9:15" x14ac:dyDescent="0.45">
      <c r="I2066"/>
      <c r="J2066"/>
      <c r="M2066" s="62" t="s">
        <v>4556</v>
      </c>
      <c r="N2066" s="63" t="s">
        <v>4557</v>
      </c>
      <c r="O2066" s="64" t="s">
        <v>318</v>
      </c>
    </row>
    <row r="2067" spans="9:15" x14ac:dyDescent="0.45">
      <c r="I2067"/>
      <c r="J2067"/>
      <c r="M2067" s="62" t="s">
        <v>4558</v>
      </c>
      <c r="N2067" s="63" t="s">
        <v>4559</v>
      </c>
      <c r="O2067" s="64" t="s">
        <v>330</v>
      </c>
    </row>
    <row r="2068" spans="9:15" x14ac:dyDescent="0.45">
      <c r="I2068"/>
      <c r="J2068"/>
      <c r="M2068" s="62" t="s">
        <v>4560</v>
      </c>
      <c r="N2068" s="63" t="s">
        <v>4561</v>
      </c>
      <c r="O2068" s="64" t="s">
        <v>330</v>
      </c>
    </row>
    <row r="2069" spans="9:15" x14ac:dyDescent="0.45">
      <c r="I2069"/>
      <c r="J2069"/>
      <c r="M2069" s="62" t="s">
        <v>4562</v>
      </c>
      <c r="N2069" s="63" t="s">
        <v>4563</v>
      </c>
      <c r="O2069" s="64" t="s">
        <v>632</v>
      </c>
    </row>
    <row r="2070" spans="9:15" x14ac:dyDescent="0.45">
      <c r="I2070"/>
      <c r="J2070"/>
      <c r="M2070" s="62" t="s">
        <v>4564</v>
      </c>
      <c r="N2070" s="63" t="s">
        <v>4565</v>
      </c>
      <c r="O2070" s="64" t="s">
        <v>327</v>
      </c>
    </row>
    <row r="2071" spans="9:15" x14ac:dyDescent="0.45">
      <c r="I2071"/>
      <c r="J2071"/>
      <c r="M2071" s="62" t="s">
        <v>4566</v>
      </c>
      <c r="N2071" s="63" t="s">
        <v>4567</v>
      </c>
      <c r="O2071" s="64" t="s">
        <v>330</v>
      </c>
    </row>
    <row r="2072" spans="9:15" x14ac:dyDescent="0.45">
      <c r="I2072"/>
      <c r="J2072"/>
      <c r="M2072" s="62" t="s">
        <v>4568</v>
      </c>
      <c r="N2072" s="63" t="s">
        <v>4569</v>
      </c>
      <c r="O2072" s="64" t="s">
        <v>344</v>
      </c>
    </row>
    <row r="2073" spans="9:15" x14ac:dyDescent="0.45">
      <c r="I2073"/>
      <c r="J2073"/>
      <c r="M2073" s="62" t="s">
        <v>4570</v>
      </c>
      <c r="N2073" s="63" t="s">
        <v>4571</v>
      </c>
      <c r="O2073" s="64" t="s">
        <v>330</v>
      </c>
    </row>
    <row r="2074" spans="9:15" x14ac:dyDescent="0.45">
      <c r="I2074"/>
      <c r="J2074"/>
      <c r="M2074" s="62" t="s">
        <v>4572</v>
      </c>
      <c r="N2074" s="63" t="s">
        <v>4573</v>
      </c>
      <c r="O2074" s="64" t="s">
        <v>330</v>
      </c>
    </row>
    <row r="2075" spans="9:15" x14ac:dyDescent="0.45">
      <c r="I2075"/>
      <c r="J2075"/>
      <c r="M2075" s="62" t="s">
        <v>4574</v>
      </c>
      <c r="N2075" s="63" t="s">
        <v>4575</v>
      </c>
      <c r="O2075" s="64" t="s">
        <v>849</v>
      </c>
    </row>
    <row r="2076" spans="9:15" x14ac:dyDescent="0.45">
      <c r="I2076"/>
      <c r="J2076"/>
      <c r="M2076" s="62" t="s">
        <v>4576</v>
      </c>
      <c r="N2076" s="63" t="s">
        <v>4577</v>
      </c>
      <c r="O2076" s="64" t="s">
        <v>330</v>
      </c>
    </row>
    <row r="2077" spans="9:15" x14ac:dyDescent="0.45">
      <c r="I2077"/>
      <c r="J2077"/>
      <c r="M2077" s="62" t="s">
        <v>4578</v>
      </c>
      <c r="N2077" s="63" t="s">
        <v>4579</v>
      </c>
      <c r="O2077" s="64" t="s">
        <v>330</v>
      </c>
    </row>
    <row r="2078" spans="9:15" x14ac:dyDescent="0.45">
      <c r="I2078"/>
      <c r="J2078"/>
      <c r="M2078" s="62" t="s">
        <v>4580</v>
      </c>
      <c r="N2078" s="63" t="s">
        <v>4581</v>
      </c>
      <c r="O2078" s="64" t="s">
        <v>330</v>
      </c>
    </row>
    <row r="2079" spans="9:15" x14ac:dyDescent="0.45">
      <c r="I2079"/>
      <c r="J2079"/>
      <c r="M2079" s="62" t="s">
        <v>4582</v>
      </c>
      <c r="N2079" s="63" t="s">
        <v>4583</v>
      </c>
      <c r="O2079" s="64" t="s">
        <v>330</v>
      </c>
    </row>
    <row r="2080" spans="9:15" x14ac:dyDescent="0.45">
      <c r="I2080"/>
      <c r="J2080"/>
      <c r="M2080" s="62" t="s">
        <v>4584</v>
      </c>
      <c r="N2080" s="63" t="s">
        <v>4585</v>
      </c>
      <c r="O2080" s="64" t="s">
        <v>3205</v>
      </c>
    </row>
    <row r="2081" spans="9:15" x14ac:dyDescent="0.45">
      <c r="I2081"/>
      <c r="J2081"/>
      <c r="M2081" s="62" t="s">
        <v>4586</v>
      </c>
      <c r="N2081" s="63" t="s">
        <v>4587</v>
      </c>
      <c r="O2081" s="64" t="s">
        <v>333</v>
      </c>
    </row>
    <row r="2082" spans="9:15" x14ac:dyDescent="0.45">
      <c r="I2082"/>
      <c r="J2082"/>
      <c r="M2082" s="62" t="s">
        <v>4588</v>
      </c>
      <c r="N2082" s="63" t="s">
        <v>4589</v>
      </c>
      <c r="O2082" s="64" t="s">
        <v>330</v>
      </c>
    </row>
    <row r="2083" spans="9:15" x14ac:dyDescent="0.45">
      <c r="I2083"/>
      <c r="J2083"/>
      <c r="M2083" s="62" t="s">
        <v>4590</v>
      </c>
      <c r="N2083" s="63" t="s">
        <v>4591</v>
      </c>
      <c r="O2083" s="64" t="s">
        <v>437</v>
      </c>
    </row>
    <row r="2084" spans="9:15" x14ac:dyDescent="0.45">
      <c r="I2084"/>
      <c r="J2084"/>
      <c r="M2084" s="62" t="s">
        <v>4592</v>
      </c>
      <c r="N2084" s="63" t="s">
        <v>4593</v>
      </c>
      <c r="O2084" s="64" t="s">
        <v>515</v>
      </c>
    </row>
    <row r="2085" spans="9:15" x14ac:dyDescent="0.45">
      <c r="I2085"/>
      <c r="J2085"/>
      <c r="M2085" s="62" t="s">
        <v>4594</v>
      </c>
      <c r="N2085" s="63" t="s">
        <v>4595</v>
      </c>
      <c r="O2085" s="64" t="s">
        <v>330</v>
      </c>
    </row>
    <row r="2086" spans="9:15" x14ac:dyDescent="0.45">
      <c r="I2086"/>
      <c r="J2086"/>
      <c r="M2086" s="62" t="s">
        <v>4596</v>
      </c>
      <c r="N2086" s="63" t="s">
        <v>4597</v>
      </c>
      <c r="O2086" s="64" t="s">
        <v>625</v>
      </c>
    </row>
    <row r="2087" spans="9:15" x14ac:dyDescent="0.45">
      <c r="I2087"/>
      <c r="J2087"/>
      <c r="M2087" s="62" t="s">
        <v>4598</v>
      </c>
      <c r="N2087" s="63" t="s">
        <v>4599</v>
      </c>
      <c r="O2087" s="64" t="s">
        <v>437</v>
      </c>
    </row>
    <row r="2088" spans="9:15" x14ac:dyDescent="0.45">
      <c r="I2088"/>
      <c r="J2088"/>
      <c r="M2088" s="62" t="s">
        <v>4600</v>
      </c>
      <c r="N2088" s="63" t="s">
        <v>4601</v>
      </c>
      <c r="O2088" s="64" t="s">
        <v>4602</v>
      </c>
    </row>
    <row r="2089" spans="9:15" x14ac:dyDescent="0.45">
      <c r="I2089"/>
      <c r="J2089"/>
      <c r="M2089" s="62" t="s">
        <v>4603</v>
      </c>
      <c r="N2089" s="63" t="s">
        <v>4604</v>
      </c>
      <c r="O2089" s="64" t="s">
        <v>330</v>
      </c>
    </row>
    <row r="2090" spans="9:15" x14ac:dyDescent="0.45">
      <c r="I2090"/>
      <c r="J2090"/>
      <c r="M2090" s="62" t="s">
        <v>4605</v>
      </c>
      <c r="N2090" s="63" t="s">
        <v>4606</v>
      </c>
      <c r="O2090" s="64" t="s">
        <v>336</v>
      </c>
    </row>
    <row r="2091" spans="9:15" x14ac:dyDescent="0.45">
      <c r="I2091"/>
      <c r="J2091"/>
      <c r="M2091" s="62" t="s">
        <v>4607</v>
      </c>
      <c r="N2091" s="63" t="s">
        <v>4608</v>
      </c>
      <c r="O2091" s="64" t="s">
        <v>344</v>
      </c>
    </row>
    <row r="2092" spans="9:15" x14ac:dyDescent="0.45">
      <c r="I2092"/>
      <c r="J2092"/>
      <c r="M2092" s="62" t="s">
        <v>4609</v>
      </c>
      <c r="N2092" s="63" t="s">
        <v>4610</v>
      </c>
      <c r="O2092" s="64" t="s">
        <v>344</v>
      </c>
    </row>
    <row r="2093" spans="9:15" x14ac:dyDescent="0.45">
      <c r="I2093"/>
      <c r="J2093"/>
      <c r="M2093" s="62" t="s">
        <v>4611</v>
      </c>
      <c r="N2093" s="63" t="s">
        <v>4612</v>
      </c>
      <c r="O2093" s="64" t="s">
        <v>330</v>
      </c>
    </row>
    <row r="2094" spans="9:15" x14ac:dyDescent="0.45">
      <c r="I2094"/>
      <c r="J2094"/>
      <c r="M2094" s="62" t="s">
        <v>4613</v>
      </c>
      <c r="N2094" s="63" t="s">
        <v>4614</v>
      </c>
      <c r="O2094" s="64" t="s">
        <v>330</v>
      </c>
    </row>
    <row r="2095" spans="9:15" x14ac:dyDescent="0.45">
      <c r="I2095"/>
      <c r="J2095"/>
      <c r="M2095" s="62" t="s">
        <v>4615</v>
      </c>
      <c r="N2095" s="63" t="s">
        <v>4616</v>
      </c>
      <c r="O2095" s="64" t="s">
        <v>327</v>
      </c>
    </row>
    <row r="2096" spans="9:15" x14ac:dyDescent="0.45">
      <c r="I2096"/>
      <c r="J2096"/>
      <c r="M2096" s="62" t="s">
        <v>4617</v>
      </c>
      <c r="N2096" s="72" t="s">
        <v>4618</v>
      </c>
      <c r="O2096" s="64" t="s">
        <v>330</v>
      </c>
    </row>
    <row r="2097" spans="9:15" x14ac:dyDescent="0.45">
      <c r="I2097"/>
      <c r="J2097"/>
      <c r="M2097" s="62" t="s">
        <v>4619</v>
      </c>
      <c r="N2097" s="63" t="s">
        <v>4620</v>
      </c>
      <c r="O2097" s="64" t="s">
        <v>341</v>
      </c>
    </row>
    <row r="2098" spans="9:15" x14ac:dyDescent="0.45">
      <c r="I2098"/>
      <c r="J2098"/>
      <c r="M2098" s="62" t="s">
        <v>4621</v>
      </c>
      <c r="N2098" s="63" t="s">
        <v>4622</v>
      </c>
      <c r="O2098" s="64" t="s">
        <v>330</v>
      </c>
    </row>
    <row r="2099" spans="9:15" x14ac:dyDescent="0.45">
      <c r="I2099"/>
      <c r="J2099"/>
      <c r="M2099" s="62" t="s">
        <v>4623</v>
      </c>
      <c r="N2099" s="63" t="s">
        <v>4624</v>
      </c>
      <c r="O2099" s="64" t="s">
        <v>359</v>
      </c>
    </row>
    <row r="2100" spans="9:15" x14ac:dyDescent="0.45">
      <c r="I2100"/>
      <c r="J2100"/>
      <c r="M2100" s="62" t="s">
        <v>4625</v>
      </c>
      <c r="N2100" s="63" t="s">
        <v>4626</v>
      </c>
      <c r="O2100" s="64" t="s">
        <v>549</v>
      </c>
    </row>
    <row r="2101" spans="9:15" x14ac:dyDescent="0.45">
      <c r="I2101"/>
      <c r="J2101"/>
      <c r="M2101" s="62" t="s">
        <v>4627</v>
      </c>
      <c r="N2101" s="63" t="s">
        <v>4628</v>
      </c>
      <c r="O2101" s="64" t="s">
        <v>344</v>
      </c>
    </row>
    <row r="2102" spans="9:15" x14ac:dyDescent="0.45">
      <c r="I2102"/>
      <c r="J2102"/>
      <c r="M2102" s="62" t="s">
        <v>4629</v>
      </c>
      <c r="N2102" s="63" t="s">
        <v>4630</v>
      </c>
      <c r="O2102" s="64" t="s">
        <v>330</v>
      </c>
    </row>
    <row r="2103" spans="9:15" x14ac:dyDescent="0.45">
      <c r="I2103"/>
      <c r="J2103"/>
      <c r="M2103" s="62" t="s">
        <v>4631</v>
      </c>
      <c r="N2103" s="63" t="s">
        <v>4632</v>
      </c>
      <c r="O2103" s="64" t="s">
        <v>414</v>
      </c>
    </row>
    <row r="2104" spans="9:15" x14ac:dyDescent="0.45">
      <c r="I2104"/>
      <c r="J2104"/>
      <c r="M2104" s="62" t="s">
        <v>4633</v>
      </c>
      <c r="N2104" s="63" t="s">
        <v>4634</v>
      </c>
      <c r="O2104" s="64" t="s">
        <v>518</v>
      </c>
    </row>
    <row r="2105" spans="9:15" x14ac:dyDescent="0.45">
      <c r="I2105"/>
      <c r="J2105"/>
      <c r="M2105" s="62" t="s">
        <v>4635</v>
      </c>
      <c r="N2105" s="63" t="s">
        <v>4636</v>
      </c>
      <c r="O2105" s="64" t="s">
        <v>327</v>
      </c>
    </row>
    <row r="2106" spans="9:15" x14ac:dyDescent="0.45">
      <c r="I2106"/>
      <c r="J2106"/>
      <c r="M2106" s="62" t="s">
        <v>4637</v>
      </c>
      <c r="N2106" s="63" t="s">
        <v>4638</v>
      </c>
      <c r="O2106" s="64" t="s">
        <v>625</v>
      </c>
    </row>
    <row r="2107" spans="9:15" x14ac:dyDescent="0.45">
      <c r="I2107"/>
      <c r="J2107"/>
      <c r="M2107" s="62" t="s">
        <v>4639</v>
      </c>
      <c r="N2107" s="63" t="s">
        <v>4640</v>
      </c>
      <c r="O2107" s="64" t="s">
        <v>330</v>
      </c>
    </row>
    <row r="2108" spans="9:15" x14ac:dyDescent="0.45">
      <c r="I2108"/>
      <c r="J2108"/>
      <c r="M2108" s="62" t="s">
        <v>4641</v>
      </c>
      <c r="N2108" s="63" t="s">
        <v>4642</v>
      </c>
      <c r="O2108" s="64" t="s">
        <v>632</v>
      </c>
    </row>
    <row r="2109" spans="9:15" x14ac:dyDescent="0.45">
      <c r="I2109"/>
      <c r="J2109"/>
      <c r="M2109" s="62" t="s">
        <v>4643</v>
      </c>
      <c r="N2109" s="63" t="s">
        <v>4644</v>
      </c>
      <c r="O2109" s="64" t="s">
        <v>3022</v>
      </c>
    </row>
    <row r="2110" spans="9:15" x14ac:dyDescent="0.45">
      <c r="I2110"/>
      <c r="J2110"/>
      <c r="M2110" s="62" t="s">
        <v>4645</v>
      </c>
      <c r="N2110" s="63" t="s">
        <v>4646</v>
      </c>
      <c r="O2110" s="64" t="s">
        <v>330</v>
      </c>
    </row>
    <row r="2111" spans="9:15" x14ac:dyDescent="0.45">
      <c r="I2111"/>
      <c r="J2111"/>
      <c r="M2111" s="62" t="s">
        <v>4647</v>
      </c>
      <c r="N2111" s="63" t="s">
        <v>4648</v>
      </c>
      <c r="O2111" s="64" t="s">
        <v>625</v>
      </c>
    </row>
    <row r="2112" spans="9:15" x14ac:dyDescent="0.45">
      <c r="I2112"/>
      <c r="J2112"/>
      <c r="M2112" s="62" t="s">
        <v>4649</v>
      </c>
      <c r="N2112" s="63" t="s">
        <v>4650</v>
      </c>
      <c r="O2112" s="64" t="s">
        <v>632</v>
      </c>
    </row>
    <row r="2113" spans="9:15" x14ac:dyDescent="0.45">
      <c r="I2113"/>
      <c r="J2113"/>
      <c r="M2113" s="75" t="s">
        <v>4651</v>
      </c>
      <c r="N2113" s="76" t="s">
        <v>4652</v>
      </c>
      <c r="O2113" s="77" t="s">
        <v>3663</v>
      </c>
    </row>
    <row r="2114" spans="9:15" x14ac:dyDescent="0.45">
      <c r="I2114"/>
      <c r="J2114"/>
      <c r="M2114" s="62" t="s">
        <v>4653</v>
      </c>
      <c r="N2114" s="63" t="s">
        <v>4654</v>
      </c>
      <c r="O2114" s="64" t="s">
        <v>330</v>
      </c>
    </row>
    <row r="2115" spans="9:15" x14ac:dyDescent="0.45">
      <c r="I2115"/>
      <c r="J2115"/>
      <c r="M2115" s="62" t="s">
        <v>4655</v>
      </c>
      <c r="N2115" s="63" t="s">
        <v>4656</v>
      </c>
      <c r="O2115" s="64" t="s">
        <v>330</v>
      </c>
    </row>
    <row r="2116" spans="9:15" x14ac:dyDescent="0.45">
      <c r="I2116"/>
      <c r="J2116"/>
      <c r="M2116" s="62" t="s">
        <v>4657</v>
      </c>
      <c r="N2116" s="63" t="s">
        <v>4658</v>
      </c>
      <c r="O2116" s="64" t="s">
        <v>532</v>
      </c>
    </row>
    <row r="2117" spans="9:15" x14ac:dyDescent="0.45">
      <c r="I2117"/>
      <c r="J2117"/>
      <c r="M2117" s="62" t="s">
        <v>4659</v>
      </c>
      <c r="N2117" s="63" t="s">
        <v>4660</v>
      </c>
      <c r="O2117" s="64" t="s">
        <v>515</v>
      </c>
    </row>
    <row r="2118" spans="9:15" x14ac:dyDescent="0.45">
      <c r="I2118"/>
      <c r="J2118"/>
      <c r="M2118" s="62" t="s">
        <v>4661</v>
      </c>
      <c r="N2118" s="63" t="s">
        <v>4662</v>
      </c>
      <c r="O2118" s="64" t="s">
        <v>453</v>
      </c>
    </row>
    <row r="2119" spans="9:15" x14ac:dyDescent="0.45">
      <c r="I2119"/>
      <c r="J2119"/>
      <c r="M2119" s="62" t="s">
        <v>4663</v>
      </c>
      <c r="N2119" s="63" t="s">
        <v>4664</v>
      </c>
      <c r="O2119" s="64" t="s">
        <v>417</v>
      </c>
    </row>
    <row r="2120" spans="9:15" x14ac:dyDescent="0.45">
      <c r="I2120"/>
      <c r="J2120"/>
      <c r="M2120" s="62" t="s">
        <v>4665</v>
      </c>
      <c r="N2120" s="63" t="s">
        <v>4666</v>
      </c>
      <c r="O2120" s="64" t="s">
        <v>318</v>
      </c>
    </row>
    <row r="2121" spans="9:15" x14ac:dyDescent="0.45">
      <c r="I2121"/>
      <c r="J2121"/>
      <c r="M2121" s="62" t="s">
        <v>4667</v>
      </c>
      <c r="N2121" s="63" t="s">
        <v>4668</v>
      </c>
      <c r="O2121" s="64" t="s">
        <v>876</v>
      </c>
    </row>
    <row r="2122" spans="9:15" x14ac:dyDescent="0.45">
      <c r="I2122"/>
      <c r="J2122"/>
      <c r="M2122" s="62" t="s">
        <v>4669</v>
      </c>
      <c r="N2122" s="63" t="s">
        <v>4670</v>
      </c>
      <c r="O2122" s="64" t="s">
        <v>330</v>
      </c>
    </row>
    <row r="2123" spans="9:15" x14ac:dyDescent="0.45">
      <c r="I2123"/>
      <c r="J2123"/>
      <c r="M2123" s="62" t="s">
        <v>4671</v>
      </c>
      <c r="N2123" s="63" t="s">
        <v>4672</v>
      </c>
      <c r="O2123" s="64" t="s">
        <v>364</v>
      </c>
    </row>
    <row r="2124" spans="9:15" x14ac:dyDescent="0.45">
      <c r="I2124"/>
      <c r="J2124"/>
      <c r="M2124" s="62" t="s">
        <v>4673</v>
      </c>
      <c r="N2124" s="63" t="s">
        <v>4674</v>
      </c>
      <c r="O2124" s="64" t="s">
        <v>4018</v>
      </c>
    </row>
    <row r="2125" spans="9:15" x14ac:dyDescent="0.45">
      <c r="I2125"/>
      <c r="J2125"/>
      <c r="M2125" s="62" t="s">
        <v>4675</v>
      </c>
      <c r="N2125" s="63" t="s">
        <v>4676</v>
      </c>
      <c r="O2125" s="64" t="s">
        <v>327</v>
      </c>
    </row>
    <row r="2126" spans="9:15" x14ac:dyDescent="0.45">
      <c r="I2126"/>
      <c r="J2126"/>
      <c r="M2126" s="62" t="s">
        <v>4677</v>
      </c>
      <c r="N2126" s="63" t="s">
        <v>4678</v>
      </c>
      <c r="O2126" s="64" t="s">
        <v>321</v>
      </c>
    </row>
    <row r="2127" spans="9:15" x14ac:dyDescent="0.45">
      <c r="I2127"/>
      <c r="J2127"/>
      <c r="M2127" s="62" t="s">
        <v>4679</v>
      </c>
      <c r="N2127" s="63" t="s">
        <v>4680</v>
      </c>
      <c r="O2127" s="64" t="s">
        <v>515</v>
      </c>
    </row>
    <row r="2128" spans="9:15" x14ac:dyDescent="0.45">
      <c r="I2128"/>
      <c r="J2128"/>
      <c r="M2128" s="62" t="s">
        <v>4681</v>
      </c>
      <c r="N2128" s="63" t="s">
        <v>4682</v>
      </c>
      <c r="O2128" s="64" t="s">
        <v>341</v>
      </c>
    </row>
    <row r="2129" spans="9:15" x14ac:dyDescent="0.45">
      <c r="I2129"/>
      <c r="J2129"/>
      <c r="M2129" s="62" t="s">
        <v>4683</v>
      </c>
      <c r="N2129" s="63" t="s">
        <v>4684</v>
      </c>
      <c r="O2129" s="64" t="s">
        <v>4303</v>
      </c>
    </row>
    <row r="2130" spans="9:15" x14ac:dyDescent="0.45">
      <c r="I2130"/>
      <c r="J2130"/>
      <c r="M2130" s="62" t="s">
        <v>4685</v>
      </c>
      <c r="N2130" s="63" t="s">
        <v>4686</v>
      </c>
      <c r="O2130" s="64" t="s">
        <v>2736</v>
      </c>
    </row>
    <row r="2131" spans="9:15" x14ac:dyDescent="0.45">
      <c r="I2131"/>
      <c r="J2131"/>
      <c r="M2131" s="62" t="s">
        <v>4687</v>
      </c>
      <c r="N2131" s="63" t="s">
        <v>4688</v>
      </c>
      <c r="O2131" s="64" t="s">
        <v>532</v>
      </c>
    </row>
    <row r="2132" spans="9:15" x14ac:dyDescent="0.45">
      <c r="I2132"/>
      <c r="J2132"/>
      <c r="M2132" s="62" t="s">
        <v>4689</v>
      </c>
      <c r="N2132" s="63" t="s">
        <v>4690</v>
      </c>
      <c r="O2132" s="64" t="s">
        <v>480</v>
      </c>
    </row>
    <row r="2133" spans="9:15" x14ac:dyDescent="0.45">
      <c r="I2133"/>
      <c r="J2133"/>
      <c r="M2133" s="62" t="s">
        <v>4691</v>
      </c>
      <c r="N2133" s="63" t="s">
        <v>4692</v>
      </c>
      <c r="O2133" s="64" t="s">
        <v>321</v>
      </c>
    </row>
    <row r="2134" spans="9:15" x14ac:dyDescent="0.45">
      <c r="I2134"/>
      <c r="J2134"/>
      <c r="M2134" s="62" t="s">
        <v>4693</v>
      </c>
      <c r="N2134" s="63" t="s">
        <v>4694</v>
      </c>
      <c r="O2134" s="64" t="s">
        <v>4695</v>
      </c>
    </row>
    <row r="2135" spans="9:15" x14ac:dyDescent="0.45">
      <c r="I2135"/>
      <c r="J2135"/>
      <c r="M2135" s="62" t="s">
        <v>4696</v>
      </c>
      <c r="N2135" s="63" t="s">
        <v>4697</v>
      </c>
      <c r="O2135" s="64" t="s">
        <v>876</v>
      </c>
    </row>
    <row r="2136" spans="9:15" x14ac:dyDescent="0.45">
      <c r="I2136"/>
      <c r="J2136"/>
      <c r="M2136" s="62" t="s">
        <v>4698</v>
      </c>
      <c r="N2136" s="63" t="s">
        <v>4699</v>
      </c>
      <c r="O2136" s="64" t="s">
        <v>417</v>
      </c>
    </row>
    <row r="2137" spans="9:15" x14ac:dyDescent="0.45">
      <c r="I2137"/>
      <c r="J2137"/>
      <c r="M2137" s="62" t="s">
        <v>4700</v>
      </c>
      <c r="N2137" s="63" t="s">
        <v>4701</v>
      </c>
      <c r="O2137" s="64" t="s">
        <v>403</v>
      </c>
    </row>
    <row r="2138" spans="9:15" x14ac:dyDescent="0.45">
      <c r="I2138"/>
      <c r="J2138"/>
      <c r="M2138" s="62" t="s">
        <v>4702</v>
      </c>
      <c r="N2138" s="63" t="s">
        <v>4703</v>
      </c>
      <c r="O2138" s="64" t="s">
        <v>341</v>
      </c>
    </row>
    <row r="2139" spans="9:15" x14ac:dyDescent="0.45">
      <c r="I2139"/>
      <c r="J2139"/>
      <c r="M2139" s="62" t="s">
        <v>4704</v>
      </c>
      <c r="N2139" s="63" t="s">
        <v>4705</v>
      </c>
      <c r="O2139" s="64" t="s">
        <v>4706</v>
      </c>
    </row>
    <row r="2140" spans="9:15" x14ac:dyDescent="0.45">
      <c r="I2140"/>
      <c r="J2140"/>
      <c r="M2140" s="62" t="s">
        <v>4707</v>
      </c>
      <c r="N2140" s="63" t="s">
        <v>4708</v>
      </c>
      <c r="O2140" s="64" t="s">
        <v>330</v>
      </c>
    </row>
    <row r="2141" spans="9:15" x14ac:dyDescent="0.45">
      <c r="I2141"/>
      <c r="J2141"/>
      <c r="M2141" s="62" t="s">
        <v>4709</v>
      </c>
      <c r="N2141" s="63" t="s">
        <v>4710</v>
      </c>
      <c r="O2141" s="64" t="s">
        <v>330</v>
      </c>
    </row>
    <row r="2142" spans="9:15" x14ac:dyDescent="0.45">
      <c r="I2142"/>
      <c r="J2142"/>
      <c r="M2142" s="62" t="s">
        <v>4711</v>
      </c>
      <c r="N2142" s="63" t="s">
        <v>4712</v>
      </c>
      <c r="O2142" s="64" t="s">
        <v>330</v>
      </c>
    </row>
    <row r="2143" spans="9:15" x14ac:dyDescent="0.45">
      <c r="I2143"/>
      <c r="J2143"/>
      <c r="M2143" s="62" t="s">
        <v>4713</v>
      </c>
      <c r="N2143" s="63" t="s">
        <v>4714</v>
      </c>
      <c r="O2143" s="64" t="s">
        <v>336</v>
      </c>
    </row>
    <row r="2144" spans="9:15" x14ac:dyDescent="0.45">
      <c r="I2144"/>
      <c r="J2144"/>
      <c r="M2144" s="62" t="s">
        <v>4715</v>
      </c>
      <c r="N2144" s="63" t="s">
        <v>4716</v>
      </c>
      <c r="O2144" s="64" t="s">
        <v>330</v>
      </c>
    </row>
    <row r="2145" spans="9:15" x14ac:dyDescent="0.45">
      <c r="I2145"/>
      <c r="J2145"/>
      <c r="M2145" s="62" t="s">
        <v>4717</v>
      </c>
      <c r="N2145" s="63" t="s">
        <v>4718</v>
      </c>
      <c r="O2145" s="64" t="s">
        <v>1254</v>
      </c>
    </row>
    <row r="2146" spans="9:15" x14ac:dyDescent="0.45">
      <c r="I2146"/>
      <c r="J2146"/>
      <c r="M2146" s="62" t="s">
        <v>4719</v>
      </c>
      <c r="N2146" s="63" t="s">
        <v>4720</v>
      </c>
      <c r="O2146" s="64" t="s">
        <v>450</v>
      </c>
    </row>
    <row r="2147" spans="9:15" x14ac:dyDescent="0.45">
      <c r="I2147"/>
      <c r="J2147"/>
      <c r="M2147" s="62" t="s">
        <v>4721</v>
      </c>
      <c r="N2147" s="63" t="s">
        <v>4722</v>
      </c>
      <c r="O2147" s="64" t="s">
        <v>324</v>
      </c>
    </row>
    <row r="2148" spans="9:15" x14ac:dyDescent="0.45">
      <c r="I2148"/>
      <c r="J2148"/>
      <c r="M2148" s="62" t="s">
        <v>4723</v>
      </c>
      <c r="N2148" s="63" t="s">
        <v>4724</v>
      </c>
      <c r="O2148" s="64" t="s">
        <v>625</v>
      </c>
    </row>
    <row r="2149" spans="9:15" x14ac:dyDescent="0.45">
      <c r="I2149"/>
      <c r="J2149"/>
      <c r="M2149" s="62" t="s">
        <v>4725</v>
      </c>
      <c r="N2149" s="63" t="s">
        <v>4726</v>
      </c>
      <c r="O2149" s="64" t="s">
        <v>330</v>
      </c>
    </row>
    <row r="2150" spans="9:15" x14ac:dyDescent="0.45">
      <c r="I2150"/>
      <c r="J2150"/>
      <c r="M2150" s="62" t="s">
        <v>4727</v>
      </c>
      <c r="N2150" s="63" t="s">
        <v>4728</v>
      </c>
      <c r="O2150" s="64" t="s">
        <v>549</v>
      </c>
    </row>
    <row r="2151" spans="9:15" x14ac:dyDescent="0.45">
      <c r="I2151"/>
      <c r="J2151"/>
      <c r="M2151" s="62" t="s">
        <v>4729</v>
      </c>
      <c r="N2151" s="63" t="s">
        <v>4730</v>
      </c>
      <c r="O2151" s="64" t="s">
        <v>549</v>
      </c>
    </row>
    <row r="2152" spans="9:15" x14ac:dyDescent="0.45">
      <c r="I2152"/>
      <c r="J2152"/>
      <c r="M2152" s="62" t="s">
        <v>4731</v>
      </c>
      <c r="N2152" s="63" t="s">
        <v>4732</v>
      </c>
      <c r="O2152" s="64" t="s">
        <v>359</v>
      </c>
    </row>
    <row r="2153" spans="9:15" x14ac:dyDescent="0.45">
      <c r="I2153"/>
      <c r="J2153"/>
      <c r="M2153" s="62" t="s">
        <v>4733</v>
      </c>
      <c r="N2153" s="63" t="s">
        <v>4734</v>
      </c>
      <c r="O2153" s="64" t="s">
        <v>327</v>
      </c>
    </row>
    <row r="2154" spans="9:15" x14ac:dyDescent="0.45">
      <c r="I2154"/>
      <c r="J2154"/>
      <c r="M2154" s="62" t="s">
        <v>4735</v>
      </c>
      <c r="N2154" s="63" t="s">
        <v>4736</v>
      </c>
      <c r="O2154" s="64" t="s">
        <v>502</v>
      </c>
    </row>
    <row r="2155" spans="9:15" x14ac:dyDescent="0.45">
      <c r="I2155"/>
      <c r="J2155"/>
      <c r="M2155" s="62" t="s">
        <v>4737</v>
      </c>
      <c r="N2155" s="63" t="s">
        <v>4738</v>
      </c>
      <c r="O2155" s="64" t="s">
        <v>327</v>
      </c>
    </row>
    <row r="2156" spans="9:15" x14ac:dyDescent="0.45">
      <c r="I2156"/>
      <c r="J2156"/>
      <c r="M2156" s="62" t="s">
        <v>4739</v>
      </c>
      <c r="N2156" s="63" t="s">
        <v>4740</v>
      </c>
      <c r="O2156" s="64" t="s">
        <v>330</v>
      </c>
    </row>
    <row r="2157" spans="9:15" x14ac:dyDescent="0.45">
      <c r="I2157"/>
      <c r="J2157"/>
      <c r="M2157" s="62" t="s">
        <v>4741</v>
      </c>
      <c r="N2157" s="63" t="s">
        <v>4742</v>
      </c>
      <c r="O2157" s="64" t="s">
        <v>324</v>
      </c>
    </row>
    <row r="2158" spans="9:15" x14ac:dyDescent="0.45">
      <c r="I2158"/>
      <c r="J2158"/>
      <c r="M2158" s="62" t="s">
        <v>4743</v>
      </c>
      <c r="N2158" s="63" t="s">
        <v>4744</v>
      </c>
      <c r="O2158" s="64" t="s">
        <v>330</v>
      </c>
    </row>
    <row r="2159" spans="9:15" x14ac:dyDescent="0.45">
      <c r="I2159"/>
      <c r="J2159"/>
      <c r="M2159" s="62" t="s">
        <v>4745</v>
      </c>
      <c r="N2159" s="63" t="s">
        <v>4746</v>
      </c>
      <c r="O2159" s="64" t="s">
        <v>341</v>
      </c>
    </row>
    <row r="2160" spans="9:15" x14ac:dyDescent="0.45">
      <c r="I2160"/>
      <c r="J2160"/>
      <c r="M2160" s="62" t="s">
        <v>4747</v>
      </c>
      <c r="N2160" s="63" t="s">
        <v>4748</v>
      </c>
      <c r="O2160" s="64" t="s">
        <v>625</v>
      </c>
    </row>
    <row r="2161" spans="9:15" x14ac:dyDescent="0.45">
      <c r="I2161"/>
      <c r="J2161"/>
      <c r="M2161" s="62" t="s">
        <v>4749</v>
      </c>
      <c r="N2161" s="63" t="s">
        <v>4750</v>
      </c>
      <c r="O2161" s="64" t="s">
        <v>330</v>
      </c>
    </row>
    <row r="2162" spans="9:15" x14ac:dyDescent="0.45">
      <c r="I2162"/>
      <c r="J2162"/>
      <c r="M2162" s="62" t="s">
        <v>4751</v>
      </c>
      <c r="N2162" s="63" t="s">
        <v>4752</v>
      </c>
      <c r="O2162" s="64" t="s">
        <v>344</v>
      </c>
    </row>
    <row r="2163" spans="9:15" x14ac:dyDescent="0.45">
      <c r="I2163"/>
      <c r="J2163"/>
      <c r="M2163" s="62" t="s">
        <v>4753</v>
      </c>
      <c r="N2163" s="63" t="s">
        <v>4754</v>
      </c>
      <c r="O2163" s="64" t="s">
        <v>4755</v>
      </c>
    </row>
    <row r="2164" spans="9:15" x14ac:dyDescent="0.45">
      <c r="I2164"/>
      <c r="J2164"/>
      <c r="M2164" s="62" t="s">
        <v>4756</v>
      </c>
      <c r="N2164" s="63" t="s">
        <v>4757</v>
      </c>
      <c r="O2164" s="64" t="s">
        <v>364</v>
      </c>
    </row>
    <row r="2165" spans="9:15" x14ac:dyDescent="0.45">
      <c r="I2165"/>
      <c r="J2165"/>
      <c r="M2165" s="62" t="s">
        <v>4758</v>
      </c>
      <c r="N2165" s="63" t="s">
        <v>4759</v>
      </c>
      <c r="O2165" s="64" t="s">
        <v>330</v>
      </c>
    </row>
    <row r="2166" spans="9:15" x14ac:dyDescent="0.45">
      <c r="I2166"/>
      <c r="J2166"/>
      <c r="M2166" s="62" t="s">
        <v>4760</v>
      </c>
      <c r="N2166" s="63" t="s">
        <v>4761</v>
      </c>
      <c r="O2166" s="64" t="s">
        <v>910</v>
      </c>
    </row>
    <row r="2167" spans="9:15" x14ac:dyDescent="0.45">
      <c r="I2167"/>
      <c r="J2167"/>
      <c r="M2167" s="62" t="s">
        <v>4762</v>
      </c>
      <c r="N2167" s="63" t="s">
        <v>4763</v>
      </c>
      <c r="O2167" s="64" t="s">
        <v>364</v>
      </c>
    </row>
    <row r="2168" spans="9:15" x14ac:dyDescent="0.45">
      <c r="I2168"/>
      <c r="J2168"/>
      <c r="M2168" s="62" t="s">
        <v>4764</v>
      </c>
      <c r="N2168" s="63" t="s">
        <v>4765</v>
      </c>
      <c r="O2168" s="64" t="s">
        <v>1031</v>
      </c>
    </row>
    <row r="2169" spans="9:15" x14ac:dyDescent="0.45">
      <c r="I2169"/>
      <c r="J2169"/>
      <c r="M2169" s="62" t="s">
        <v>4766</v>
      </c>
      <c r="N2169" s="63" t="s">
        <v>4767</v>
      </c>
      <c r="O2169" s="64" t="s">
        <v>324</v>
      </c>
    </row>
    <row r="2170" spans="9:15" x14ac:dyDescent="0.45">
      <c r="I2170"/>
      <c r="J2170"/>
      <c r="M2170" s="62" t="s">
        <v>4768</v>
      </c>
      <c r="N2170" s="63" t="s">
        <v>4769</v>
      </c>
      <c r="O2170" s="64" t="s">
        <v>437</v>
      </c>
    </row>
    <row r="2171" spans="9:15" x14ac:dyDescent="0.45">
      <c r="I2171"/>
      <c r="J2171"/>
      <c r="M2171" s="62" t="s">
        <v>4770</v>
      </c>
      <c r="N2171" s="63" t="s">
        <v>4771</v>
      </c>
      <c r="O2171" s="64" t="s">
        <v>333</v>
      </c>
    </row>
    <row r="2172" spans="9:15" x14ac:dyDescent="0.45">
      <c r="I2172"/>
      <c r="J2172"/>
      <c r="M2172" s="62" t="s">
        <v>4772</v>
      </c>
      <c r="N2172" s="63" t="s">
        <v>4773</v>
      </c>
      <c r="O2172" s="64" t="s">
        <v>509</v>
      </c>
    </row>
    <row r="2173" spans="9:15" x14ac:dyDescent="0.45">
      <c r="I2173"/>
      <c r="J2173"/>
      <c r="M2173" s="62" t="s">
        <v>4774</v>
      </c>
      <c r="N2173" s="63" t="s">
        <v>4775</v>
      </c>
      <c r="O2173" s="64" t="s">
        <v>344</v>
      </c>
    </row>
    <row r="2174" spans="9:15" x14ac:dyDescent="0.45">
      <c r="I2174"/>
      <c r="J2174"/>
      <c r="M2174" s="62" t="s">
        <v>4776</v>
      </c>
      <c r="N2174" s="63" t="s">
        <v>4777</v>
      </c>
      <c r="O2174" s="64" t="s">
        <v>596</v>
      </c>
    </row>
    <row r="2175" spans="9:15" x14ac:dyDescent="0.45">
      <c r="I2175"/>
      <c r="J2175"/>
      <c r="M2175" s="62" t="s">
        <v>4778</v>
      </c>
      <c r="N2175" s="63" t="s">
        <v>4779</v>
      </c>
      <c r="O2175" s="64" t="s">
        <v>330</v>
      </c>
    </row>
    <row r="2176" spans="9:15" x14ac:dyDescent="0.45">
      <c r="I2176"/>
      <c r="J2176"/>
      <c r="M2176" s="62" t="s">
        <v>4780</v>
      </c>
      <c r="N2176" s="63" t="s">
        <v>4781</v>
      </c>
      <c r="O2176" s="64" t="s">
        <v>344</v>
      </c>
    </row>
    <row r="2177" spans="9:15" x14ac:dyDescent="0.45">
      <c r="I2177"/>
      <c r="J2177"/>
      <c r="M2177" s="62" t="s">
        <v>4782</v>
      </c>
      <c r="N2177" s="63" t="s">
        <v>4783</v>
      </c>
      <c r="O2177" s="64" t="s">
        <v>515</v>
      </c>
    </row>
    <row r="2178" spans="9:15" x14ac:dyDescent="0.45">
      <c r="I2178"/>
      <c r="J2178"/>
      <c r="M2178" s="79" t="s">
        <v>4784</v>
      </c>
      <c r="N2178" s="76" t="s">
        <v>4785</v>
      </c>
      <c r="O2178" s="77" t="s">
        <v>330</v>
      </c>
    </row>
    <row r="2179" spans="9:15" x14ac:dyDescent="0.45">
      <c r="I2179"/>
      <c r="J2179"/>
      <c r="M2179" s="62" t="s">
        <v>4786</v>
      </c>
      <c r="N2179" s="63" t="s">
        <v>4787</v>
      </c>
      <c r="O2179" s="64" t="s">
        <v>327</v>
      </c>
    </row>
    <row r="2180" spans="9:15" x14ac:dyDescent="0.45">
      <c r="I2180"/>
      <c r="J2180"/>
      <c r="M2180" s="62" t="s">
        <v>4788</v>
      </c>
      <c r="N2180" s="63" t="s">
        <v>4789</v>
      </c>
      <c r="O2180" s="64" t="s">
        <v>625</v>
      </c>
    </row>
    <row r="2181" spans="9:15" x14ac:dyDescent="0.45">
      <c r="I2181"/>
      <c r="J2181"/>
      <c r="M2181" s="79" t="s">
        <v>4790</v>
      </c>
      <c r="N2181" s="76" t="s">
        <v>4791</v>
      </c>
      <c r="O2181" s="77" t="s">
        <v>330</v>
      </c>
    </row>
    <row r="2182" spans="9:15" x14ac:dyDescent="0.45">
      <c r="I2182"/>
      <c r="J2182"/>
      <c r="M2182" s="62" t="s">
        <v>4792</v>
      </c>
      <c r="N2182" s="63" t="s">
        <v>4793</v>
      </c>
      <c r="O2182" s="64" t="s">
        <v>625</v>
      </c>
    </row>
    <row r="2183" spans="9:15" x14ac:dyDescent="0.45">
      <c r="I2183"/>
      <c r="J2183"/>
      <c r="M2183" s="62" t="s">
        <v>4794</v>
      </c>
      <c r="N2183" s="63" t="s">
        <v>4795</v>
      </c>
      <c r="O2183" s="64" t="s">
        <v>327</v>
      </c>
    </row>
    <row r="2184" spans="9:15" x14ac:dyDescent="0.45">
      <c r="I2184"/>
      <c r="J2184"/>
      <c r="M2184" s="62" t="s">
        <v>4796</v>
      </c>
      <c r="N2184" s="88" t="s">
        <v>4797</v>
      </c>
      <c r="O2184" s="88" t="s">
        <v>1008</v>
      </c>
    </row>
    <row r="2185" spans="9:15" x14ac:dyDescent="0.45">
      <c r="I2185"/>
      <c r="J2185"/>
      <c r="M2185" s="62" t="s">
        <v>4798</v>
      </c>
      <c r="N2185" s="63" t="s">
        <v>4799</v>
      </c>
      <c r="O2185" s="64" t="s">
        <v>330</v>
      </c>
    </row>
    <row r="2186" spans="9:15" x14ac:dyDescent="0.45">
      <c r="I2186"/>
      <c r="J2186"/>
      <c r="M2186" s="62" t="s">
        <v>4800</v>
      </c>
      <c r="N2186" s="63" t="s">
        <v>4801</v>
      </c>
      <c r="O2186" s="64" t="s">
        <v>3205</v>
      </c>
    </row>
    <row r="2187" spans="9:15" x14ac:dyDescent="0.45">
      <c r="I2187"/>
      <c r="J2187"/>
      <c r="M2187" s="62" t="s">
        <v>4802</v>
      </c>
      <c r="N2187" s="63" t="s">
        <v>4803</v>
      </c>
      <c r="O2187" s="64" t="s">
        <v>359</v>
      </c>
    </row>
    <row r="2188" spans="9:15" x14ac:dyDescent="0.45">
      <c r="I2188"/>
      <c r="J2188"/>
      <c r="M2188" s="62" t="s">
        <v>4804</v>
      </c>
      <c r="N2188" s="63" t="s">
        <v>4805</v>
      </c>
      <c r="O2188" s="64" t="s">
        <v>1008</v>
      </c>
    </row>
    <row r="2189" spans="9:15" x14ac:dyDescent="0.45">
      <c r="I2189"/>
      <c r="J2189"/>
      <c r="M2189" s="62" t="s">
        <v>4806</v>
      </c>
      <c r="N2189" s="63" t="s">
        <v>4807</v>
      </c>
      <c r="O2189" s="64" t="s">
        <v>330</v>
      </c>
    </row>
    <row r="2190" spans="9:15" x14ac:dyDescent="0.45">
      <c r="I2190"/>
      <c r="J2190"/>
      <c r="M2190" s="62" t="s">
        <v>4808</v>
      </c>
      <c r="N2190" s="63" t="s">
        <v>4809</v>
      </c>
      <c r="O2190" s="64" t="s">
        <v>333</v>
      </c>
    </row>
    <row r="2191" spans="9:15" x14ac:dyDescent="0.45">
      <c r="I2191"/>
      <c r="J2191"/>
      <c r="M2191" s="62" t="s">
        <v>4810</v>
      </c>
      <c r="N2191" s="63" t="s">
        <v>4811</v>
      </c>
      <c r="O2191" s="64" t="s">
        <v>333</v>
      </c>
    </row>
    <row r="2192" spans="9:15" x14ac:dyDescent="0.45">
      <c r="I2192"/>
      <c r="J2192"/>
      <c r="M2192" s="62" t="s">
        <v>4812</v>
      </c>
      <c r="N2192" s="63" t="s">
        <v>4813</v>
      </c>
      <c r="O2192" s="64" t="s">
        <v>521</v>
      </c>
    </row>
    <row r="2193" spans="9:15" x14ac:dyDescent="0.45">
      <c r="I2193"/>
      <c r="J2193"/>
      <c r="M2193" s="62" t="s">
        <v>4814</v>
      </c>
      <c r="N2193" s="63" t="s">
        <v>4815</v>
      </c>
      <c r="O2193" s="64" t="s">
        <v>327</v>
      </c>
    </row>
    <row r="2194" spans="9:15" x14ac:dyDescent="0.45">
      <c r="I2194"/>
      <c r="J2194"/>
      <c r="M2194" s="62" t="s">
        <v>4816</v>
      </c>
      <c r="N2194" s="63" t="s">
        <v>4817</v>
      </c>
      <c r="O2194" s="64" t="s">
        <v>625</v>
      </c>
    </row>
    <row r="2195" spans="9:15" x14ac:dyDescent="0.45">
      <c r="I2195"/>
      <c r="J2195"/>
      <c r="M2195" s="62" t="s">
        <v>4818</v>
      </c>
      <c r="N2195" s="63" t="s">
        <v>4819</v>
      </c>
      <c r="O2195" s="64" t="s">
        <v>905</v>
      </c>
    </row>
    <row r="2196" spans="9:15" x14ac:dyDescent="0.45">
      <c r="I2196"/>
      <c r="J2196"/>
      <c r="M2196" s="62" t="s">
        <v>4820</v>
      </c>
      <c r="N2196" s="63" t="s">
        <v>4821</v>
      </c>
      <c r="O2196" s="64" t="s">
        <v>318</v>
      </c>
    </row>
    <row r="2197" spans="9:15" x14ac:dyDescent="0.45">
      <c r="I2197"/>
      <c r="J2197"/>
      <c r="M2197" s="62" t="s">
        <v>4822</v>
      </c>
      <c r="N2197" s="63" t="s">
        <v>4823</v>
      </c>
      <c r="O2197" s="64" t="s">
        <v>327</v>
      </c>
    </row>
    <row r="2198" spans="9:15" x14ac:dyDescent="0.45">
      <c r="I2198"/>
      <c r="J2198"/>
      <c r="M2198" s="62" t="s">
        <v>4824</v>
      </c>
      <c r="N2198" s="63" t="s">
        <v>4825</v>
      </c>
      <c r="O2198" s="64" t="s">
        <v>327</v>
      </c>
    </row>
    <row r="2199" spans="9:15" x14ac:dyDescent="0.45">
      <c r="I2199"/>
      <c r="J2199"/>
      <c r="M2199" s="62" t="s">
        <v>4826</v>
      </c>
      <c r="N2199" s="63" t="s">
        <v>4827</v>
      </c>
      <c r="O2199" s="64" t="s">
        <v>327</v>
      </c>
    </row>
    <row r="2200" spans="9:15" x14ac:dyDescent="0.45">
      <c r="I2200"/>
      <c r="J2200"/>
      <c r="M2200" s="79" t="s">
        <v>4828</v>
      </c>
      <c r="N2200" s="76" t="s">
        <v>4829</v>
      </c>
      <c r="O2200" s="77" t="s">
        <v>723</v>
      </c>
    </row>
    <row r="2201" spans="9:15" x14ac:dyDescent="0.45">
      <c r="I2201"/>
      <c r="J2201"/>
      <c r="M2201" s="62" t="s">
        <v>4830</v>
      </c>
      <c r="N2201" s="63" t="s">
        <v>4831</v>
      </c>
      <c r="O2201" s="64" t="s">
        <v>330</v>
      </c>
    </row>
    <row r="2202" spans="9:15" x14ac:dyDescent="0.45">
      <c r="I2202"/>
      <c r="J2202"/>
      <c r="M2202" s="62" t="s">
        <v>4832</v>
      </c>
      <c r="N2202" s="63" t="s">
        <v>4833</v>
      </c>
      <c r="O2202" s="64" t="s">
        <v>330</v>
      </c>
    </row>
    <row r="2203" spans="9:15" x14ac:dyDescent="0.45">
      <c r="I2203"/>
      <c r="J2203"/>
      <c r="M2203" s="62" t="s">
        <v>4834</v>
      </c>
      <c r="N2203" s="63" t="s">
        <v>4835</v>
      </c>
      <c r="O2203" s="64" t="s">
        <v>330</v>
      </c>
    </row>
    <row r="2204" spans="9:15" x14ac:dyDescent="0.45">
      <c r="I2204"/>
      <c r="J2204"/>
      <c r="M2204" s="62" t="s">
        <v>4836</v>
      </c>
      <c r="N2204" s="63" t="s">
        <v>4837</v>
      </c>
      <c r="O2204" s="64" t="s">
        <v>330</v>
      </c>
    </row>
    <row r="2205" spans="9:15" x14ac:dyDescent="0.45">
      <c r="I2205"/>
      <c r="J2205"/>
      <c r="M2205" s="62" t="s">
        <v>4838</v>
      </c>
      <c r="N2205" s="63" t="s">
        <v>4839</v>
      </c>
      <c r="O2205" s="64" t="s">
        <v>509</v>
      </c>
    </row>
    <row r="2206" spans="9:15" x14ac:dyDescent="0.45">
      <c r="I2206"/>
      <c r="J2206"/>
      <c r="M2206" s="62" t="s">
        <v>4840</v>
      </c>
      <c r="N2206" s="63" t="s">
        <v>4841</v>
      </c>
      <c r="O2206" s="64" t="s">
        <v>330</v>
      </c>
    </row>
    <row r="2207" spans="9:15" x14ac:dyDescent="0.45">
      <c r="I2207"/>
      <c r="J2207"/>
      <c r="M2207" s="62" t="s">
        <v>4842</v>
      </c>
      <c r="N2207" s="63" t="s">
        <v>4843</v>
      </c>
      <c r="O2207" s="64" t="s">
        <v>330</v>
      </c>
    </row>
    <row r="2208" spans="9:15" x14ac:dyDescent="0.45">
      <c r="I2208"/>
      <c r="J2208"/>
      <c r="M2208" s="62" t="s">
        <v>4844</v>
      </c>
      <c r="N2208" s="63" t="s">
        <v>4845</v>
      </c>
      <c r="O2208" s="64" t="s">
        <v>321</v>
      </c>
    </row>
    <row r="2209" spans="9:15" x14ac:dyDescent="0.45">
      <c r="I2209"/>
      <c r="J2209"/>
      <c r="M2209" s="62" t="s">
        <v>4846</v>
      </c>
      <c r="N2209" s="63" t="s">
        <v>4847</v>
      </c>
      <c r="O2209" s="64" t="s">
        <v>330</v>
      </c>
    </row>
    <row r="2210" spans="9:15" x14ac:dyDescent="0.45">
      <c r="I2210"/>
      <c r="J2210"/>
      <c r="M2210" s="79" t="s">
        <v>4848</v>
      </c>
      <c r="N2210" s="76" t="s">
        <v>4849</v>
      </c>
      <c r="O2210" s="77" t="s">
        <v>341</v>
      </c>
    </row>
    <row r="2211" spans="9:15" x14ac:dyDescent="0.45">
      <c r="I2211"/>
      <c r="J2211"/>
      <c r="M2211" s="62" t="s">
        <v>4850</v>
      </c>
      <c r="N2211" s="63" t="s">
        <v>4851</v>
      </c>
      <c r="O2211" s="64" t="s">
        <v>3663</v>
      </c>
    </row>
    <row r="2212" spans="9:15" x14ac:dyDescent="0.45">
      <c r="I2212"/>
      <c r="J2212"/>
      <c r="M2212" s="62" t="s">
        <v>4852</v>
      </c>
      <c r="N2212" s="63" t="s">
        <v>4853</v>
      </c>
      <c r="O2212" s="64" t="s">
        <v>359</v>
      </c>
    </row>
    <row r="2213" spans="9:15" x14ac:dyDescent="0.45">
      <c r="I2213"/>
      <c r="J2213"/>
      <c r="M2213" s="62" t="s">
        <v>4854</v>
      </c>
      <c r="N2213" s="63" t="s">
        <v>4855</v>
      </c>
      <c r="O2213" s="64" t="s">
        <v>330</v>
      </c>
    </row>
    <row r="2214" spans="9:15" x14ac:dyDescent="0.45">
      <c r="I2214"/>
      <c r="J2214"/>
      <c r="M2214" s="62" t="s">
        <v>4856</v>
      </c>
      <c r="N2214" s="63" t="s">
        <v>4857</v>
      </c>
      <c r="O2214" s="64" t="s">
        <v>336</v>
      </c>
    </row>
    <row r="2215" spans="9:15" x14ac:dyDescent="0.45">
      <c r="I2215"/>
      <c r="J2215"/>
      <c r="M2215" s="62" t="s">
        <v>4858</v>
      </c>
      <c r="N2215" s="63" t="s">
        <v>4859</v>
      </c>
      <c r="O2215" s="64" t="s">
        <v>330</v>
      </c>
    </row>
    <row r="2216" spans="9:15" x14ac:dyDescent="0.45">
      <c r="I2216"/>
      <c r="J2216"/>
      <c r="M2216" s="62" t="s">
        <v>4860</v>
      </c>
      <c r="N2216" s="63" t="s">
        <v>4861</v>
      </c>
      <c r="O2216" s="64" t="s">
        <v>330</v>
      </c>
    </row>
    <row r="2217" spans="9:15" x14ac:dyDescent="0.45">
      <c r="I2217"/>
      <c r="J2217"/>
      <c r="M2217" s="75" t="s">
        <v>4862</v>
      </c>
      <c r="N2217" s="76" t="s">
        <v>4863</v>
      </c>
      <c r="O2217" s="77" t="s">
        <v>3663</v>
      </c>
    </row>
    <row r="2218" spans="9:15" x14ac:dyDescent="0.45">
      <c r="I2218"/>
      <c r="J2218"/>
      <c r="M2218" s="62" t="s">
        <v>4864</v>
      </c>
      <c r="N2218" s="63" t="s">
        <v>4865</v>
      </c>
      <c r="O2218" s="64" t="s">
        <v>330</v>
      </c>
    </row>
    <row r="2219" spans="9:15" x14ac:dyDescent="0.45">
      <c r="I2219"/>
      <c r="J2219"/>
      <c r="M2219" s="62" t="s">
        <v>4866</v>
      </c>
      <c r="N2219" s="63" t="s">
        <v>4867</v>
      </c>
      <c r="O2219" s="64" t="s">
        <v>327</v>
      </c>
    </row>
    <row r="2220" spans="9:15" x14ac:dyDescent="0.45">
      <c r="I2220"/>
      <c r="J2220"/>
      <c r="M2220" s="92" t="s">
        <v>4868</v>
      </c>
      <c r="N2220" s="93" t="s">
        <v>4869</v>
      </c>
      <c r="O2220" s="77" t="s">
        <v>450</v>
      </c>
    </row>
    <row r="2221" spans="9:15" x14ac:dyDescent="0.45">
      <c r="I2221"/>
      <c r="J2221"/>
      <c r="M2221" s="62" t="s">
        <v>4870</v>
      </c>
      <c r="N2221" s="63" t="s">
        <v>4871</v>
      </c>
      <c r="O2221" s="64" t="s">
        <v>330</v>
      </c>
    </row>
    <row r="2222" spans="9:15" x14ac:dyDescent="0.45">
      <c r="I2222"/>
      <c r="J2222"/>
      <c r="M2222" s="62" t="s">
        <v>4872</v>
      </c>
      <c r="N2222" s="63" t="s">
        <v>4873</v>
      </c>
      <c r="O2222" s="64" t="s">
        <v>324</v>
      </c>
    </row>
    <row r="2223" spans="9:15" x14ac:dyDescent="0.45">
      <c r="I2223"/>
      <c r="J2223"/>
      <c r="M2223" s="62" t="s">
        <v>4874</v>
      </c>
      <c r="N2223" s="63" t="s">
        <v>4875</v>
      </c>
      <c r="O2223" s="64" t="s">
        <v>330</v>
      </c>
    </row>
    <row r="2224" spans="9:15" x14ac:dyDescent="0.45">
      <c r="I2224"/>
      <c r="J2224"/>
      <c r="M2224" s="62" t="s">
        <v>4876</v>
      </c>
      <c r="N2224" s="63" t="s">
        <v>4877</v>
      </c>
      <c r="O2224" s="64" t="s">
        <v>330</v>
      </c>
    </row>
    <row r="2225" spans="9:15" x14ac:dyDescent="0.45">
      <c r="I2225"/>
      <c r="J2225"/>
      <c r="M2225" s="62" t="s">
        <v>4878</v>
      </c>
      <c r="N2225" s="63" t="s">
        <v>4877</v>
      </c>
      <c r="O2225" s="64" t="s">
        <v>330</v>
      </c>
    </row>
    <row r="2226" spans="9:15" x14ac:dyDescent="0.45">
      <c r="I2226"/>
      <c r="J2226"/>
      <c r="M2226" s="62" t="s">
        <v>4879</v>
      </c>
      <c r="N2226" s="63" t="s">
        <v>4880</v>
      </c>
      <c r="O2226" s="64" t="s">
        <v>625</v>
      </c>
    </row>
    <row r="2227" spans="9:15" x14ac:dyDescent="0.45">
      <c r="I2227"/>
      <c r="J2227"/>
      <c r="M2227" s="92" t="s">
        <v>4881</v>
      </c>
      <c r="N2227" s="93" t="s">
        <v>4882</v>
      </c>
      <c r="O2227" s="77" t="s">
        <v>327</v>
      </c>
    </row>
    <row r="2228" spans="9:15" x14ac:dyDescent="0.45">
      <c r="I2228"/>
      <c r="J2228"/>
      <c r="M2228" s="62" t="s">
        <v>4883</v>
      </c>
      <c r="N2228" s="63" t="s">
        <v>4884</v>
      </c>
      <c r="O2228" s="64" t="s">
        <v>330</v>
      </c>
    </row>
    <row r="2229" spans="9:15" x14ac:dyDescent="0.45">
      <c r="I2229"/>
      <c r="J2229"/>
      <c r="M2229" s="62" t="s">
        <v>4885</v>
      </c>
      <c r="N2229" s="63" t="s">
        <v>4886</v>
      </c>
      <c r="O2229" s="64" t="s">
        <v>330</v>
      </c>
    </row>
    <row r="2230" spans="9:15" x14ac:dyDescent="0.45">
      <c r="I2230"/>
      <c r="J2230"/>
      <c r="M2230" s="62" t="s">
        <v>4887</v>
      </c>
      <c r="N2230" s="63" t="s">
        <v>4888</v>
      </c>
      <c r="O2230" s="64" t="s">
        <v>359</v>
      </c>
    </row>
    <row r="2231" spans="9:15" x14ac:dyDescent="0.45">
      <c r="I2231"/>
      <c r="J2231"/>
      <c r="M2231" s="92" t="s">
        <v>4889</v>
      </c>
      <c r="N2231" s="93" t="s">
        <v>4890</v>
      </c>
      <c r="O2231" s="77" t="s">
        <v>532</v>
      </c>
    </row>
    <row r="2232" spans="9:15" x14ac:dyDescent="0.45">
      <c r="I2232"/>
      <c r="J2232"/>
      <c r="M2232" s="62" t="s">
        <v>4891</v>
      </c>
      <c r="N2232" s="63" t="s">
        <v>4892</v>
      </c>
      <c r="O2232" s="64" t="s">
        <v>632</v>
      </c>
    </row>
    <row r="2233" spans="9:15" x14ac:dyDescent="0.45">
      <c r="I2233"/>
      <c r="J2233"/>
      <c r="M2233" s="62" t="s">
        <v>4893</v>
      </c>
      <c r="N2233" s="63" t="s">
        <v>4894</v>
      </c>
      <c r="O2233" s="64" t="s">
        <v>330</v>
      </c>
    </row>
    <row r="2234" spans="9:15" x14ac:dyDescent="0.45">
      <c r="I2234"/>
      <c r="J2234"/>
      <c r="M2234" s="62" t="s">
        <v>4895</v>
      </c>
      <c r="N2234" s="63" t="s">
        <v>4896</v>
      </c>
      <c r="O2234" s="64" t="s">
        <v>330</v>
      </c>
    </row>
    <row r="2235" spans="9:15" x14ac:dyDescent="0.45">
      <c r="I2235"/>
      <c r="J2235"/>
      <c r="M2235" s="62" t="s">
        <v>4897</v>
      </c>
      <c r="N2235" s="63" t="s">
        <v>4898</v>
      </c>
      <c r="O2235" s="64" t="s">
        <v>344</v>
      </c>
    </row>
    <row r="2236" spans="9:15" x14ac:dyDescent="0.45">
      <c r="I2236"/>
      <c r="J2236"/>
      <c r="M2236" s="62" t="s">
        <v>4899</v>
      </c>
      <c r="N2236" s="63" t="s">
        <v>4900</v>
      </c>
      <c r="O2236" s="64" t="s">
        <v>327</v>
      </c>
    </row>
    <row r="2237" spans="9:15" x14ac:dyDescent="0.45">
      <c r="I2237"/>
      <c r="J2237"/>
      <c r="M2237" s="62" t="s">
        <v>4901</v>
      </c>
      <c r="N2237" s="63" t="s">
        <v>4902</v>
      </c>
      <c r="O2237" s="64" t="s">
        <v>910</v>
      </c>
    </row>
    <row r="2238" spans="9:15" x14ac:dyDescent="0.45">
      <c r="I2238"/>
      <c r="J2238"/>
      <c r="M2238" s="62" t="s">
        <v>4903</v>
      </c>
      <c r="N2238" s="63" t="s">
        <v>4904</v>
      </c>
      <c r="O2238" s="64" t="s">
        <v>549</v>
      </c>
    </row>
    <row r="2239" spans="9:15" x14ac:dyDescent="0.45">
      <c r="I2239"/>
      <c r="J2239"/>
      <c r="M2239" s="62" t="s">
        <v>4905</v>
      </c>
      <c r="N2239" s="63" t="s">
        <v>4906</v>
      </c>
      <c r="O2239" s="64" t="s">
        <v>344</v>
      </c>
    </row>
    <row r="2240" spans="9:15" x14ac:dyDescent="0.45">
      <c r="I2240"/>
      <c r="J2240"/>
      <c r="M2240" s="62" t="s">
        <v>4907</v>
      </c>
      <c r="N2240" s="63" t="s">
        <v>4908</v>
      </c>
      <c r="O2240" s="64" t="s">
        <v>330</v>
      </c>
    </row>
    <row r="2241" spans="9:15" x14ac:dyDescent="0.45">
      <c r="I2241"/>
      <c r="J2241"/>
      <c r="M2241" s="62" t="s">
        <v>4909</v>
      </c>
      <c r="N2241" s="63" t="s">
        <v>4910</v>
      </c>
      <c r="O2241" s="64" t="s">
        <v>327</v>
      </c>
    </row>
    <row r="2242" spans="9:15" x14ac:dyDescent="0.45">
      <c r="I2242"/>
      <c r="J2242"/>
      <c r="M2242" s="62" t="s">
        <v>4911</v>
      </c>
      <c r="N2242" s="63" t="s">
        <v>4912</v>
      </c>
      <c r="O2242" s="64" t="s">
        <v>330</v>
      </c>
    </row>
    <row r="2243" spans="9:15" x14ac:dyDescent="0.45">
      <c r="I2243"/>
      <c r="J2243"/>
      <c r="M2243" s="62" t="s">
        <v>4913</v>
      </c>
      <c r="N2243" s="63" t="s">
        <v>4914</v>
      </c>
      <c r="O2243" s="64" t="s">
        <v>330</v>
      </c>
    </row>
    <row r="2244" spans="9:15" x14ac:dyDescent="0.45">
      <c r="I2244"/>
      <c r="J2244"/>
      <c r="M2244" s="62" t="s">
        <v>4915</v>
      </c>
      <c r="N2244" s="63" t="s">
        <v>4916</v>
      </c>
      <c r="O2244" s="64" t="s">
        <v>330</v>
      </c>
    </row>
    <row r="2245" spans="9:15" x14ac:dyDescent="0.45">
      <c r="I2245"/>
      <c r="J2245"/>
      <c r="M2245" s="62" t="s">
        <v>4917</v>
      </c>
      <c r="N2245" s="63" t="s">
        <v>4918</v>
      </c>
      <c r="O2245" s="64" t="s">
        <v>330</v>
      </c>
    </row>
    <row r="2246" spans="9:15" x14ac:dyDescent="0.45">
      <c r="I2246"/>
      <c r="J2246"/>
      <c r="M2246" s="62" t="s">
        <v>4919</v>
      </c>
      <c r="N2246" s="63" t="s">
        <v>4920</v>
      </c>
      <c r="O2246" s="64" t="s">
        <v>1254</v>
      </c>
    </row>
    <row r="2247" spans="9:15" x14ac:dyDescent="0.45">
      <c r="I2247"/>
      <c r="J2247"/>
      <c r="M2247" s="62" t="s">
        <v>4921</v>
      </c>
      <c r="N2247" s="63" t="s">
        <v>4922</v>
      </c>
      <c r="O2247" s="64" t="s">
        <v>417</v>
      </c>
    </row>
    <row r="2248" spans="9:15" x14ac:dyDescent="0.45">
      <c r="I2248"/>
      <c r="J2248"/>
      <c r="M2248" s="62" t="s">
        <v>4923</v>
      </c>
      <c r="N2248" s="63" t="s">
        <v>4924</v>
      </c>
      <c r="O2248" s="64" t="s">
        <v>330</v>
      </c>
    </row>
    <row r="2249" spans="9:15" x14ac:dyDescent="0.45">
      <c r="I2249"/>
      <c r="J2249"/>
      <c r="M2249" s="62" t="s">
        <v>4925</v>
      </c>
      <c r="N2249" s="63" t="s">
        <v>4926</v>
      </c>
      <c r="O2249" s="64" t="s">
        <v>330</v>
      </c>
    </row>
    <row r="2250" spans="9:15" x14ac:dyDescent="0.45">
      <c r="I2250"/>
      <c r="J2250"/>
      <c r="M2250" s="62" t="s">
        <v>4927</v>
      </c>
      <c r="N2250" s="63" t="s">
        <v>4928</v>
      </c>
      <c r="O2250" s="64" t="s">
        <v>532</v>
      </c>
    </row>
    <row r="2251" spans="9:15" x14ac:dyDescent="0.45">
      <c r="I2251"/>
      <c r="J2251"/>
      <c r="M2251" s="62" t="s">
        <v>4929</v>
      </c>
      <c r="N2251" s="63" t="s">
        <v>4930</v>
      </c>
      <c r="O2251" s="64" t="s">
        <v>521</v>
      </c>
    </row>
    <row r="2252" spans="9:15" x14ac:dyDescent="0.45">
      <c r="I2252"/>
      <c r="J2252"/>
      <c r="M2252" s="62" t="s">
        <v>4931</v>
      </c>
      <c r="N2252" s="63" t="s">
        <v>4932</v>
      </c>
      <c r="O2252" s="64" t="s">
        <v>450</v>
      </c>
    </row>
    <row r="2253" spans="9:15" x14ac:dyDescent="0.45">
      <c r="I2253"/>
      <c r="J2253"/>
      <c r="M2253" s="62" t="s">
        <v>4933</v>
      </c>
      <c r="N2253" s="63" t="s">
        <v>4934</v>
      </c>
      <c r="O2253" s="64" t="s">
        <v>330</v>
      </c>
    </row>
    <row r="2254" spans="9:15" x14ac:dyDescent="0.45">
      <c r="I2254"/>
      <c r="J2254"/>
      <c r="M2254" s="62" t="s">
        <v>4935</v>
      </c>
      <c r="N2254" s="63" t="s">
        <v>4936</v>
      </c>
      <c r="O2254" s="64" t="s">
        <v>437</v>
      </c>
    </row>
    <row r="2255" spans="9:15" x14ac:dyDescent="0.45">
      <c r="I2255"/>
      <c r="J2255"/>
      <c r="M2255" s="62" t="s">
        <v>4937</v>
      </c>
      <c r="N2255" s="63" t="s">
        <v>4938</v>
      </c>
      <c r="O2255" s="64" t="s">
        <v>344</v>
      </c>
    </row>
    <row r="2256" spans="9:15" x14ac:dyDescent="0.45">
      <c r="I2256"/>
      <c r="J2256"/>
      <c r="M2256" s="62" t="s">
        <v>4939</v>
      </c>
      <c r="N2256" s="63" t="s">
        <v>4940</v>
      </c>
      <c r="O2256" s="64" t="s">
        <v>625</v>
      </c>
    </row>
    <row r="2257" spans="9:15" x14ac:dyDescent="0.45">
      <c r="I2257"/>
      <c r="J2257"/>
      <c r="M2257" s="62" t="s">
        <v>4941</v>
      </c>
      <c r="N2257" s="63" t="s">
        <v>4942</v>
      </c>
      <c r="O2257" s="64" t="s">
        <v>327</v>
      </c>
    </row>
    <row r="2258" spans="9:15" x14ac:dyDescent="0.45">
      <c r="I2258"/>
      <c r="J2258"/>
      <c r="M2258" s="62" t="s">
        <v>4943</v>
      </c>
      <c r="N2258" s="63" t="s">
        <v>4944</v>
      </c>
      <c r="O2258" s="64" t="s">
        <v>4303</v>
      </c>
    </row>
    <row r="2259" spans="9:15" x14ac:dyDescent="0.45">
      <c r="I2259"/>
      <c r="J2259"/>
      <c r="M2259" s="62" t="s">
        <v>4945</v>
      </c>
      <c r="N2259" s="63" t="s">
        <v>4946</v>
      </c>
      <c r="O2259" s="64" t="s">
        <v>4947</v>
      </c>
    </row>
    <row r="2260" spans="9:15" x14ac:dyDescent="0.45">
      <c r="I2260"/>
      <c r="J2260"/>
      <c r="M2260" s="62" t="s">
        <v>4948</v>
      </c>
      <c r="N2260" s="63" t="s">
        <v>4949</v>
      </c>
      <c r="O2260" s="64" t="s">
        <v>1008</v>
      </c>
    </row>
    <row r="2261" spans="9:15" x14ac:dyDescent="0.45">
      <c r="I2261"/>
      <c r="J2261"/>
      <c r="M2261" s="62" t="s">
        <v>4950</v>
      </c>
      <c r="N2261" s="63" t="s">
        <v>4951</v>
      </c>
      <c r="O2261" s="64" t="s">
        <v>549</v>
      </c>
    </row>
    <row r="2262" spans="9:15" x14ac:dyDescent="0.45">
      <c r="I2262"/>
      <c r="J2262"/>
      <c r="M2262" s="62" t="s">
        <v>4952</v>
      </c>
      <c r="N2262" s="63" t="s">
        <v>4953</v>
      </c>
      <c r="O2262" s="64" t="s">
        <v>625</v>
      </c>
    </row>
    <row r="2263" spans="9:15" x14ac:dyDescent="0.45">
      <c r="I2263"/>
      <c r="J2263"/>
      <c r="M2263" s="62" t="s">
        <v>4954</v>
      </c>
      <c r="N2263" s="63" t="s">
        <v>4955</v>
      </c>
      <c r="O2263" s="64" t="s">
        <v>330</v>
      </c>
    </row>
    <row r="2264" spans="9:15" x14ac:dyDescent="0.45">
      <c r="I2264"/>
      <c r="J2264"/>
      <c r="M2264" s="62" t="s">
        <v>4956</v>
      </c>
      <c r="N2264" s="63" t="s">
        <v>4957</v>
      </c>
      <c r="O2264" s="64" t="s">
        <v>359</v>
      </c>
    </row>
    <row r="2265" spans="9:15" x14ac:dyDescent="0.45">
      <c r="I2265"/>
      <c r="J2265"/>
      <c r="M2265" s="62" t="s">
        <v>4958</v>
      </c>
      <c r="N2265" s="72" t="s">
        <v>4959</v>
      </c>
      <c r="O2265" s="64" t="s">
        <v>330</v>
      </c>
    </row>
    <row r="2266" spans="9:15" x14ac:dyDescent="0.45">
      <c r="I2266"/>
      <c r="J2266"/>
      <c r="M2266" s="65" t="s">
        <v>4960</v>
      </c>
      <c r="N2266" s="66" t="s">
        <v>4961</v>
      </c>
      <c r="O2266" s="64" t="s">
        <v>910</v>
      </c>
    </row>
    <row r="2267" spans="9:15" x14ac:dyDescent="0.45">
      <c r="I2267"/>
      <c r="J2267"/>
      <c r="M2267" s="62" t="s">
        <v>4962</v>
      </c>
      <c r="N2267" s="63" t="s">
        <v>4963</v>
      </c>
      <c r="O2267" s="64" t="s">
        <v>344</v>
      </c>
    </row>
    <row r="2268" spans="9:15" x14ac:dyDescent="0.45">
      <c r="I2268"/>
      <c r="J2268"/>
      <c r="M2268" s="62" t="s">
        <v>4964</v>
      </c>
      <c r="N2268" s="63" t="s">
        <v>4965</v>
      </c>
      <c r="O2268" s="77" t="s">
        <v>364</v>
      </c>
    </row>
    <row r="2269" spans="9:15" x14ac:dyDescent="0.45">
      <c r="I2269"/>
      <c r="J2269"/>
      <c r="M2269" s="62" t="s">
        <v>4966</v>
      </c>
      <c r="N2269" s="63" t="s">
        <v>4967</v>
      </c>
      <c r="O2269" s="64" t="s">
        <v>330</v>
      </c>
    </row>
    <row r="2270" spans="9:15" x14ac:dyDescent="0.45">
      <c r="I2270"/>
      <c r="J2270"/>
      <c r="M2270" s="62" t="s">
        <v>4968</v>
      </c>
      <c r="N2270" s="63" t="s">
        <v>4969</v>
      </c>
      <c r="O2270" s="64" t="s">
        <v>330</v>
      </c>
    </row>
    <row r="2271" spans="9:15" x14ac:dyDescent="0.45">
      <c r="I2271"/>
      <c r="J2271"/>
      <c r="M2271" s="62" t="s">
        <v>4970</v>
      </c>
      <c r="N2271" s="63" t="s">
        <v>4971</v>
      </c>
      <c r="O2271" s="64" t="s">
        <v>344</v>
      </c>
    </row>
    <row r="2272" spans="9:15" x14ac:dyDescent="0.45">
      <c r="I2272"/>
      <c r="J2272"/>
      <c r="M2272" s="62" t="s">
        <v>4972</v>
      </c>
      <c r="N2272" s="63" t="s">
        <v>4973</v>
      </c>
      <c r="O2272" s="64" t="s">
        <v>330</v>
      </c>
    </row>
    <row r="2273" spans="9:15" x14ac:dyDescent="0.45">
      <c r="I2273"/>
      <c r="J2273"/>
      <c r="M2273" s="62" t="s">
        <v>4974</v>
      </c>
      <c r="N2273" s="63" t="s">
        <v>4975</v>
      </c>
      <c r="O2273" s="64" t="s">
        <v>359</v>
      </c>
    </row>
    <row r="2274" spans="9:15" x14ac:dyDescent="0.45">
      <c r="I2274"/>
      <c r="J2274"/>
      <c r="M2274" s="62" t="s">
        <v>4976</v>
      </c>
      <c r="N2274" s="63" t="s">
        <v>4977</v>
      </c>
      <c r="O2274" s="64" t="s">
        <v>632</v>
      </c>
    </row>
    <row r="2275" spans="9:15" x14ac:dyDescent="0.45">
      <c r="I2275"/>
      <c r="J2275"/>
      <c r="M2275" s="62" t="s">
        <v>4978</v>
      </c>
      <c r="N2275" s="63" t="s">
        <v>4979</v>
      </c>
      <c r="O2275" s="64" t="s">
        <v>330</v>
      </c>
    </row>
    <row r="2276" spans="9:15" x14ac:dyDescent="0.45">
      <c r="I2276"/>
      <c r="J2276"/>
      <c r="M2276" s="62" t="s">
        <v>4980</v>
      </c>
      <c r="N2276" s="63" t="s">
        <v>4981</v>
      </c>
      <c r="O2276" s="64" t="s">
        <v>509</v>
      </c>
    </row>
    <row r="2277" spans="9:15" x14ac:dyDescent="0.45">
      <c r="I2277"/>
      <c r="J2277"/>
      <c r="M2277" s="62" t="s">
        <v>4982</v>
      </c>
      <c r="N2277" s="63" t="s">
        <v>4983</v>
      </c>
      <c r="O2277" s="64" t="s">
        <v>1056</v>
      </c>
    </row>
    <row r="2278" spans="9:15" x14ac:dyDescent="0.45">
      <c r="I2278"/>
      <c r="J2278"/>
      <c r="M2278" s="62" t="s">
        <v>4984</v>
      </c>
      <c r="N2278" s="63" t="s">
        <v>4985</v>
      </c>
      <c r="O2278" s="64" t="s">
        <v>632</v>
      </c>
    </row>
    <row r="2279" spans="9:15" x14ac:dyDescent="0.45">
      <c r="I2279"/>
      <c r="J2279"/>
      <c r="M2279" s="73" t="s">
        <v>4986</v>
      </c>
      <c r="N2279" s="74" t="s">
        <v>4987</v>
      </c>
      <c r="O2279" s="64" t="s">
        <v>330</v>
      </c>
    </row>
    <row r="2280" spans="9:15" x14ac:dyDescent="0.45">
      <c r="I2280"/>
      <c r="J2280"/>
      <c r="M2280" s="62" t="s">
        <v>4988</v>
      </c>
      <c r="N2280" s="63" t="s">
        <v>4989</v>
      </c>
      <c r="O2280" s="64" t="s">
        <v>344</v>
      </c>
    </row>
    <row r="2281" spans="9:15" x14ac:dyDescent="0.45">
      <c r="I2281"/>
      <c r="J2281"/>
      <c r="M2281" s="62" t="s">
        <v>4990</v>
      </c>
      <c r="N2281" s="63" t="s">
        <v>4991</v>
      </c>
      <c r="O2281" s="64" t="s">
        <v>330</v>
      </c>
    </row>
    <row r="2282" spans="9:15" x14ac:dyDescent="0.45">
      <c r="I2282"/>
      <c r="J2282"/>
      <c r="M2282" s="62" t="s">
        <v>4992</v>
      </c>
      <c r="N2282" s="63" t="s">
        <v>4993</v>
      </c>
      <c r="O2282" s="64" t="s">
        <v>330</v>
      </c>
    </row>
    <row r="2283" spans="9:15" x14ac:dyDescent="0.45">
      <c r="I2283"/>
      <c r="J2283"/>
      <c r="M2283" s="62" t="s">
        <v>4994</v>
      </c>
      <c r="N2283" s="63" t="s">
        <v>4995</v>
      </c>
      <c r="O2283" s="64" t="s">
        <v>330</v>
      </c>
    </row>
    <row r="2284" spans="9:15" x14ac:dyDescent="0.45">
      <c r="I2284"/>
      <c r="J2284"/>
      <c r="M2284" s="62" t="s">
        <v>4996</v>
      </c>
      <c r="N2284" s="63" t="s">
        <v>4997</v>
      </c>
      <c r="O2284" s="64" t="s">
        <v>905</v>
      </c>
    </row>
    <row r="2285" spans="9:15" x14ac:dyDescent="0.45">
      <c r="I2285"/>
      <c r="J2285"/>
      <c r="M2285" s="62" t="s">
        <v>4998</v>
      </c>
      <c r="N2285" s="63" t="s">
        <v>4999</v>
      </c>
      <c r="O2285" s="64" t="s">
        <v>341</v>
      </c>
    </row>
    <row r="2286" spans="9:15" x14ac:dyDescent="0.45">
      <c r="I2286"/>
      <c r="J2286"/>
      <c r="M2286" s="62" t="s">
        <v>5000</v>
      </c>
      <c r="N2286" s="63" t="s">
        <v>5001</v>
      </c>
      <c r="O2286" s="64" t="s">
        <v>532</v>
      </c>
    </row>
    <row r="2287" spans="9:15" x14ac:dyDescent="0.45">
      <c r="I2287"/>
      <c r="J2287"/>
      <c r="M2287" s="62" t="s">
        <v>5002</v>
      </c>
      <c r="N2287" s="63" t="s">
        <v>5003</v>
      </c>
      <c r="O2287" s="64" t="s">
        <v>616</v>
      </c>
    </row>
    <row r="2288" spans="9:15" x14ac:dyDescent="0.45">
      <c r="I2288"/>
      <c r="J2288"/>
      <c r="M2288" s="92" t="s">
        <v>5004</v>
      </c>
      <c r="N2288" s="93" t="s">
        <v>5005</v>
      </c>
      <c r="O2288" s="77" t="s">
        <v>515</v>
      </c>
    </row>
    <row r="2289" spans="9:15" x14ac:dyDescent="0.45">
      <c r="I2289"/>
      <c r="J2289"/>
      <c r="M2289" s="62" t="s">
        <v>5006</v>
      </c>
      <c r="N2289" s="63" t="s">
        <v>5007</v>
      </c>
      <c r="O2289" s="64" t="s">
        <v>330</v>
      </c>
    </row>
    <row r="2290" spans="9:15" x14ac:dyDescent="0.45">
      <c r="I2290"/>
      <c r="J2290"/>
      <c r="M2290" s="62" t="s">
        <v>5008</v>
      </c>
      <c r="N2290" s="63" t="s">
        <v>5009</v>
      </c>
      <c r="O2290" s="64" t="s">
        <v>1863</v>
      </c>
    </row>
    <row r="2291" spans="9:15" x14ac:dyDescent="0.45">
      <c r="I2291"/>
      <c r="J2291"/>
      <c r="M2291" s="62" t="s">
        <v>5010</v>
      </c>
      <c r="N2291" s="63" t="s">
        <v>5011</v>
      </c>
      <c r="O2291" s="64" t="s">
        <v>330</v>
      </c>
    </row>
    <row r="2292" spans="9:15" x14ac:dyDescent="0.45">
      <c r="I2292"/>
      <c r="J2292"/>
      <c r="M2292" s="75" t="s">
        <v>5012</v>
      </c>
      <c r="N2292" s="76" t="s">
        <v>5013</v>
      </c>
      <c r="O2292" s="77" t="s">
        <v>330</v>
      </c>
    </row>
    <row r="2293" spans="9:15" x14ac:dyDescent="0.45">
      <c r="I2293"/>
      <c r="J2293"/>
      <c r="M2293" s="62" t="s">
        <v>5014</v>
      </c>
      <c r="N2293" s="63" t="s">
        <v>5015</v>
      </c>
      <c r="O2293" s="64" t="s">
        <v>327</v>
      </c>
    </row>
    <row r="2294" spans="9:15" x14ac:dyDescent="0.45">
      <c r="I2294"/>
      <c r="J2294"/>
      <c r="M2294" s="62" t="s">
        <v>5016</v>
      </c>
      <c r="N2294" s="63" t="s">
        <v>5017</v>
      </c>
      <c r="O2294" s="64" t="s">
        <v>330</v>
      </c>
    </row>
    <row r="2295" spans="9:15" x14ac:dyDescent="0.45">
      <c r="I2295"/>
      <c r="J2295"/>
      <c r="M2295" s="62" t="s">
        <v>5018</v>
      </c>
      <c r="N2295" s="63" t="s">
        <v>5019</v>
      </c>
      <c r="O2295" s="64" t="s">
        <v>330</v>
      </c>
    </row>
    <row r="2296" spans="9:15" x14ac:dyDescent="0.45">
      <c r="I2296"/>
      <c r="J2296"/>
      <c r="M2296" s="62" t="s">
        <v>5020</v>
      </c>
      <c r="N2296" s="63" t="s">
        <v>5021</v>
      </c>
      <c r="O2296" s="64" t="s">
        <v>324</v>
      </c>
    </row>
    <row r="2297" spans="9:15" x14ac:dyDescent="0.45">
      <c r="I2297"/>
      <c r="J2297"/>
      <c r="M2297" s="62" t="s">
        <v>5022</v>
      </c>
      <c r="N2297" s="63" t="s">
        <v>5023</v>
      </c>
      <c r="O2297" s="64" t="s">
        <v>625</v>
      </c>
    </row>
    <row r="2298" spans="9:15" x14ac:dyDescent="0.45">
      <c r="I2298"/>
      <c r="J2298"/>
      <c r="M2298" s="62" t="s">
        <v>5024</v>
      </c>
      <c r="N2298" s="63" t="s">
        <v>5025</v>
      </c>
      <c r="O2298" s="64" t="s">
        <v>330</v>
      </c>
    </row>
    <row r="2299" spans="9:15" x14ac:dyDescent="0.45">
      <c r="I2299"/>
      <c r="J2299"/>
      <c r="M2299" s="62" t="s">
        <v>5026</v>
      </c>
      <c r="N2299" s="63" t="s">
        <v>5027</v>
      </c>
      <c r="O2299" s="64" t="s">
        <v>318</v>
      </c>
    </row>
    <row r="2300" spans="9:15" x14ac:dyDescent="0.45">
      <c r="I2300"/>
      <c r="J2300"/>
      <c r="M2300" s="92" t="s">
        <v>5028</v>
      </c>
      <c r="N2300" s="93" t="s">
        <v>5029</v>
      </c>
      <c r="O2300" s="77" t="s">
        <v>532</v>
      </c>
    </row>
    <row r="2301" spans="9:15" x14ac:dyDescent="0.45">
      <c r="I2301"/>
      <c r="J2301"/>
      <c r="M2301" s="92" t="s">
        <v>5030</v>
      </c>
      <c r="N2301" s="93" t="s">
        <v>5031</v>
      </c>
      <c r="O2301" s="77" t="s">
        <v>1104</v>
      </c>
    </row>
    <row r="2302" spans="9:15" x14ac:dyDescent="0.45">
      <c r="I2302"/>
      <c r="J2302"/>
      <c r="M2302" s="62" t="s">
        <v>5032</v>
      </c>
      <c r="N2302" s="63" t="s">
        <v>5033</v>
      </c>
      <c r="O2302" s="64" t="s">
        <v>625</v>
      </c>
    </row>
    <row r="2303" spans="9:15" x14ac:dyDescent="0.45">
      <c r="I2303"/>
      <c r="J2303"/>
      <c r="M2303" s="62" t="s">
        <v>5034</v>
      </c>
      <c r="N2303" s="63" t="s">
        <v>5035</v>
      </c>
      <c r="O2303" s="64" t="s">
        <v>327</v>
      </c>
    </row>
    <row r="2304" spans="9:15" x14ac:dyDescent="0.45">
      <c r="I2304"/>
      <c r="J2304"/>
      <c r="M2304" s="62" t="s">
        <v>5036</v>
      </c>
      <c r="N2304" s="63" t="s">
        <v>5037</v>
      </c>
      <c r="O2304" s="64" t="s">
        <v>330</v>
      </c>
    </row>
    <row r="2305" spans="9:15" x14ac:dyDescent="0.45">
      <c r="I2305"/>
      <c r="J2305"/>
      <c r="M2305" s="62" t="s">
        <v>5038</v>
      </c>
      <c r="N2305" s="63" t="s">
        <v>5039</v>
      </c>
      <c r="O2305" s="64" t="s">
        <v>1008</v>
      </c>
    </row>
    <row r="2306" spans="9:15" x14ac:dyDescent="0.45">
      <c r="I2306"/>
      <c r="J2306"/>
      <c r="M2306" s="62" t="s">
        <v>5040</v>
      </c>
      <c r="N2306" s="63" t="s">
        <v>5041</v>
      </c>
      <c r="O2306" s="64" t="s">
        <v>480</v>
      </c>
    </row>
    <row r="2307" spans="9:15" x14ac:dyDescent="0.45">
      <c r="I2307"/>
      <c r="J2307"/>
      <c r="M2307" s="62" t="s">
        <v>5042</v>
      </c>
      <c r="N2307" s="63" t="s">
        <v>5043</v>
      </c>
      <c r="O2307" s="64" t="s">
        <v>330</v>
      </c>
    </row>
    <row r="2308" spans="9:15" x14ac:dyDescent="0.45">
      <c r="I2308"/>
      <c r="J2308"/>
      <c r="M2308" s="62" t="s">
        <v>5044</v>
      </c>
      <c r="N2308" s="63" t="s">
        <v>5045</v>
      </c>
      <c r="O2308" s="64" t="s">
        <v>330</v>
      </c>
    </row>
    <row r="2309" spans="9:15" x14ac:dyDescent="0.45">
      <c r="I2309"/>
      <c r="J2309"/>
      <c r="M2309" s="62" t="s">
        <v>5046</v>
      </c>
      <c r="N2309" s="63" t="s">
        <v>5047</v>
      </c>
      <c r="O2309" s="64" t="s">
        <v>330</v>
      </c>
    </row>
    <row r="2310" spans="9:15" x14ac:dyDescent="0.45">
      <c r="I2310"/>
      <c r="J2310"/>
      <c r="M2310" s="92" t="s">
        <v>5048</v>
      </c>
      <c r="N2310" s="93" t="s">
        <v>5049</v>
      </c>
      <c r="O2310" s="77" t="s">
        <v>330</v>
      </c>
    </row>
    <row r="2311" spans="9:15" x14ac:dyDescent="0.45">
      <c r="I2311"/>
      <c r="J2311"/>
      <c r="M2311" s="62" t="s">
        <v>5050</v>
      </c>
      <c r="N2311" s="63" t="s">
        <v>5051</v>
      </c>
      <c r="O2311" s="64" t="s">
        <v>330</v>
      </c>
    </row>
    <row r="2312" spans="9:15" x14ac:dyDescent="0.45">
      <c r="I2312"/>
      <c r="J2312"/>
      <c r="M2312" s="62" t="s">
        <v>5052</v>
      </c>
      <c r="N2312" s="63" t="s">
        <v>5053</v>
      </c>
      <c r="O2312" s="64" t="s">
        <v>403</v>
      </c>
    </row>
    <row r="2313" spans="9:15" x14ac:dyDescent="0.45">
      <c r="I2313"/>
      <c r="J2313"/>
      <c r="M2313" s="62" t="s">
        <v>5054</v>
      </c>
      <c r="N2313" s="63" t="s">
        <v>5055</v>
      </c>
      <c r="O2313" s="64" t="s">
        <v>330</v>
      </c>
    </row>
    <row r="2314" spans="9:15" x14ac:dyDescent="0.45">
      <c r="I2314"/>
      <c r="J2314"/>
      <c r="M2314" s="62" t="s">
        <v>5056</v>
      </c>
      <c r="N2314" s="63" t="s">
        <v>5057</v>
      </c>
      <c r="O2314" s="64" t="s">
        <v>330</v>
      </c>
    </row>
    <row r="2315" spans="9:15" x14ac:dyDescent="0.45">
      <c r="I2315"/>
      <c r="J2315"/>
      <c r="M2315" s="62" t="s">
        <v>5058</v>
      </c>
      <c r="N2315" s="63" t="s">
        <v>5059</v>
      </c>
      <c r="O2315" s="64" t="s">
        <v>324</v>
      </c>
    </row>
    <row r="2316" spans="9:15" x14ac:dyDescent="0.45">
      <c r="I2316"/>
      <c r="J2316"/>
      <c r="M2316" s="62" t="s">
        <v>5060</v>
      </c>
      <c r="N2316" s="63" t="s">
        <v>5061</v>
      </c>
      <c r="O2316" s="64" t="s">
        <v>330</v>
      </c>
    </row>
    <row r="2317" spans="9:15" x14ac:dyDescent="0.45">
      <c r="I2317"/>
      <c r="J2317"/>
      <c r="M2317" s="92" t="s">
        <v>5062</v>
      </c>
      <c r="N2317" s="93" t="s">
        <v>5063</v>
      </c>
      <c r="O2317" s="77" t="s">
        <v>318</v>
      </c>
    </row>
    <row r="2318" spans="9:15" x14ac:dyDescent="0.45">
      <c r="I2318"/>
      <c r="J2318"/>
      <c r="M2318" s="62" t="s">
        <v>5064</v>
      </c>
      <c r="N2318" s="63" t="s">
        <v>273</v>
      </c>
      <c r="O2318" s="64" t="s">
        <v>5065</v>
      </c>
    </row>
    <row r="2319" spans="9:15" x14ac:dyDescent="0.45">
      <c r="I2319"/>
      <c r="J2319"/>
      <c r="M2319" s="62" t="s">
        <v>5066</v>
      </c>
      <c r="N2319" s="63" t="s">
        <v>5067</v>
      </c>
      <c r="O2319" s="64" t="s">
        <v>344</v>
      </c>
    </row>
    <row r="2320" spans="9:15" x14ac:dyDescent="0.45">
      <c r="I2320"/>
      <c r="J2320"/>
      <c r="M2320" s="62" t="s">
        <v>5068</v>
      </c>
      <c r="N2320" s="63" t="s">
        <v>5069</v>
      </c>
      <c r="O2320" s="64" t="s">
        <v>489</v>
      </c>
    </row>
    <row r="2321" spans="9:15" x14ac:dyDescent="0.45">
      <c r="I2321"/>
      <c r="J2321"/>
      <c r="M2321" s="62" t="s">
        <v>5070</v>
      </c>
      <c r="N2321" s="63" t="s">
        <v>5071</v>
      </c>
      <c r="O2321" s="64" t="s">
        <v>321</v>
      </c>
    </row>
    <row r="2322" spans="9:15" x14ac:dyDescent="0.45">
      <c r="I2322"/>
      <c r="J2322"/>
      <c r="M2322" s="62" t="s">
        <v>5072</v>
      </c>
      <c r="N2322" s="63" t="s">
        <v>5073</v>
      </c>
      <c r="O2322" s="64" t="s">
        <v>344</v>
      </c>
    </row>
    <row r="2323" spans="9:15" x14ac:dyDescent="0.45">
      <c r="I2323"/>
      <c r="J2323"/>
      <c r="M2323" s="92" t="s">
        <v>5074</v>
      </c>
      <c r="N2323" s="93" t="s">
        <v>5075</v>
      </c>
      <c r="O2323" s="77" t="s">
        <v>1008</v>
      </c>
    </row>
    <row r="2324" spans="9:15" x14ac:dyDescent="0.45">
      <c r="I2324"/>
      <c r="J2324"/>
      <c r="M2324" s="62" t="s">
        <v>5076</v>
      </c>
      <c r="N2324" s="63" t="s">
        <v>5077</v>
      </c>
      <c r="O2324" s="64" t="s">
        <v>330</v>
      </c>
    </row>
    <row r="2325" spans="9:15" x14ac:dyDescent="0.45">
      <c r="I2325"/>
      <c r="J2325"/>
      <c r="M2325" s="62" t="s">
        <v>5078</v>
      </c>
      <c r="N2325" s="63" t="s">
        <v>5079</v>
      </c>
      <c r="O2325" s="64" t="s">
        <v>330</v>
      </c>
    </row>
    <row r="2326" spans="9:15" x14ac:dyDescent="0.45">
      <c r="I2326"/>
      <c r="J2326"/>
      <c r="M2326" s="62" t="s">
        <v>5080</v>
      </c>
      <c r="N2326" s="63" t="s">
        <v>5081</v>
      </c>
      <c r="O2326" s="64" t="s">
        <v>318</v>
      </c>
    </row>
    <row r="2327" spans="9:15" x14ac:dyDescent="0.45">
      <c r="I2327"/>
      <c r="J2327"/>
      <c r="M2327" s="62" t="s">
        <v>5082</v>
      </c>
      <c r="N2327" s="63" t="s">
        <v>5083</v>
      </c>
      <c r="O2327" s="64" t="s">
        <v>330</v>
      </c>
    </row>
    <row r="2328" spans="9:15" x14ac:dyDescent="0.45">
      <c r="I2328"/>
      <c r="J2328"/>
      <c r="M2328" s="62" t="s">
        <v>5084</v>
      </c>
      <c r="N2328" s="63" t="s">
        <v>5085</v>
      </c>
      <c r="O2328" s="64" t="s">
        <v>324</v>
      </c>
    </row>
    <row r="2329" spans="9:15" x14ac:dyDescent="0.45">
      <c r="I2329"/>
      <c r="J2329"/>
      <c r="M2329" s="62" t="s">
        <v>5086</v>
      </c>
      <c r="N2329" s="63" t="s">
        <v>5087</v>
      </c>
      <c r="O2329" s="64" t="s">
        <v>330</v>
      </c>
    </row>
    <row r="2330" spans="9:15" x14ac:dyDescent="0.45">
      <c r="I2330"/>
      <c r="J2330"/>
      <c r="M2330" s="73" t="s">
        <v>5088</v>
      </c>
      <c r="N2330" s="74" t="s">
        <v>5089</v>
      </c>
      <c r="O2330" s="64" t="s">
        <v>330</v>
      </c>
    </row>
    <row r="2331" spans="9:15" x14ac:dyDescent="0.45">
      <c r="I2331"/>
      <c r="J2331"/>
      <c r="M2331" s="62" t="s">
        <v>5090</v>
      </c>
      <c r="N2331" s="63" t="s">
        <v>5091</v>
      </c>
      <c r="O2331" s="64" t="s">
        <v>330</v>
      </c>
    </row>
    <row r="2332" spans="9:15" x14ac:dyDescent="0.45">
      <c r="I2332"/>
      <c r="J2332"/>
      <c r="M2332" s="92" t="s">
        <v>5092</v>
      </c>
      <c r="N2332" s="93" t="s">
        <v>5093</v>
      </c>
      <c r="O2332" s="77" t="s">
        <v>849</v>
      </c>
    </row>
    <row r="2333" spans="9:15" x14ac:dyDescent="0.45">
      <c r="I2333"/>
      <c r="J2333"/>
      <c r="M2333" s="92" t="s">
        <v>5094</v>
      </c>
      <c r="N2333" s="93" t="s">
        <v>5095</v>
      </c>
      <c r="O2333" s="77" t="s">
        <v>849</v>
      </c>
    </row>
    <row r="2334" spans="9:15" x14ac:dyDescent="0.45">
      <c r="I2334"/>
      <c r="J2334"/>
      <c r="M2334" s="92" t="s">
        <v>5096</v>
      </c>
      <c r="N2334" s="93" t="s">
        <v>5097</v>
      </c>
      <c r="O2334" s="77" t="s">
        <v>3022</v>
      </c>
    </row>
    <row r="2335" spans="9:15" x14ac:dyDescent="0.45">
      <c r="I2335"/>
      <c r="J2335"/>
      <c r="M2335" s="62" t="s">
        <v>5098</v>
      </c>
      <c r="N2335" s="63" t="s">
        <v>5099</v>
      </c>
      <c r="O2335" s="64" t="s">
        <v>330</v>
      </c>
    </row>
    <row r="2336" spans="9:15" x14ac:dyDescent="0.45">
      <c r="I2336"/>
      <c r="J2336"/>
      <c r="M2336" s="62" t="s">
        <v>5100</v>
      </c>
      <c r="N2336" s="63" t="s">
        <v>5101</v>
      </c>
      <c r="O2336" s="64" t="s">
        <v>364</v>
      </c>
    </row>
    <row r="2337" spans="9:15" x14ac:dyDescent="0.45">
      <c r="I2337"/>
      <c r="J2337"/>
      <c r="M2337" s="79" t="s">
        <v>5102</v>
      </c>
      <c r="N2337" s="76" t="s">
        <v>5103</v>
      </c>
      <c r="O2337" s="77" t="s">
        <v>723</v>
      </c>
    </row>
    <row r="2338" spans="9:15" x14ac:dyDescent="0.45">
      <c r="I2338"/>
      <c r="J2338"/>
      <c r="M2338" s="62" t="s">
        <v>5104</v>
      </c>
      <c r="N2338" s="63" t="s">
        <v>5105</v>
      </c>
      <c r="O2338" s="64" t="s">
        <v>330</v>
      </c>
    </row>
    <row r="2339" spans="9:15" x14ac:dyDescent="0.45">
      <c r="I2339"/>
      <c r="J2339"/>
      <c r="M2339" s="62" t="s">
        <v>5106</v>
      </c>
      <c r="N2339" s="63" t="s">
        <v>5107</v>
      </c>
      <c r="O2339" s="64" t="s">
        <v>667</v>
      </c>
    </row>
    <row r="2340" spans="9:15" x14ac:dyDescent="0.45">
      <c r="I2340"/>
      <c r="J2340"/>
      <c r="M2340" s="62" t="s">
        <v>5108</v>
      </c>
      <c r="N2340" s="63" t="s">
        <v>5109</v>
      </c>
      <c r="O2340" s="64" t="s">
        <v>480</v>
      </c>
    </row>
    <row r="2341" spans="9:15" x14ac:dyDescent="0.45">
      <c r="I2341"/>
      <c r="J2341"/>
      <c r="M2341" s="75" t="s">
        <v>5110</v>
      </c>
      <c r="N2341" s="76" t="s">
        <v>5111</v>
      </c>
      <c r="O2341" s="77" t="s">
        <v>364</v>
      </c>
    </row>
    <row r="2342" spans="9:15" x14ac:dyDescent="0.45">
      <c r="I2342"/>
      <c r="J2342"/>
      <c r="M2342" s="62" t="s">
        <v>5112</v>
      </c>
      <c r="N2342" s="63" t="s">
        <v>5113</v>
      </c>
      <c r="O2342" s="64" t="s">
        <v>330</v>
      </c>
    </row>
    <row r="2343" spans="9:15" x14ac:dyDescent="0.45">
      <c r="I2343"/>
      <c r="J2343"/>
      <c r="M2343" s="62" t="s">
        <v>5114</v>
      </c>
      <c r="N2343" s="63" t="s">
        <v>5115</v>
      </c>
      <c r="O2343" s="64" t="s">
        <v>549</v>
      </c>
    </row>
    <row r="2344" spans="9:15" x14ac:dyDescent="0.45">
      <c r="I2344"/>
      <c r="J2344"/>
      <c r="M2344" s="79" t="s">
        <v>5116</v>
      </c>
      <c r="N2344" s="76" t="s">
        <v>5117</v>
      </c>
      <c r="O2344" s="77" t="s">
        <v>464</v>
      </c>
    </row>
    <row r="2345" spans="9:15" x14ac:dyDescent="0.45">
      <c r="I2345"/>
      <c r="J2345"/>
      <c r="M2345" s="79" t="s">
        <v>5118</v>
      </c>
      <c r="N2345" s="76" t="s">
        <v>5119</v>
      </c>
      <c r="O2345" s="77" t="s">
        <v>532</v>
      </c>
    </row>
    <row r="2346" spans="9:15" x14ac:dyDescent="0.45">
      <c r="I2346"/>
      <c r="J2346"/>
      <c r="M2346" s="62" t="s">
        <v>5120</v>
      </c>
      <c r="N2346" s="63" t="s">
        <v>5121</v>
      </c>
      <c r="O2346" s="64" t="s">
        <v>344</v>
      </c>
    </row>
    <row r="2347" spans="9:15" x14ac:dyDescent="0.45">
      <c r="I2347"/>
      <c r="J2347"/>
      <c r="M2347" s="62" t="s">
        <v>5122</v>
      </c>
      <c r="N2347" s="63" t="s">
        <v>5123</v>
      </c>
      <c r="O2347" s="64" t="s">
        <v>330</v>
      </c>
    </row>
    <row r="2348" spans="9:15" x14ac:dyDescent="0.45">
      <c r="I2348"/>
      <c r="J2348"/>
      <c r="M2348" s="62" t="s">
        <v>5124</v>
      </c>
      <c r="N2348" s="63" t="s">
        <v>5125</v>
      </c>
      <c r="O2348" s="64" t="s">
        <v>330</v>
      </c>
    </row>
    <row r="2349" spans="9:15" x14ac:dyDescent="0.45">
      <c r="I2349"/>
      <c r="J2349"/>
      <c r="M2349" s="62" t="s">
        <v>5126</v>
      </c>
      <c r="N2349" s="63" t="s">
        <v>5127</v>
      </c>
      <c r="O2349" s="64" t="s">
        <v>327</v>
      </c>
    </row>
    <row r="2350" spans="9:15" x14ac:dyDescent="0.45">
      <c r="I2350"/>
      <c r="J2350"/>
      <c r="M2350" s="62" t="s">
        <v>5128</v>
      </c>
      <c r="N2350" s="63" t="s">
        <v>5129</v>
      </c>
      <c r="O2350" s="64" t="s">
        <v>330</v>
      </c>
    </row>
    <row r="2351" spans="9:15" x14ac:dyDescent="0.45">
      <c r="I2351"/>
      <c r="J2351"/>
      <c r="M2351" s="62" t="s">
        <v>5130</v>
      </c>
      <c r="N2351" s="63" t="s">
        <v>5131</v>
      </c>
      <c r="O2351" s="64" t="s">
        <v>330</v>
      </c>
    </row>
    <row r="2352" spans="9:15" x14ac:dyDescent="0.45">
      <c r="I2352"/>
      <c r="J2352"/>
      <c r="M2352" s="62" t="s">
        <v>5132</v>
      </c>
      <c r="N2352" s="63" t="s">
        <v>5133</v>
      </c>
      <c r="O2352" s="64" t="s">
        <v>330</v>
      </c>
    </row>
    <row r="2353" spans="9:15" x14ac:dyDescent="0.45">
      <c r="I2353"/>
      <c r="J2353"/>
      <c r="M2353" s="62" t="s">
        <v>5134</v>
      </c>
      <c r="N2353" s="63" t="s">
        <v>5135</v>
      </c>
      <c r="O2353" s="64" t="s">
        <v>515</v>
      </c>
    </row>
    <row r="2354" spans="9:15" x14ac:dyDescent="0.45">
      <c r="I2354"/>
      <c r="J2354"/>
      <c r="M2354" s="62" t="s">
        <v>5136</v>
      </c>
      <c r="N2354" s="63" t="s">
        <v>5137</v>
      </c>
      <c r="O2354" s="64" t="s">
        <v>330</v>
      </c>
    </row>
    <row r="2355" spans="9:15" x14ac:dyDescent="0.45">
      <c r="I2355"/>
      <c r="J2355"/>
      <c r="M2355" s="62" t="s">
        <v>5138</v>
      </c>
      <c r="N2355" s="63" t="s">
        <v>5139</v>
      </c>
      <c r="O2355" s="64" t="s">
        <v>5140</v>
      </c>
    </row>
    <row r="2356" spans="9:15" x14ac:dyDescent="0.45">
      <c r="I2356"/>
      <c r="J2356"/>
      <c r="M2356" s="62" t="s">
        <v>5141</v>
      </c>
      <c r="N2356" s="63" t="s">
        <v>5142</v>
      </c>
      <c r="O2356" s="64" t="s">
        <v>318</v>
      </c>
    </row>
    <row r="2357" spans="9:15" x14ac:dyDescent="0.45">
      <c r="I2357"/>
      <c r="J2357"/>
      <c r="M2357" s="79" t="s">
        <v>5143</v>
      </c>
      <c r="N2357" s="76" t="s">
        <v>5144</v>
      </c>
      <c r="O2357" s="77" t="s">
        <v>532</v>
      </c>
    </row>
    <row r="2358" spans="9:15" x14ac:dyDescent="0.45">
      <c r="I2358"/>
      <c r="J2358"/>
      <c r="M2358" s="62" t="s">
        <v>5145</v>
      </c>
      <c r="N2358" s="63" t="s">
        <v>5146</v>
      </c>
      <c r="O2358" s="64" t="s">
        <v>330</v>
      </c>
    </row>
    <row r="2359" spans="9:15" x14ac:dyDescent="0.45">
      <c r="I2359"/>
      <c r="J2359"/>
      <c r="M2359" s="62" t="s">
        <v>5147</v>
      </c>
      <c r="N2359" s="63" t="s">
        <v>5148</v>
      </c>
      <c r="O2359" s="64" t="s">
        <v>330</v>
      </c>
    </row>
    <row r="2360" spans="9:15" x14ac:dyDescent="0.45">
      <c r="I2360"/>
      <c r="J2360"/>
      <c r="M2360" s="62" t="s">
        <v>5149</v>
      </c>
      <c r="N2360" s="63" t="s">
        <v>5150</v>
      </c>
      <c r="O2360" s="64" t="s">
        <v>330</v>
      </c>
    </row>
    <row r="2361" spans="9:15" x14ac:dyDescent="0.45">
      <c r="I2361"/>
      <c r="J2361"/>
      <c r="M2361" s="62" t="s">
        <v>5151</v>
      </c>
      <c r="N2361" s="63" t="s">
        <v>5152</v>
      </c>
      <c r="O2361" s="64" t="s">
        <v>1254</v>
      </c>
    </row>
    <row r="2362" spans="9:15" x14ac:dyDescent="0.45">
      <c r="I2362"/>
      <c r="J2362"/>
      <c r="M2362" s="62" t="s">
        <v>5153</v>
      </c>
      <c r="N2362" s="63" t="s">
        <v>5154</v>
      </c>
      <c r="O2362" s="64" t="s">
        <v>330</v>
      </c>
    </row>
    <row r="2363" spans="9:15" x14ac:dyDescent="0.45">
      <c r="I2363"/>
      <c r="J2363"/>
      <c r="M2363" s="79" t="s">
        <v>5155</v>
      </c>
      <c r="N2363" s="76" t="s">
        <v>5156</v>
      </c>
      <c r="O2363" s="77" t="s">
        <v>330</v>
      </c>
    </row>
    <row r="2364" spans="9:15" x14ac:dyDescent="0.45">
      <c r="I2364"/>
      <c r="J2364"/>
      <c r="M2364" s="62" t="s">
        <v>5157</v>
      </c>
      <c r="N2364" s="63" t="s">
        <v>5158</v>
      </c>
      <c r="O2364" s="64" t="s">
        <v>321</v>
      </c>
    </row>
    <row r="2365" spans="9:15" x14ac:dyDescent="0.45">
      <c r="I2365"/>
      <c r="J2365"/>
      <c r="M2365" s="62" t="s">
        <v>5159</v>
      </c>
      <c r="N2365" s="63" t="s">
        <v>5160</v>
      </c>
      <c r="O2365" s="64" t="s">
        <v>321</v>
      </c>
    </row>
    <row r="2366" spans="9:15" x14ac:dyDescent="0.45">
      <c r="I2366"/>
      <c r="J2366"/>
      <c r="M2366" s="62" t="s">
        <v>5161</v>
      </c>
      <c r="N2366" s="63" t="s">
        <v>5162</v>
      </c>
      <c r="O2366" s="64" t="s">
        <v>321</v>
      </c>
    </row>
    <row r="2367" spans="9:15" x14ac:dyDescent="0.45">
      <c r="I2367"/>
      <c r="J2367"/>
      <c r="M2367" s="62" t="s">
        <v>5163</v>
      </c>
      <c r="N2367" s="63" t="s">
        <v>5164</v>
      </c>
      <c r="O2367" s="64" t="s">
        <v>330</v>
      </c>
    </row>
    <row r="2368" spans="9:15" x14ac:dyDescent="0.45">
      <c r="I2368"/>
      <c r="J2368"/>
      <c r="M2368" s="62" t="s">
        <v>5165</v>
      </c>
      <c r="N2368" s="63" t="s">
        <v>5166</v>
      </c>
      <c r="O2368" s="64" t="s">
        <v>330</v>
      </c>
    </row>
    <row r="2369" spans="9:15" x14ac:dyDescent="0.45">
      <c r="I2369"/>
      <c r="J2369"/>
      <c r="M2369" s="62" t="s">
        <v>5167</v>
      </c>
      <c r="N2369" s="63" t="s">
        <v>5168</v>
      </c>
      <c r="O2369" s="64" t="s">
        <v>1031</v>
      </c>
    </row>
    <row r="2370" spans="9:15" x14ac:dyDescent="0.45">
      <c r="I2370"/>
      <c r="J2370"/>
      <c r="M2370" s="62" t="s">
        <v>5169</v>
      </c>
      <c r="N2370" s="63" t="s">
        <v>5170</v>
      </c>
      <c r="O2370" s="64" t="s">
        <v>330</v>
      </c>
    </row>
    <row r="2371" spans="9:15" x14ac:dyDescent="0.45">
      <c r="I2371"/>
      <c r="J2371"/>
      <c r="M2371" s="62" t="s">
        <v>5171</v>
      </c>
      <c r="N2371" s="63" t="s">
        <v>5172</v>
      </c>
      <c r="O2371" s="64" t="s">
        <v>330</v>
      </c>
    </row>
    <row r="2372" spans="9:15" x14ac:dyDescent="0.45">
      <c r="I2372"/>
      <c r="J2372"/>
      <c r="M2372" s="79" t="s">
        <v>5173</v>
      </c>
      <c r="N2372" s="76" t="s">
        <v>5174</v>
      </c>
      <c r="O2372" s="77" t="s">
        <v>321</v>
      </c>
    </row>
    <row r="2373" spans="9:15" x14ac:dyDescent="0.45">
      <c r="I2373"/>
      <c r="J2373"/>
      <c r="M2373" s="79" t="s">
        <v>5175</v>
      </c>
      <c r="N2373" s="76" t="s">
        <v>5176</v>
      </c>
      <c r="O2373" s="77" t="s">
        <v>632</v>
      </c>
    </row>
    <row r="2374" spans="9:15" x14ac:dyDescent="0.45">
      <c r="I2374"/>
      <c r="J2374"/>
      <c r="M2374" s="79" t="s">
        <v>5177</v>
      </c>
      <c r="N2374" s="76" t="s">
        <v>5178</v>
      </c>
      <c r="O2374" s="77" t="s">
        <v>330</v>
      </c>
    </row>
    <row r="2375" spans="9:15" x14ac:dyDescent="0.45">
      <c r="I2375"/>
      <c r="J2375"/>
      <c r="M2375" s="62" t="s">
        <v>5179</v>
      </c>
      <c r="N2375" s="63" t="s">
        <v>5180</v>
      </c>
      <c r="O2375" s="64" t="s">
        <v>330</v>
      </c>
    </row>
    <row r="2376" spans="9:15" x14ac:dyDescent="0.45">
      <c r="I2376"/>
      <c r="J2376"/>
      <c r="M2376" s="62" t="s">
        <v>5181</v>
      </c>
      <c r="N2376" s="63" t="s">
        <v>5182</v>
      </c>
      <c r="O2376" s="64" t="s">
        <v>341</v>
      </c>
    </row>
    <row r="2377" spans="9:15" x14ac:dyDescent="0.45">
      <c r="I2377"/>
      <c r="J2377"/>
      <c r="M2377" s="62" t="s">
        <v>5183</v>
      </c>
      <c r="N2377" s="63" t="s">
        <v>5184</v>
      </c>
      <c r="O2377" s="64" t="s">
        <v>330</v>
      </c>
    </row>
    <row r="2378" spans="9:15" x14ac:dyDescent="0.45">
      <c r="I2378"/>
      <c r="J2378"/>
      <c r="M2378" s="62" t="s">
        <v>5185</v>
      </c>
      <c r="N2378" s="63" t="s">
        <v>5186</v>
      </c>
      <c r="O2378" s="64" t="s">
        <v>549</v>
      </c>
    </row>
    <row r="2379" spans="9:15" x14ac:dyDescent="0.45">
      <c r="I2379"/>
      <c r="J2379"/>
      <c r="M2379" s="62" t="s">
        <v>5187</v>
      </c>
      <c r="N2379" s="63" t="s">
        <v>5188</v>
      </c>
      <c r="O2379" s="64" t="s">
        <v>336</v>
      </c>
    </row>
    <row r="2380" spans="9:15" x14ac:dyDescent="0.45">
      <c r="I2380"/>
      <c r="J2380"/>
      <c r="M2380" s="79" t="s">
        <v>5189</v>
      </c>
      <c r="N2380" s="76" t="s">
        <v>5190</v>
      </c>
      <c r="O2380" s="77" t="s">
        <v>330</v>
      </c>
    </row>
    <row r="2381" spans="9:15" x14ac:dyDescent="0.45">
      <c r="I2381"/>
      <c r="J2381"/>
      <c r="M2381" s="62" t="s">
        <v>5191</v>
      </c>
      <c r="N2381" s="72" t="s">
        <v>5192</v>
      </c>
      <c r="O2381" s="64" t="s">
        <v>330</v>
      </c>
    </row>
    <row r="2382" spans="9:15" x14ac:dyDescent="0.45">
      <c r="I2382"/>
      <c r="J2382"/>
      <c r="M2382" s="62" t="s">
        <v>5193</v>
      </c>
      <c r="N2382" s="63" t="s">
        <v>5194</v>
      </c>
      <c r="O2382" s="64" t="s">
        <v>327</v>
      </c>
    </row>
    <row r="2383" spans="9:15" x14ac:dyDescent="0.45">
      <c r="I2383"/>
      <c r="J2383"/>
      <c r="M2383" s="62" t="s">
        <v>5195</v>
      </c>
      <c r="N2383" s="63" t="s">
        <v>5196</v>
      </c>
      <c r="O2383" s="64" t="s">
        <v>330</v>
      </c>
    </row>
    <row r="2384" spans="9:15" x14ac:dyDescent="0.45">
      <c r="I2384"/>
      <c r="J2384"/>
      <c r="M2384" s="62" t="s">
        <v>5197</v>
      </c>
      <c r="N2384" s="63" t="s">
        <v>5198</v>
      </c>
      <c r="O2384" s="64" t="s">
        <v>632</v>
      </c>
    </row>
    <row r="2385" spans="9:15" x14ac:dyDescent="0.45">
      <c r="I2385"/>
      <c r="J2385"/>
      <c r="M2385" s="62" t="s">
        <v>5199</v>
      </c>
      <c r="N2385" s="63" t="s">
        <v>5200</v>
      </c>
      <c r="O2385" s="64" t="s">
        <v>5201</v>
      </c>
    </row>
    <row r="2386" spans="9:15" x14ac:dyDescent="0.45">
      <c r="I2386"/>
      <c r="J2386"/>
      <c r="M2386" s="62" t="s">
        <v>5202</v>
      </c>
      <c r="N2386" s="63" t="s">
        <v>5203</v>
      </c>
      <c r="O2386" s="64" t="s">
        <v>344</v>
      </c>
    </row>
    <row r="2387" spans="9:15" x14ac:dyDescent="0.45">
      <c r="I2387"/>
      <c r="J2387"/>
      <c r="M2387" s="62" t="s">
        <v>5204</v>
      </c>
      <c r="N2387" s="63" t="s">
        <v>5205</v>
      </c>
      <c r="O2387" s="64" t="s">
        <v>330</v>
      </c>
    </row>
    <row r="2388" spans="9:15" x14ac:dyDescent="0.45">
      <c r="I2388"/>
      <c r="J2388"/>
      <c r="M2388" s="62" t="s">
        <v>5206</v>
      </c>
      <c r="N2388" s="63" t="s">
        <v>5207</v>
      </c>
      <c r="O2388" s="64" t="s">
        <v>318</v>
      </c>
    </row>
    <row r="2389" spans="9:15" x14ac:dyDescent="0.45">
      <c r="I2389"/>
      <c r="J2389"/>
      <c r="M2389" s="62" t="s">
        <v>5208</v>
      </c>
      <c r="N2389" s="63" t="s">
        <v>5209</v>
      </c>
      <c r="O2389" s="64" t="s">
        <v>344</v>
      </c>
    </row>
    <row r="2390" spans="9:15" x14ac:dyDescent="0.45">
      <c r="I2390"/>
      <c r="J2390"/>
      <c r="M2390" s="62" t="s">
        <v>5210</v>
      </c>
      <c r="N2390" s="63" t="s">
        <v>5211</v>
      </c>
      <c r="O2390" s="64" t="s">
        <v>330</v>
      </c>
    </row>
    <row r="2391" spans="9:15" x14ac:dyDescent="0.45">
      <c r="I2391"/>
      <c r="J2391"/>
      <c r="M2391" s="62" t="s">
        <v>5212</v>
      </c>
      <c r="N2391" s="63" t="s">
        <v>5213</v>
      </c>
      <c r="O2391" s="64" t="s">
        <v>330</v>
      </c>
    </row>
    <row r="2392" spans="9:15" x14ac:dyDescent="0.45">
      <c r="I2392"/>
      <c r="J2392"/>
      <c r="M2392" s="62" t="s">
        <v>5214</v>
      </c>
      <c r="N2392" s="63" t="s">
        <v>5215</v>
      </c>
      <c r="O2392" s="64" t="s">
        <v>330</v>
      </c>
    </row>
    <row r="2393" spans="9:15" x14ac:dyDescent="0.45">
      <c r="I2393"/>
      <c r="J2393"/>
      <c r="M2393" s="62" t="s">
        <v>5216</v>
      </c>
      <c r="N2393" s="74" t="s">
        <v>5217</v>
      </c>
      <c r="O2393" s="64" t="s">
        <v>330</v>
      </c>
    </row>
    <row r="2394" spans="9:15" x14ac:dyDescent="0.45">
      <c r="I2394"/>
      <c r="J2394"/>
      <c r="M2394" s="62" t="s">
        <v>5218</v>
      </c>
      <c r="N2394" s="63" t="s">
        <v>5219</v>
      </c>
      <c r="O2394" s="64" t="s">
        <v>330</v>
      </c>
    </row>
    <row r="2395" spans="9:15" x14ac:dyDescent="0.45">
      <c r="I2395"/>
      <c r="J2395"/>
      <c r="M2395" s="62" t="s">
        <v>5220</v>
      </c>
      <c r="N2395" s="63" t="s">
        <v>5221</v>
      </c>
      <c r="O2395" s="64" t="s">
        <v>330</v>
      </c>
    </row>
    <row r="2396" spans="9:15" x14ac:dyDescent="0.45">
      <c r="I2396"/>
      <c r="J2396"/>
      <c r="M2396" s="62" t="s">
        <v>5222</v>
      </c>
      <c r="N2396" s="63" t="s">
        <v>5223</v>
      </c>
      <c r="O2396" s="64" t="s">
        <v>330</v>
      </c>
    </row>
    <row r="2397" spans="9:15" x14ac:dyDescent="0.45">
      <c r="I2397"/>
      <c r="J2397"/>
      <c r="M2397" s="62" t="s">
        <v>5224</v>
      </c>
      <c r="N2397" s="63" t="s">
        <v>5225</v>
      </c>
      <c r="O2397" s="64" t="s">
        <v>330</v>
      </c>
    </row>
    <row r="2398" spans="9:15" x14ac:dyDescent="0.45">
      <c r="I2398"/>
      <c r="J2398"/>
      <c r="M2398" s="62" t="s">
        <v>5226</v>
      </c>
      <c r="N2398" s="63" t="s">
        <v>5227</v>
      </c>
      <c r="O2398" s="64" t="s">
        <v>5201</v>
      </c>
    </row>
    <row r="2399" spans="9:15" x14ac:dyDescent="0.45">
      <c r="I2399"/>
      <c r="J2399"/>
      <c r="M2399" s="62" t="s">
        <v>5228</v>
      </c>
      <c r="N2399" s="63" t="s">
        <v>5229</v>
      </c>
      <c r="O2399" s="64" t="s">
        <v>330</v>
      </c>
    </row>
    <row r="2400" spans="9:15" x14ac:dyDescent="0.45">
      <c r="I2400"/>
      <c r="J2400"/>
      <c r="M2400" s="62" t="s">
        <v>5230</v>
      </c>
      <c r="N2400" s="63" t="s">
        <v>5231</v>
      </c>
      <c r="O2400" s="64" t="s">
        <v>330</v>
      </c>
    </row>
    <row r="2401" spans="9:15" x14ac:dyDescent="0.45">
      <c r="I2401"/>
      <c r="J2401"/>
      <c r="M2401" s="62" t="s">
        <v>5232</v>
      </c>
      <c r="N2401" s="63" t="s">
        <v>5233</v>
      </c>
      <c r="O2401" s="64" t="s">
        <v>632</v>
      </c>
    </row>
    <row r="2402" spans="9:15" x14ac:dyDescent="0.45">
      <c r="I2402"/>
      <c r="J2402"/>
      <c r="M2402" s="62" t="s">
        <v>5234</v>
      </c>
      <c r="N2402" s="63" t="s">
        <v>5235</v>
      </c>
      <c r="O2402" s="64" t="s">
        <v>330</v>
      </c>
    </row>
    <row r="2403" spans="9:15" x14ac:dyDescent="0.45">
      <c r="I2403"/>
      <c r="J2403"/>
      <c r="M2403" s="62" t="s">
        <v>5236</v>
      </c>
      <c r="N2403" s="63" t="s">
        <v>5237</v>
      </c>
      <c r="O2403" s="64" t="s">
        <v>330</v>
      </c>
    </row>
    <row r="2404" spans="9:15" x14ac:dyDescent="0.45">
      <c r="I2404"/>
      <c r="J2404"/>
      <c r="M2404" s="62" t="s">
        <v>5238</v>
      </c>
      <c r="N2404" s="63" t="s">
        <v>5239</v>
      </c>
      <c r="O2404" s="64" t="s">
        <v>330</v>
      </c>
    </row>
    <row r="2405" spans="9:15" x14ac:dyDescent="0.45">
      <c r="I2405"/>
      <c r="J2405"/>
      <c r="M2405" s="62" t="s">
        <v>5240</v>
      </c>
      <c r="N2405" s="63" t="s">
        <v>5241</v>
      </c>
      <c r="O2405" s="64" t="s">
        <v>330</v>
      </c>
    </row>
    <row r="2406" spans="9:15" x14ac:dyDescent="0.45">
      <c r="I2406"/>
      <c r="J2406"/>
      <c r="M2406" s="62" t="s">
        <v>5242</v>
      </c>
      <c r="N2406" s="63" t="s">
        <v>5243</v>
      </c>
      <c r="O2406" s="64" t="s">
        <v>330</v>
      </c>
    </row>
    <row r="2407" spans="9:15" x14ac:dyDescent="0.45">
      <c r="I2407"/>
      <c r="J2407"/>
      <c r="M2407" s="62" t="s">
        <v>5244</v>
      </c>
      <c r="N2407" s="63" t="s">
        <v>5245</v>
      </c>
      <c r="O2407" s="64" t="s">
        <v>321</v>
      </c>
    </row>
    <row r="2408" spans="9:15" x14ac:dyDescent="0.45">
      <c r="I2408"/>
      <c r="J2408"/>
      <c r="M2408" s="62" t="s">
        <v>5246</v>
      </c>
      <c r="N2408" s="63" t="s">
        <v>5247</v>
      </c>
      <c r="O2408" s="64" t="s">
        <v>330</v>
      </c>
    </row>
    <row r="2409" spans="9:15" x14ac:dyDescent="0.45">
      <c r="I2409"/>
      <c r="J2409"/>
      <c r="M2409" s="62" t="s">
        <v>5248</v>
      </c>
      <c r="N2409" s="63" t="s">
        <v>5249</v>
      </c>
      <c r="O2409" s="64" t="s">
        <v>330</v>
      </c>
    </row>
    <row r="2410" spans="9:15" x14ac:dyDescent="0.45">
      <c r="I2410"/>
      <c r="J2410"/>
      <c r="M2410" s="62" t="s">
        <v>5250</v>
      </c>
      <c r="N2410" s="63" t="s">
        <v>5251</v>
      </c>
      <c r="O2410" s="64" t="s">
        <v>321</v>
      </c>
    </row>
    <row r="2411" spans="9:15" x14ac:dyDescent="0.45">
      <c r="I2411"/>
      <c r="J2411"/>
      <c r="M2411" s="62" t="s">
        <v>5252</v>
      </c>
      <c r="N2411" s="63" t="s">
        <v>5253</v>
      </c>
      <c r="O2411" s="64" t="s">
        <v>453</v>
      </c>
    </row>
    <row r="2412" spans="9:15" x14ac:dyDescent="0.45">
      <c r="I2412"/>
      <c r="J2412"/>
      <c r="M2412" s="62" t="s">
        <v>5254</v>
      </c>
      <c r="N2412" s="63" t="s">
        <v>5255</v>
      </c>
      <c r="O2412" s="64" t="s">
        <v>330</v>
      </c>
    </row>
    <row r="2413" spans="9:15" x14ac:dyDescent="0.45">
      <c r="I2413"/>
      <c r="J2413"/>
      <c r="M2413" s="62" t="s">
        <v>5256</v>
      </c>
      <c r="N2413" s="63" t="s">
        <v>5257</v>
      </c>
      <c r="O2413" s="64" t="s">
        <v>330</v>
      </c>
    </row>
    <row r="2414" spans="9:15" x14ac:dyDescent="0.45">
      <c r="I2414"/>
      <c r="J2414"/>
      <c r="M2414" s="62" t="s">
        <v>5258</v>
      </c>
      <c r="N2414" s="72" t="s">
        <v>5259</v>
      </c>
      <c r="O2414" s="64" t="s">
        <v>330</v>
      </c>
    </row>
    <row r="2415" spans="9:15" x14ac:dyDescent="0.45">
      <c r="I2415"/>
      <c r="J2415"/>
      <c r="M2415" s="62" t="s">
        <v>5260</v>
      </c>
      <c r="N2415" s="63" t="s">
        <v>5261</v>
      </c>
      <c r="O2415" s="64" t="s">
        <v>330</v>
      </c>
    </row>
    <row r="2416" spans="9:15" x14ac:dyDescent="0.45">
      <c r="I2416"/>
      <c r="J2416"/>
      <c r="M2416" s="62" t="s">
        <v>5262</v>
      </c>
      <c r="N2416" s="63" t="s">
        <v>5263</v>
      </c>
      <c r="O2416" s="64" t="s">
        <v>336</v>
      </c>
    </row>
    <row r="2417" spans="9:15" x14ac:dyDescent="0.45">
      <c r="I2417"/>
      <c r="J2417"/>
      <c r="M2417" s="62" t="s">
        <v>5264</v>
      </c>
      <c r="N2417" s="63" t="s">
        <v>5265</v>
      </c>
      <c r="O2417" s="64" t="s">
        <v>330</v>
      </c>
    </row>
    <row r="2418" spans="9:15" x14ac:dyDescent="0.45">
      <c r="I2418"/>
      <c r="J2418"/>
      <c r="M2418" s="62" t="s">
        <v>5266</v>
      </c>
      <c r="N2418" s="63" t="s">
        <v>5267</v>
      </c>
      <c r="O2418" s="64" t="s">
        <v>330</v>
      </c>
    </row>
    <row r="2419" spans="9:15" x14ac:dyDescent="0.45">
      <c r="I2419"/>
      <c r="J2419"/>
      <c r="M2419" s="62" t="s">
        <v>5268</v>
      </c>
      <c r="N2419" s="63" t="s">
        <v>5269</v>
      </c>
      <c r="O2419" s="64" t="s">
        <v>330</v>
      </c>
    </row>
    <row r="2420" spans="9:15" x14ac:dyDescent="0.45">
      <c r="I2420"/>
      <c r="J2420"/>
      <c r="M2420" s="62" t="s">
        <v>5270</v>
      </c>
      <c r="N2420" s="63" t="s">
        <v>5271</v>
      </c>
      <c r="O2420" s="64" t="s">
        <v>330</v>
      </c>
    </row>
    <row r="2421" spans="9:15" x14ac:dyDescent="0.45">
      <c r="I2421"/>
      <c r="J2421"/>
      <c r="M2421" s="62" t="s">
        <v>5272</v>
      </c>
      <c r="N2421" s="63" t="s">
        <v>5273</v>
      </c>
      <c r="O2421" s="64" t="s">
        <v>625</v>
      </c>
    </row>
    <row r="2422" spans="9:15" x14ac:dyDescent="0.45">
      <c r="I2422"/>
      <c r="J2422"/>
      <c r="M2422" s="65" t="s">
        <v>5274</v>
      </c>
      <c r="N2422" s="66" t="s">
        <v>5275</v>
      </c>
      <c r="O2422" s="64" t="s">
        <v>515</v>
      </c>
    </row>
    <row r="2423" spans="9:15" x14ac:dyDescent="0.45">
      <c r="I2423"/>
      <c r="J2423"/>
      <c r="M2423" s="62" t="s">
        <v>5276</v>
      </c>
      <c r="N2423" s="63" t="s">
        <v>5277</v>
      </c>
      <c r="O2423" s="64" t="s">
        <v>341</v>
      </c>
    </row>
    <row r="2424" spans="9:15" x14ac:dyDescent="0.45">
      <c r="I2424"/>
      <c r="J2424"/>
      <c r="M2424" s="62" t="s">
        <v>5278</v>
      </c>
      <c r="N2424" s="63" t="s">
        <v>5279</v>
      </c>
      <c r="O2424" s="64" t="s">
        <v>330</v>
      </c>
    </row>
    <row r="2425" spans="9:15" x14ac:dyDescent="0.45">
      <c r="I2425"/>
      <c r="J2425"/>
      <c r="M2425" s="62" t="s">
        <v>5280</v>
      </c>
      <c r="N2425" s="63" t="s">
        <v>5281</v>
      </c>
      <c r="O2425" s="64" t="s">
        <v>318</v>
      </c>
    </row>
    <row r="2426" spans="9:15" x14ac:dyDescent="0.45">
      <c r="I2426"/>
      <c r="J2426"/>
      <c r="M2426" s="62" t="s">
        <v>5282</v>
      </c>
      <c r="N2426" s="63" t="s">
        <v>5283</v>
      </c>
      <c r="O2426" s="64" t="s">
        <v>625</v>
      </c>
    </row>
    <row r="2427" spans="9:15" x14ac:dyDescent="0.45">
      <c r="I2427"/>
      <c r="J2427"/>
      <c r="M2427" s="62" t="s">
        <v>5284</v>
      </c>
      <c r="N2427" s="63" t="s">
        <v>5285</v>
      </c>
      <c r="O2427" s="64" t="s">
        <v>509</v>
      </c>
    </row>
    <row r="2428" spans="9:15" x14ac:dyDescent="0.45">
      <c r="I2428"/>
      <c r="J2428"/>
      <c r="M2428" s="62" t="s">
        <v>5286</v>
      </c>
      <c r="N2428" s="63" t="s">
        <v>5287</v>
      </c>
      <c r="O2428" s="64" t="s">
        <v>321</v>
      </c>
    </row>
    <row r="2429" spans="9:15" x14ac:dyDescent="0.45">
      <c r="I2429"/>
      <c r="J2429"/>
      <c r="M2429" s="62" t="s">
        <v>5288</v>
      </c>
      <c r="N2429" s="63" t="s">
        <v>5289</v>
      </c>
      <c r="O2429" s="64" t="s">
        <v>330</v>
      </c>
    </row>
    <row r="2430" spans="9:15" x14ac:dyDescent="0.45">
      <c r="I2430"/>
      <c r="J2430"/>
      <c r="M2430" s="62" t="s">
        <v>5290</v>
      </c>
      <c r="N2430" s="63" t="s">
        <v>5291</v>
      </c>
      <c r="O2430" s="64" t="s">
        <v>330</v>
      </c>
    </row>
    <row r="2431" spans="9:15" x14ac:dyDescent="0.45">
      <c r="I2431"/>
      <c r="J2431"/>
      <c r="M2431" s="62" t="s">
        <v>5292</v>
      </c>
      <c r="N2431" s="63" t="s">
        <v>5293</v>
      </c>
      <c r="O2431" s="64" t="s">
        <v>330</v>
      </c>
    </row>
    <row r="2432" spans="9:15" x14ac:dyDescent="0.45">
      <c r="I2432"/>
      <c r="J2432"/>
      <c r="M2432" s="62" t="s">
        <v>5294</v>
      </c>
      <c r="N2432" s="63" t="s">
        <v>5295</v>
      </c>
      <c r="O2432" s="64" t="s">
        <v>330</v>
      </c>
    </row>
    <row r="2433" spans="9:15" x14ac:dyDescent="0.45">
      <c r="I2433"/>
      <c r="J2433"/>
      <c r="M2433" s="69" t="s">
        <v>5296</v>
      </c>
      <c r="N2433" s="70" t="s">
        <v>5297</v>
      </c>
      <c r="O2433" s="63" t="s">
        <v>373</v>
      </c>
    </row>
    <row r="2434" spans="9:15" x14ac:dyDescent="0.45">
      <c r="I2434"/>
      <c r="J2434"/>
      <c r="M2434" s="62" t="s">
        <v>5298</v>
      </c>
      <c r="N2434" s="63" t="s">
        <v>5299</v>
      </c>
      <c r="O2434" s="64" t="s">
        <v>330</v>
      </c>
    </row>
    <row r="2435" spans="9:15" x14ac:dyDescent="0.45">
      <c r="I2435"/>
      <c r="J2435"/>
      <c r="M2435" s="62" t="s">
        <v>5300</v>
      </c>
      <c r="N2435" s="63" t="s">
        <v>5301</v>
      </c>
      <c r="O2435" s="64" t="s">
        <v>330</v>
      </c>
    </row>
    <row r="2436" spans="9:15" x14ac:dyDescent="0.45">
      <c r="I2436"/>
      <c r="J2436"/>
      <c r="M2436" s="62" t="s">
        <v>5302</v>
      </c>
      <c r="N2436" s="63" t="s">
        <v>5303</v>
      </c>
      <c r="O2436" s="64" t="s">
        <v>330</v>
      </c>
    </row>
    <row r="2437" spans="9:15" x14ac:dyDescent="0.45">
      <c r="I2437"/>
      <c r="J2437"/>
      <c r="M2437" s="62" t="s">
        <v>5304</v>
      </c>
      <c r="N2437" s="63" t="s">
        <v>5305</v>
      </c>
      <c r="O2437" s="64" t="s">
        <v>330</v>
      </c>
    </row>
    <row r="2438" spans="9:15" x14ac:dyDescent="0.45">
      <c r="I2438"/>
      <c r="J2438"/>
      <c r="M2438" s="62" t="s">
        <v>5306</v>
      </c>
      <c r="N2438" s="63" t="s">
        <v>5307</v>
      </c>
      <c r="O2438" s="64" t="s">
        <v>330</v>
      </c>
    </row>
    <row r="2439" spans="9:15" x14ac:dyDescent="0.45">
      <c r="I2439"/>
      <c r="J2439"/>
      <c r="M2439" s="62" t="s">
        <v>5308</v>
      </c>
      <c r="N2439" s="63" t="s">
        <v>5309</v>
      </c>
      <c r="O2439" s="64" t="s">
        <v>359</v>
      </c>
    </row>
    <row r="2440" spans="9:15" x14ac:dyDescent="0.45">
      <c r="I2440"/>
      <c r="J2440"/>
      <c r="M2440" s="62" t="s">
        <v>5310</v>
      </c>
      <c r="N2440" s="63" t="s">
        <v>5311</v>
      </c>
      <c r="O2440" s="64" t="s">
        <v>344</v>
      </c>
    </row>
    <row r="2441" spans="9:15" x14ac:dyDescent="0.45">
      <c r="I2441"/>
      <c r="J2441"/>
      <c r="M2441" s="62" t="s">
        <v>5312</v>
      </c>
      <c r="N2441" s="63" t="s">
        <v>5313</v>
      </c>
      <c r="O2441" s="64" t="s">
        <v>330</v>
      </c>
    </row>
    <row r="2442" spans="9:15" x14ac:dyDescent="0.45">
      <c r="I2442"/>
      <c r="J2442"/>
      <c r="M2442" s="62" t="s">
        <v>5314</v>
      </c>
      <c r="N2442" s="63" t="s">
        <v>5315</v>
      </c>
      <c r="O2442" s="64" t="s">
        <v>359</v>
      </c>
    </row>
    <row r="2443" spans="9:15" x14ac:dyDescent="0.45">
      <c r="I2443"/>
      <c r="J2443"/>
      <c r="M2443" s="62" t="s">
        <v>5316</v>
      </c>
      <c r="N2443" s="63" t="s">
        <v>5317</v>
      </c>
      <c r="O2443" s="64" t="s">
        <v>318</v>
      </c>
    </row>
    <row r="2444" spans="9:15" x14ac:dyDescent="0.45">
      <c r="I2444"/>
      <c r="J2444"/>
      <c r="M2444" s="62" t="s">
        <v>5318</v>
      </c>
      <c r="N2444" s="63" t="s">
        <v>5319</v>
      </c>
      <c r="O2444" s="64" t="s">
        <v>330</v>
      </c>
    </row>
    <row r="2445" spans="9:15" x14ac:dyDescent="0.45">
      <c r="I2445"/>
      <c r="J2445"/>
      <c r="M2445" s="69" t="s">
        <v>5320</v>
      </c>
      <c r="N2445" s="70" t="s">
        <v>5321</v>
      </c>
      <c r="O2445" s="63" t="s">
        <v>373</v>
      </c>
    </row>
    <row r="2446" spans="9:15" x14ac:dyDescent="0.45">
      <c r="I2446"/>
      <c r="J2446"/>
      <c r="M2446" s="71" t="s">
        <v>5322</v>
      </c>
      <c r="N2446" s="72" t="s">
        <v>5323</v>
      </c>
      <c r="O2446" s="64" t="s">
        <v>330</v>
      </c>
    </row>
    <row r="2447" spans="9:15" x14ac:dyDescent="0.45">
      <c r="I2447"/>
      <c r="J2447"/>
      <c r="M2447" s="62" t="s">
        <v>5324</v>
      </c>
      <c r="N2447" s="63" t="s">
        <v>5325</v>
      </c>
      <c r="O2447" s="64" t="s">
        <v>330</v>
      </c>
    </row>
    <row r="2448" spans="9:15" x14ac:dyDescent="0.45">
      <c r="I2448"/>
      <c r="J2448"/>
      <c r="M2448" s="62" t="s">
        <v>5326</v>
      </c>
      <c r="N2448" s="63" t="s">
        <v>5327</v>
      </c>
      <c r="O2448" s="77" t="s">
        <v>330</v>
      </c>
    </row>
    <row r="2449" spans="9:15" x14ac:dyDescent="0.45">
      <c r="I2449"/>
      <c r="J2449"/>
      <c r="M2449" s="62" t="s">
        <v>5328</v>
      </c>
      <c r="N2449" s="63" t="s">
        <v>5329</v>
      </c>
      <c r="O2449" s="64" t="s">
        <v>509</v>
      </c>
    </row>
    <row r="2450" spans="9:15" x14ac:dyDescent="0.45">
      <c r="I2450"/>
      <c r="J2450"/>
      <c r="M2450" s="71" t="s">
        <v>5330</v>
      </c>
      <c r="N2450" s="72" t="s">
        <v>5331</v>
      </c>
      <c r="O2450" s="64" t="s">
        <v>330</v>
      </c>
    </row>
    <row r="2451" spans="9:15" x14ac:dyDescent="0.45">
      <c r="I2451"/>
      <c r="J2451"/>
      <c r="M2451" s="73" t="s">
        <v>5332</v>
      </c>
      <c r="N2451" s="74" t="s">
        <v>5333</v>
      </c>
      <c r="O2451" s="64" t="s">
        <v>330</v>
      </c>
    </row>
    <row r="2452" spans="9:15" x14ac:dyDescent="0.45">
      <c r="I2452"/>
      <c r="J2452"/>
      <c r="M2452" s="73" t="s">
        <v>5334</v>
      </c>
      <c r="N2452" s="74" t="s">
        <v>5335</v>
      </c>
      <c r="O2452" s="64" t="s">
        <v>330</v>
      </c>
    </row>
    <row r="2453" spans="9:15" x14ac:dyDescent="0.45">
      <c r="I2453"/>
      <c r="J2453"/>
      <c r="M2453" s="62" t="s">
        <v>5336</v>
      </c>
      <c r="N2453" s="63" t="s">
        <v>5337</v>
      </c>
      <c r="O2453" s="64" t="s">
        <v>549</v>
      </c>
    </row>
    <row r="2454" spans="9:15" x14ac:dyDescent="0.45">
      <c r="I2454"/>
      <c r="J2454"/>
      <c r="M2454" s="62" t="s">
        <v>5338</v>
      </c>
      <c r="N2454" s="63" t="s">
        <v>5339</v>
      </c>
      <c r="O2454" s="64" t="s">
        <v>359</v>
      </c>
    </row>
    <row r="2455" spans="9:15" x14ac:dyDescent="0.45">
      <c r="I2455"/>
      <c r="J2455"/>
      <c r="M2455" s="62" t="s">
        <v>5340</v>
      </c>
      <c r="N2455" s="63" t="s">
        <v>5341</v>
      </c>
      <c r="O2455" s="64" t="s">
        <v>327</v>
      </c>
    </row>
    <row r="2456" spans="9:15" x14ac:dyDescent="0.45">
      <c r="I2456"/>
      <c r="J2456"/>
      <c r="M2456" s="62" t="s">
        <v>5342</v>
      </c>
      <c r="N2456" s="63" t="s">
        <v>5343</v>
      </c>
      <c r="O2456" s="64" t="s">
        <v>437</v>
      </c>
    </row>
    <row r="2457" spans="9:15" x14ac:dyDescent="0.45">
      <c r="I2457"/>
      <c r="J2457"/>
      <c r="M2457" s="62" t="s">
        <v>5344</v>
      </c>
      <c r="N2457" s="63" t="s">
        <v>5345</v>
      </c>
      <c r="O2457" s="64" t="s">
        <v>480</v>
      </c>
    </row>
    <row r="2458" spans="9:15" x14ac:dyDescent="0.45">
      <c r="I2458"/>
      <c r="J2458"/>
      <c r="M2458" s="62" t="s">
        <v>5346</v>
      </c>
      <c r="N2458" s="63" t="s">
        <v>5347</v>
      </c>
      <c r="O2458" s="64" t="s">
        <v>324</v>
      </c>
    </row>
    <row r="2459" spans="9:15" x14ac:dyDescent="0.45">
      <c r="I2459"/>
      <c r="J2459"/>
      <c r="M2459" s="62" t="s">
        <v>5348</v>
      </c>
      <c r="N2459" s="63" t="s">
        <v>5349</v>
      </c>
      <c r="O2459" s="64" t="s">
        <v>625</v>
      </c>
    </row>
    <row r="2460" spans="9:15" x14ac:dyDescent="0.45">
      <c r="I2460"/>
      <c r="J2460"/>
      <c r="M2460" s="62" t="s">
        <v>5350</v>
      </c>
      <c r="N2460" s="63" t="s">
        <v>5351</v>
      </c>
      <c r="O2460" s="64" t="s">
        <v>403</v>
      </c>
    </row>
    <row r="2461" spans="9:15" x14ac:dyDescent="0.45">
      <c r="I2461"/>
      <c r="J2461"/>
      <c r="M2461" s="79" t="s">
        <v>5352</v>
      </c>
      <c r="N2461" s="76" t="s">
        <v>5353</v>
      </c>
      <c r="O2461" s="76" t="s">
        <v>632</v>
      </c>
    </row>
    <row r="2462" spans="9:15" x14ac:dyDescent="0.45">
      <c r="I2462"/>
      <c r="J2462"/>
      <c r="M2462" s="62" t="s">
        <v>5354</v>
      </c>
      <c r="N2462" s="63" t="s">
        <v>5355</v>
      </c>
      <c r="O2462" s="64" t="s">
        <v>324</v>
      </c>
    </row>
    <row r="2463" spans="9:15" x14ac:dyDescent="0.45">
      <c r="I2463"/>
      <c r="J2463"/>
      <c r="M2463" s="62" t="s">
        <v>5356</v>
      </c>
      <c r="N2463" s="63" t="s">
        <v>5357</v>
      </c>
      <c r="O2463" s="64" t="s">
        <v>330</v>
      </c>
    </row>
    <row r="2464" spans="9:15" x14ac:dyDescent="0.45">
      <c r="I2464"/>
      <c r="J2464"/>
      <c r="M2464" s="62" t="s">
        <v>5358</v>
      </c>
      <c r="N2464" s="63" t="s">
        <v>5359</v>
      </c>
      <c r="O2464" s="64" t="s">
        <v>330</v>
      </c>
    </row>
    <row r="2465" spans="9:15" x14ac:dyDescent="0.45">
      <c r="I2465"/>
      <c r="J2465"/>
      <c r="M2465" s="62" t="s">
        <v>5360</v>
      </c>
      <c r="N2465" s="63" t="s">
        <v>5361</v>
      </c>
      <c r="O2465" s="64" t="s">
        <v>341</v>
      </c>
    </row>
    <row r="2466" spans="9:15" x14ac:dyDescent="0.45">
      <c r="I2466"/>
      <c r="J2466"/>
      <c r="M2466" s="62" t="s">
        <v>5362</v>
      </c>
      <c r="N2466" s="63" t="s">
        <v>5363</v>
      </c>
      <c r="O2466" s="64" t="s">
        <v>330</v>
      </c>
    </row>
    <row r="2467" spans="9:15" x14ac:dyDescent="0.45">
      <c r="I2467"/>
      <c r="J2467"/>
      <c r="M2467" s="62" t="s">
        <v>5364</v>
      </c>
      <c r="N2467" s="63" t="s">
        <v>5365</v>
      </c>
      <c r="O2467" s="64" t="s">
        <v>330</v>
      </c>
    </row>
    <row r="2468" spans="9:15" x14ac:dyDescent="0.45">
      <c r="I2468"/>
      <c r="J2468"/>
      <c r="M2468" s="62" t="s">
        <v>5366</v>
      </c>
      <c r="N2468" s="63" t="s">
        <v>5367</v>
      </c>
      <c r="O2468" s="64" t="s">
        <v>330</v>
      </c>
    </row>
    <row r="2469" spans="9:15" x14ac:dyDescent="0.45">
      <c r="I2469"/>
      <c r="J2469"/>
      <c r="M2469" s="62" t="s">
        <v>5368</v>
      </c>
      <c r="N2469" s="63" t="s">
        <v>5369</v>
      </c>
      <c r="O2469" s="64" t="s">
        <v>417</v>
      </c>
    </row>
    <row r="2470" spans="9:15" x14ac:dyDescent="0.45">
      <c r="I2470"/>
      <c r="J2470"/>
      <c r="M2470" s="62" t="s">
        <v>5370</v>
      </c>
      <c r="N2470" s="63" t="s">
        <v>5371</v>
      </c>
      <c r="O2470" s="64" t="s">
        <v>330</v>
      </c>
    </row>
    <row r="2471" spans="9:15" x14ac:dyDescent="0.45">
      <c r="I2471"/>
      <c r="J2471"/>
      <c r="M2471" s="62" t="s">
        <v>5372</v>
      </c>
      <c r="N2471" s="63" t="s">
        <v>5373</v>
      </c>
      <c r="O2471" s="64" t="s">
        <v>330</v>
      </c>
    </row>
    <row r="2472" spans="9:15" x14ac:dyDescent="0.45">
      <c r="I2472"/>
      <c r="J2472"/>
      <c r="M2472" s="62" t="s">
        <v>5374</v>
      </c>
      <c r="N2472" s="63" t="s">
        <v>5375</v>
      </c>
      <c r="O2472" s="64" t="s">
        <v>330</v>
      </c>
    </row>
    <row r="2473" spans="9:15" x14ac:dyDescent="0.45">
      <c r="I2473"/>
      <c r="J2473"/>
      <c r="M2473" s="62" t="s">
        <v>5376</v>
      </c>
      <c r="N2473" s="63" t="s">
        <v>5377</v>
      </c>
      <c r="O2473" s="64" t="s">
        <v>625</v>
      </c>
    </row>
    <row r="2474" spans="9:15" x14ac:dyDescent="0.45">
      <c r="I2474"/>
      <c r="J2474"/>
      <c r="M2474" s="62" t="s">
        <v>5378</v>
      </c>
      <c r="N2474" s="63" t="s">
        <v>5379</v>
      </c>
      <c r="O2474" s="64" t="s">
        <v>327</v>
      </c>
    </row>
    <row r="2475" spans="9:15" x14ac:dyDescent="0.45">
      <c r="I2475"/>
      <c r="J2475"/>
      <c r="M2475" s="62" t="s">
        <v>5380</v>
      </c>
      <c r="N2475" s="63" t="s">
        <v>5381</v>
      </c>
      <c r="O2475" s="64" t="s">
        <v>330</v>
      </c>
    </row>
    <row r="2476" spans="9:15" x14ac:dyDescent="0.45">
      <c r="I2476"/>
      <c r="J2476"/>
      <c r="M2476" s="62" t="s">
        <v>5382</v>
      </c>
      <c r="N2476" s="63" t="s">
        <v>5383</v>
      </c>
      <c r="O2476" s="64" t="s">
        <v>330</v>
      </c>
    </row>
    <row r="2477" spans="9:15" x14ac:dyDescent="0.45">
      <c r="I2477"/>
      <c r="J2477"/>
      <c r="M2477" s="62" t="s">
        <v>5384</v>
      </c>
      <c r="N2477" s="63" t="s">
        <v>5385</v>
      </c>
      <c r="O2477" s="64" t="s">
        <v>321</v>
      </c>
    </row>
    <row r="2478" spans="9:15" x14ac:dyDescent="0.45">
      <c r="I2478"/>
      <c r="J2478"/>
      <c r="M2478" s="62" t="s">
        <v>5386</v>
      </c>
      <c r="N2478" s="63" t="s">
        <v>5387</v>
      </c>
      <c r="O2478" s="64" t="s">
        <v>330</v>
      </c>
    </row>
    <row r="2479" spans="9:15" x14ac:dyDescent="0.45">
      <c r="I2479"/>
      <c r="J2479"/>
      <c r="M2479" s="62" t="s">
        <v>5388</v>
      </c>
      <c r="N2479" s="63" t="s">
        <v>5389</v>
      </c>
      <c r="O2479" s="64" t="s">
        <v>330</v>
      </c>
    </row>
    <row r="2480" spans="9:15" x14ac:dyDescent="0.45">
      <c r="I2480"/>
      <c r="J2480"/>
      <c r="M2480" s="62" t="s">
        <v>5390</v>
      </c>
      <c r="N2480" s="63" t="s">
        <v>5391</v>
      </c>
      <c r="O2480" s="64" t="s">
        <v>330</v>
      </c>
    </row>
    <row r="2481" spans="9:15" x14ac:dyDescent="0.45">
      <c r="I2481"/>
      <c r="J2481"/>
      <c r="M2481" s="62" t="s">
        <v>5392</v>
      </c>
      <c r="N2481" s="63" t="s">
        <v>5391</v>
      </c>
      <c r="O2481" s="64" t="s">
        <v>330</v>
      </c>
    </row>
    <row r="2482" spans="9:15" x14ac:dyDescent="0.45">
      <c r="I2482"/>
      <c r="J2482"/>
      <c r="M2482" s="62" t="s">
        <v>5393</v>
      </c>
      <c r="N2482" s="63" t="s">
        <v>5394</v>
      </c>
      <c r="O2482" s="64" t="s">
        <v>330</v>
      </c>
    </row>
    <row r="2483" spans="9:15" x14ac:dyDescent="0.45">
      <c r="I2483"/>
      <c r="J2483"/>
      <c r="M2483" s="62" t="s">
        <v>5395</v>
      </c>
      <c r="N2483" s="63" t="s">
        <v>5396</v>
      </c>
      <c r="O2483" s="64" t="s">
        <v>330</v>
      </c>
    </row>
    <row r="2484" spans="9:15" x14ac:dyDescent="0.45">
      <c r="I2484"/>
      <c r="J2484"/>
      <c r="M2484" s="62" t="s">
        <v>5397</v>
      </c>
      <c r="N2484" s="63" t="s">
        <v>5398</v>
      </c>
      <c r="O2484" s="64" t="s">
        <v>344</v>
      </c>
    </row>
    <row r="2485" spans="9:15" x14ac:dyDescent="0.45">
      <c r="I2485"/>
      <c r="J2485"/>
      <c r="M2485" s="69" t="s">
        <v>5399</v>
      </c>
      <c r="N2485" s="70" t="s">
        <v>5398</v>
      </c>
      <c r="O2485" s="63" t="s">
        <v>373</v>
      </c>
    </row>
    <row r="2486" spans="9:15" x14ac:dyDescent="0.45">
      <c r="I2486"/>
      <c r="J2486"/>
      <c r="M2486" s="62" t="s">
        <v>5400</v>
      </c>
      <c r="N2486" s="63" t="s">
        <v>5401</v>
      </c>
      <c r="O2486" s="64" t="s">
        <v>549</v>
      </c>
    </row>
    <row r="2487" spans="9:15" x14ac:dyDescent="0.45">
      <c r="I2487"/>
      <c r="J2487"/>
      <c r="M2487" s="62" t="s">
        <v>5402</v>
      </c>
      <c r="N2487" s="63" t="s">
        <v>5403</v>
      </c>
      <c r="O2487" s="64" t="s">
        <v>625</v>
      </c>
    </row>
    <row r="2488" spans="9:15" x14ac:dyDescent="0.45">
      <c r="I2488"/>
      <c r="J2488"/>
      <c r="M2488" s="62" t="s">
        <v>5404</v>
      </c>
      <c r="N2488" s="63" t="s">
        <v>5405</v>
      </c>
      <c r="O2488" s="64" t="s">
        <v>453</v>
      </c>
    </row>
    <row r="2489" spans="9:15" x14ac:dyDescent="0.45">
      <c r="I2489"/>
      <c r="J2489"/>
      <c r="M2489" s="62" t="s">
        <v>5406</v>
      </c>
      <c r="N2489" s="63" t="s">
        <v>5407</v>
      </c>
      <c r="O2489" s="64" t="s">
        <v>549</v>
      </c>
    </row>
    <row r="2490" spans="9:15" x14ac:dyDescent="0.45">
      <c r="I2490"/>
      <c r="J2490"/>
      <c r="M2490" s="69" t="s">
        <v>5408</v>
      </c>
      <c r="N2490" s="70" t="s">
        <v>5409</v>
      </c>
      <c r="O2490" s="63" t="s">
        <v>373</v>
      </c>
    </row>
    <row r="2491" spans="9:15" x14ac:dyDescent="0.45">
      <c r="I2491"/>
      <c r="J2491"/>
      <c r="M2491" s="62" t="s">
        <v>5410</v>
      </c>
      <c r="N2491" s="63" t="s">
        <v>5411</v>
      </c>
      <c r="O2491" s="64" t="s">
        <v>321</v>
      </c>
    </row>
    <row r="2492" spans="9:15" x14ac:dyDescent="0.45">
      <c r="I2492"/>
      <c r="J2492"/>
      <c r="M2492" s="69" t="s">
        <v>5412</v>
      </c>
      <c r="N2492" s="70" t="s">
        <v>5413</v>
      </c>
      <c r="O2492" s="63" t="s">
        <v>373</v>
      </c>
    </row>
    <row r="2493" spans="9:15" x14ac:dyDescent="0.45">
      <c r="I2493"/>
      <c r="J2493"/>
      <c r="M2493" s="62" t="s">
        <v>5414</v>
      </c>
      <c r="N2493" s="63" t="s">
        <v>5415</v>
      </c>
      <c r="O2493" s="64" t="s">
        <v>330</v>
      </c>
    </row>
    <row r="2494" spans="9:15" x14ac:dyDescent="0.45">
      <c r="I2494"/>
      <c r="J2494"/>
      <c r="M2494" s="62" t="s">
        <v>5416</v>
      </c>
      <c r="N2494" s="63" t="s">
        <v>5417</v>
      </c>
      <c r="O2494" s="64" t="s">
        <v>625</v>
      </c>
    </row>
    <row r="2495" spans="9:15" x14ac:dyDescent="0.45">
      <c r="I2495"/>
      <c r="J2495"/>
      <c r="M2495" s="62" t="s">
        <v>5418</v>
      </c>
      <c r="N2495" s="63" t="s">
        <v>5419</v>
      </c>
      <c r="O2495" s="64" t="s">
        <v>327</v>
      </c>
    </row>
    <row r="2496" spans="9:15" x14ac:dyDescent="0.45">
      <c r="I2496"/>
      <c r="J2496"/>
      <c r="M2496" s="62" t="s">
        <v>5420</v>
      </c>
      <c r="N2496" s="63" t="s">
        <v>5421</v>
      </c>
      <c r="O2496" s="64" t="s">
        <v>330</v>
      </c>
    </row>
    <row r="2497" spans="9:15" x14ac:dyDescent="0.45">
      <c r="I2497"/>
      <c r="J2497"/>
      <c r="M2497" s="62" t="s">
        <v>5422</v>
      </c>
      <c r="N2497" s="63" t="s">
        <v>5423</v>
      </c>
      <c r="O2497" s="64" t="s">
        <v>330</v>
      </c>
    </row>
    <row r="2498" spans="9:15" x14ac:dyDescent="0.45">
      <c r="I2498"/>
      <c r="J2498"/>
      <c r="M2498" s="62" t="s">
        <v>5424</v>
      </c>
      <c r="N2498" s="63" t="s">
        <v>5425</v>
      </c>
      <c r="O2498" s="64" t="s">
        <v>330</v>
      </c>
    </row>
    <row r="2499" spans="9:15" x14ac:dyDescent="0.45">
      <c r="I2499"/>
      <c r="J2499"/>
      <c r="M2499" s="71" t="s">
        <v>5426</v>
      </c>
      <c r="N2499" s="72" t="s">
        <v>5427</v>
      </c>
      <c r="O2499" s="72" t="s">
        <v>330</v>
      </c>
    </row>
    <row r="2500" spans="9:15" x14ac:dyDescent="0.45">
      <c r="I2500"/>
      <c r="J2500"/>
      <c r="M2500" s="62" t="s">
        <v>5428</v>
      </c>
      <c r="N2500" s="63" t="s">
        <v>5429</v>
      </c>
      <c r="O2500" s="64" t="s">
        <v>330</v>
      </c>
    </row>
    <row r="2501" spans="9:15" x14ac:dyDescent="0.45">
      <c r="I2501"/>
      <c r="J2501"/>
      <c r="M2501" s="83" t="s">
        <v>5430</v>
      </c>
      <c r="N2501" s="84" t="s">
        <v>5431</v>
      </c>
      <c r="O2501" s="64" t="s">
        <v>330</v>
      </c>
    </row>
    <row r="2502" spans="9:15" x14ac:dyDescent="0.45">
      <c r="I2502"/>
      <c r="J2502"/>
      <c r="M2502" s="62" t="s">
        <v>5432</v>
      </c>
      <c r="N2502" s="63" t="s">
        <v>5433</v>
      </c>
      <c r="O2502" s="64" t="s">
        <v>330</v>
      </c>
    </row>
    <row r="2503" spans="9:15" x14ac:dyDescent="0.45">
      <c r="I2503"/>
      <c r="J2503"/>
      <c r="M2503" s="62" t="s">
        <v>5434</v>
      </c>
      <c r="N2503" s="63" t="s">
        <v>5433</v>
      </c>
      <c r="O2503" s="64" t="s">
        <v>330</v>
      </c>
    </row>
    <row r="2504" spans="9:15" x14ac:dyDescent="0.45">
      <c r="I2504"/>
      <c r="J2504"/>
      <c r="M2504" s="62" t="s">
        <v>5435</v>
      </c>
      <c r="N2504" s="63" t="s">
        <v>5436</v>
      </c>
      <c r="O2504" s="64" t="s">
        <v>330</v>
      </c>
    </row>
    <row r="2505" spans="9:15" x14ac:dyDescent="0.45">
      <c r="I2505"/>
      <c r="J2505"/>
      <c r="M2505" s="62" t="s">
        <v>5437</v>
      </c>
      <c r="N2505" s="63" t="s">
        <v>5438</v>
      </c>
      <c r="O2505" s="64" t="s">
        <v>330</v>
      </c>
    </row>
    <row r="2506" spans="9:15" x14ac:dyDescent="0.45">
      <c r="I2506"/>
      <c r="J2506"/>
      <c r="M2506" s="62" t="s">
        <v>5439</v>
      </c>
      <c r="N2506" s="63" t="s">
        <v>5440</v>
      </c>
      <c r="O2506" s="64" t="s">
        <v>330</v>
      </c>
    </row>
    <row r="2507" spans="9:15" x14ac:dyDescent="0.45">
      <c r="I2507"/>
      <c r="J2507"/>
      <c r="M2507" s="62" t="s">
        <v>5441</v>
      </c>
      <c r="N2507" s="63" t="s">
        <v>5442</v>
      </c>
      <c r="O2507" s="64" t="s">
        <v>324</v>
      </c>
    </row>
    <row r="2508" spans="9:15" x14ac:dyDescent="0.45">
      <c r="I2508"/>
      <c r="J2508"/>
      <c r="M2508" s="62" t="s">
        <v>5443</v>
      </c>
      <c r="N2508" s="63" t="s">
        <v>5444</v>
      </c>
      <c r="O2508" s="64" t="s">
        <v>330</v>
      </c>
    </row>
    <row r="2509" spans="9:15" x14ac:dyDescent="0.45">
      <c r="I2509"/>
      <c r="J2509"/>
      <c r="M2509" s="62" t="s">
        <v>5445</v>
      </c>
      <c r="N2509" s="63" t="s">
        <v>5446</v>
      </c>
      <c r="O2509" s="64" t="s">
        <v>632</v>
      </c>
    </row>
    <row r="2510" spans="9:15" x14ac:dyDescent="0.45">
      <c r="I2510"/>
      <c r="J2510"/>
      <c r="M2510" s="62" t="s">
        <v>5447</v>
      </c>
      <c r="N2510" s="63" t="s">
        <v>5448</v>
      </c>
      <c r="O2510" s="64" t="s">
        <v>532</v>
      </c>
    </row>
    <row r="2511" spans="9:15" x14ac:dyDescent="0.45">
      <c r="I2511"/>
      <c r="J2511"/>
      <c r="M2511" s="62" t="s">
        <v>5449</v>
      </c>
      <c r="N2511" s="63" t="s">
        <v>5450</v>
      </c>
      <c r="O2511" s="64" t="s">
        <v>330</v>
      </c>
    </row>
    <row r="2512" spans="9:15" x14ac:dyDescent="0.45">
      <c r="I2512"/>
      <c r="J2512"/>
      <c r="M2512" s="62" t="s">
        <v>5451</v>
      </c>
      <c r="N2512" s="63" t="s">
        <v>5452</v>
      </c>
      <c r="O2512" s="64" t="s">
        <v>330</v>
      </c>
    </row>
    <row r="2513" spans="9:15" x14ac:dyDescent="0.45">
      <c r="I2513"/>
      <c r="J2513"/>
      <c r="M2513" s="65" t="s">
        <v>5453</v>
      </c>
      <c r="N2513" s="66" t="s">
        <v>5454</v>
      </c>
      <c r="O2513" s="64" t="s">
        <v>330</v>
      </c>
    </row>
    <row r="2514" spans="9:15" x14ac:dyDescent="0.45">
      <c r="I2514"/>
      <c r="J2514"/>
      <c r="M2514" s="62" t="s">
        <v>5455</v>
      </c>
      <c r="N2514" s="63" t="s">
        <v>5456</v>
      </c>
      <c r="O2514" s="64" t="s">
        <v>330</v>
      </c>
    </row>
    <row r="2515" spans="9:15" x14ac:dyDescent="0.45">
      <c r="I2515"/>
      <c r="J2515"/>
      <c r="M2515" s="71" t="s">
        <v>5457</v>
      </c>
      <c r="N2515" s="72" t="s">
        <v>5458</v>
      </c>
      <c r="O2515" s="64" t="s">
        <v>330</v>
      </c>
    </row>
    <row r="2516" spans="9:15" x14ac:dyDescent="0.45">
      <c r="I2516"/>
      <c r="J2516"/>
      <c r="M2516" s="62" t="s">
        <v>5459</v>
      </c>
      <c r="N2516" s="63" t="s">
        <v>5460</v>
      </c>
      <c r="O2516" s="64" t="s">
        <v>330</v>
      </c>
    </row>
    <row r="2517" spans="9:15" x14ac:dyDescent="0.45">
      <c r="I2517"/>
      <c r="J2517"/>
      <c r="M2517" s="62" t="s">
        <v>5461</v>
      </c>
      <c r="N2517" s="63" t="s">
        <v>5462</v>
      </c>
      <c r="O2517" s="64" t="s">
        <v>509</v>
      </c>
    </row>
    <row r="2518" spans="9:15" x14ac:dyDescent="0.45">
      <c r="I2518"/>
      <c r="J2518"/>
      <c r="M2518" s="62" t="s">
        <v>5463</v>
      </c>
      <c r="N2518" s="63" t="s">
        <v>5464</v>
      </c>
      <c r="O2518" s="64" t="s">
        <v>509</v>
      </c>
    </row>
    <row r="2519" spans="9:15" x14ac:dyDescent="0.45">
      <c r="I2519"/>
      <c r="J2519"/>
      <c r="M2519" s="62" t="s">
        <v>5465</v>
      </c>
      <c r="N2519" s="63" t="s">
        <v>5466</v>
      </c>
      <c r="O2519" s="64" t="s">
        <v>330</v>
      </c>
    </row>
    <row r="2520" spans="9:15" x14ac:dyDescent="0.45">
      <c r="I2520"/>
      <c r="J2520"/>
      <c r="M2520" s="62" t="s">
        <v>5467</v>
      </c>
      <c r="N2520" s="63" t="s">
        <v>5468</v>
      </c>
      <c r="O2520" s="64" t="s">
        <v>330</v>
      </c>
    </row>
    <row r="2521" spans="9:15" x14ac:dyDescent="0.45">
      <c r="I2521"/>
      <c r="J2521"/>
      <c r="M2521" s="62" t="s">
        <v>5469</v>
      </c>
      <c r="N2521" s="63" t="s">
        <v>5470</v>
      </c>
      <c r="O2521" s="64" t="s">
        <v>327</v>
      </c>
    </row>
    <row r="2522" spans="9:15" x14ac:dyDescent="0.45">
      <c r="I2522"/>
      <c r="J2522"/>
      <c r="M2522" s="62" t="s">
        <v>5471</v>
      </c>
      <c r="N2522" s="63" t="s">
        <v>5472</v>
      </c>
      <c r="O2522" s="64" t="s">
        <v>318</v>
      </c>
    </row>
    <row r="2523" spans="9:15" x14ac:dyDescent="0.45">
      <c r="I2523"/>
      <c r="J2523"/>
      <c r="M2523" s="62" t="s">
        <v>5473</v>
      </c>
      <c r="N2523" s="63" t="s">
        <v>5474</v>
      </c>
      <c r="O2523" s="64" t="s">
        <v>330</v>
      </c>
    </row>
    <row r="2524" spans="9:15" x14ac:dyDescent="0.45">
      <c r="I2524"/>
      <c r="J2524"/>
      <c r="M2524" s="62" t="s">
        <v>5475</v>
      </c>
      <c r="N2524" s="63" t="s">
        <v>5476</v>
      </c>
      <c r="O2524" s="64" t="s">
        <v>330</v>
      </c>
    </row>
    <row r="2525" spans="9:15" x14ac:dyDescent="0.45">
      <c r="I2525"/>
      <c r="J2525"/>
      <c r="M2525" s="62" t="s">
        <v>5477</v>
      </c>
      <c r="N2525" s="63" t="s">
        <v>5478</v>
      </c>
      <c r="O2525" s="64" t="s">
        <v>359</v>
      </c>
    </row>
    <row r="2526" spans="9:15" x14ac:dyDescent="0.45">
      <c r="I2526"/>
      <c r="J2526"/>
      <c r="M2526" s="62" t="s">
        <v>5479</v>
      </c>
      <c r="N2526" s="63" t="s">
        <v>5480</v>
      </c>
      <c r="O2526" s="64" t="s">
        <v>330</v>
      </c>
    </row>
    <row r="2527" spans="9:15" x14ac:dyDescent="0.45">
      <c r="I2527"/>
      <c r="J2527"/>
      <c r="M2527" s="62" t="s">
        <v>5481</v>
      </c>
      <c r="N2527" s="63" t="s">
        <v>5482</v>
      </c>
      <c r="O2527" s="64" t="s">
        <v>330</v>
      </c>
    </row>
    <row r="2528" spans="9:15" x14ac:dyDescent="0.45">
      <c r="I2528"/>
      <c r="J2528"/>
      <c r="M2528" s="62" t="s">
        <v>5483</v>
      </c>
      <c r="N2528" s="63" t="s">
        <v>5484</v>
      </c>
      <c r="O2528" s="64" t="s">
        <v>330</v>
      </c>
    </row>
    <row r="2529" spans="9:15" x14ac:dyDescent="0.45">
      <c r="I2529"/>
      <c r="J2529"/>
      <c r="M2529" s="62" t="s">
        <v>5485</v>
      </c>
      <c r="N2529" s="63" t="s">
        <v>5486</v>
      </c>
      <c r="O2529" s="64" t="s">
        <v>330</v>
      </c>
    </row>
    <row r="2530" spans="9:15" x14ac:dyDescent="0.45">
      <c r="I2530"/>
      <c r="J2530"/>
      <c r="M2530" s="62" t="s">
        <v>5487</v>
      </c>
      <c r="N2530" s="63" t="s">
        <v>5488</v>
      </c>
      <c r="O2530" s="64" t="s">
        <v>330</v>
      </c>
    </row>
    <row r="2531" spans="9:15" x14ac:dyDescent="0.45">
      <c r="I2531"/>
      <c r="J2531"/>
      <c r="M2531" s="62" t="s">
        <v>5489</v>
      </c>
      <c r="N2531" s="63" t="s">
        <v>5490</v>
      </c>
      <c r="O2531" s="64" t="s">
        <v>2119</v>
      </c>
    </row>
    <row r="2532" spans="9:15" x14ac:dyDescent="0.45">
      <c r="I2532"/>
      <c r="J2532"/>
      <c r="M2532" s="62" t="s">
        <v>5491</v>
      </c>
      <c r="N2532" s="63" t="s">
        <v>5492</v>
      </c>
      <c r="O2532" s="64" t="s">
        <v>318</v>
      </c>
    </row>
    <row r="2533" spans="9:15" x14ac:dyDescent="0.45">
      <c r="I2533"/>
      <c r="J2533"/>
      <c r="M2533" s="62" t="s">
        <v>5493</v>
      </c>
      <c r="N2533" s="63" t="s">
        <v>5494</v>
      </c>
      <c r="O2533" s="64" t="s">
        <v>417</v>
      </c>
    </row>
    <row r="2534" spans="9:15" x14ac:dyDescent="0.45">
      <c r="I2534"/>
      <c r="J2534"/>
      <c r="M2534" s="62" t="s">
        <v>5495</v>
      </c>
      <c r="N2534" s="63" t="s">
        <v>5496</v>
      </c>
      <c r="O2534" s="64" t="s">
        <v>330</v>
      </c>
    </row>
    <row r="2535" spans="9:15" x14ac:dyDescent="0.45">
      <c r="I2535"/>
      <c r="J2535"/>
      <c r="M2535" s="62" t="s">
        <v>5497</v>
      </c>
      <c r="N2535" s="63" t="s">
        <v>5498</v>
      </c>
      <c r="O2535" s="64" t="s">
        <v>2736</v>
      </c>
    </row>
    <row r="2536" spans="9:15" x14ac:dyDescent="0.45">
      <c r="I2536"/>
      <c r="J2536"/>
      <c r="M2536" s="69" t="s">
        <v>5499</v>
      </c>
      <c r="N2536" s="70" t="s">
        <v>5500</v>
      </c>
      <c r="O2536" s="63" t="s">
        <v>373</v>
      </c>
    </row>
    <row r="2537" spans="9:15" x14ac:dyDescent="0.45">
      <c r="I2537"/>
      <c r="J2537"/>
      <c r="M2537" s="62" t="s">
        <v>5501</v>
      </c>
      <c r="N2537" s="63" t="s">
        <v>5502</v>
      </c>
      <c r="O2537" s="64" t="s">
        <v>330</v>
      </c>
    </row>
    <row r="2538" spans="9:15" x14ac:dyDescent="0.45">
      <c r="I2538"/>
      <c r="J2538"/>
      <c r="M2538" s="69" t="s">
        <v>5503</v>
      </c>
      <c r="N2538" s="70" t="s">
        <v>5504</v>
      </c>
      <c r="O2538" s="63" t="s">
        <v>373</v>
      </c>
    </row>
    <row r="2539" spans="9:15" x14ac:dyDescent="0.45">
      <c r="I2539"/>
      <c r="J2539"/>
      <c r="M2539" s="62" t="s">
        <v>5505</v>
      </c>
      <c r="N2539" s="63" t="s">
        <v>5506</v>
      </c>
      <c r="O2539" s="64" t="s">
        <v>330</v>
      </c>
    </row>
    <row r="2540" spans="9:15" x14ac:dyDescent="0.45">
      <c r="I2540"/>
      <c r="J2540"/>
      <c r="M2540" s="62" t="s">
        <v>5507</v>
      </c>
      <c r="N2540" s="63" t="s">
        <v>5508</v>
      </c>
      <c r="O2540" s="64" t="s">
        <v>330</v>
      </c>
    </row>
    <row r="2541" spans="9:15" x14ac:dyDescent="0.45">
      <c r="I2541"/>
      <c r="J2541"/>
      <c r="M2541" s="62" t="s">
        <v>5509</v>
      </c>
      <c r="N2541" s="63" t="s">
        <v>5510</v>
      </c>
      <c r="O2541" s="64" t="s">
        <v>321</v>
      </c>
    </row>
    <row r="2542" spans="9:15" x14ac:dyDescent="0.45">
      <c r="I2542"/>
      <c r="J2542"/>
      <c r="M2542" s="62" t="s">
        <v>5511</v>
      </c>
      <c r="N2542" s="63" t="s">
        <v>5512</v>
      </c>
      <c r="O2542" s="64" t="s">
        <v>359</v>
      </c>
    </row>
    <row r="2543" spans="9:15" x14ac:dyDescent="0.45">
      <c r="I2543"/>
      <c r="J2543"/>
      <c r="M2543" s="62" t="s">
        <v>5513</v>
      </c>
      <c r="N2543" s="63" t="s">
        <v>5514</v>
      </c>
      <c r="O2543" s="64" t="s">
        <v>330</v>
      </c>
    </row>
    <row r="2544" spans="9:15" x14ac:dyDescent="0.45">
      <c r="I2544"/>
      <c r="J2544"/>
      <c r="M2544" s="62" t="s">
        <v>5515</v>
      </c>
      <c r="N2544" s="63" t="s">
        <v>5516</v>
      </c>
      <c r="O2544" s="64" t="s">
        <v>330</v>
      </c>
    </row>
    <row r="2545" spans="9:15" x14ac:dyDescent="0.45">
      <c r="I2545"/>
      <c r="J2545"/>
      <c r="M2545" s="62" t="s">
        <v>5517</v>
      </c>
      <c r="N2545" s="63" t="s">
        <v>5518</v>
      </c>
      <c r="O2545" s="64" t="s">
        <v>364</v>
      </c>
    </row>
    <row r="2546" spans="9:15" x14ac:dyDescent="0.45">
      <c r="I2546"/>
      <c r="J2546"/>
      <c r="M2546" s="62" t="s">
        <v>5519</v>
      </c>
      <c r="N2546" s="63" t="s">
        <v>5520</v>
      </c>
      <c r="O2546" s="64" t="s">
        <v>330</v>
      </c>
    </row>
    <row r="2547" spans="9:15" x14ac:dyDescent="0.45">
      <c r="I2547"/>
      <c r="J2547"/>
      <c r="M2547" s="62" t="s">
        <v>5521</v>
      </c>
      <c r="N2547" s="63" t="s">
        <v>5522</v>
      </c>
      <c r="O2547" s="64" t="s">
        <v>330</v>
      </c>
    </row>
    <row r="2548" spans="9:15" x14ac:dyDescent="0.45">
      <c r="I2548"/>
      <c r="J2548"/>
      <c r="M2548" s="62" t="s">
        <v>5523</v>
      </c>
      <c r="N2548" s="63" t="s">
        <v>5524</v>
      </c>
      <c r="O2548" s="64" t="s">
        <v>330</v>
      </c>
    </row>
    <row r="2549" spans="9:15" x14ac:dyDescent="0.45">
      <c r="I2549"/>
      <c r="J2549"/>
      <c r="M2549" s="62" t="s">
        <v>5525</v>
      </c>
      <c r="N2549" s="63" t="s">
        <v>5526</v>
      </c>
      <c r="O2549" s="64" t="s">
        <v>327</v>
      </c>
    </row>
    <row r="2550" spans="9:15" x14ac:dyDescent="0.45">
      <c r="I2550"/>
      <c r="J2550"/>
      <c r="M2550" s="62" t="s">
        <v>5527</v>
      </c>
      <c r="N2550" s="63" t="s">
        <v>5528</v>
      </c>
      <c r="O2550" s="64" t="s">
        <v>318</v>
      </c>
    </row>
    <row r="2551" spans="9:15" x14ac:dyDescent="0.45">
      <c r="I2551"/>
      <c r="J2551"/>
      <c r="M2551" s="62" t="s">
        <v>5529</v>
      </c>
      <c r="N2551" s="63" t="s">
        <v>5530</v>
      </c>
      <c r="O2551" s="64" t="s">
        <v>324</v>
      </c>
    </row>
    <row r="2552" spans="9:15" x14ac:dyDescent="0.45">
      <c r="I2552"/>
      <c r="J2552"/>
      <c r="M2552" s="62" t="s">
        <v>5531</v>
      </c>
      <c r="N2552" s="63" t="s">
        <v>5532</v>
      </c>
      <c r="O2552" s="64" t="s">
        <v>667</v>
      </c>
    </row>
    <row r="2553" spans="9:15" x14ac:dyDescent="0.45">
      <c r="I2553"/>
      <c r="J2553"/>
      <c r="M2553" s="62" t="s">
        <v>5533</v>
      </c>
      <c r="N2553" s="63" t="s">
        <v>5534</v>
      </c>
      <c r="O2553" s="64" t="s">
        <v>2587</v>
      </c>
    </row>
    <row r="2554" spans="9:15" x14ac:dyDescent="0.45">
      <c r="I2554"/>
      <c r="J2554"/>
      <c r="M2554" s="62" t="s">
        <v>5535</v>
      </c>
      <c r="N2554" s="63" t="s">
        <v>5536</v>
      </c>
      <c r="O2554" s="64" t="s">
        <v>616</v>
      </c>
    </row>
    <row r="2555" spans="9:15" x14ac:dyDescent="0.45">
      <c r="I2555"/>
      <c r="J2555"/>
      <c r="M2555" s="62" t="s">
        <v>5537</v>
      </c>
      <c r="N2555" s="63" t="s">
        <v>5538</v>
      </c>
      <c r="O2555" s="64" t="s">
        <v>632</v>
      </c>
    </row>
    <row r="2556" spans="9:15" x14ac:dyDescent="0.45">
      <c r="I2556"/>
      <c r="J2556"/>
      <c r="M2556" s="62" t="s">
        <v>5539</v>
      </c>
      <c r="N2556" s="63" t="s">
        <v>5540</v>
      </c>
      <c r="O2556" s="64" t="s">
        <v>330</v>
      </c>
    </row>
    <row r="2557" spans="9:15" x14ac:dyDescent="0.45">
      <c r="I2557"/>
      <c r="J2557"/>
      <c r="M2557" s="62" t="s">
        <v>5541</v>
      </c>
      <c r="N2557" s="63" t="s">
        <v>5542</v>
      </c>
      <c r="O2557" s="64" t="s">
        <v>625</v>
      </c>
    </row>
    <row r="2558" spans="9:15" x14ac:dyDescent="0.45">
      <c r="I2558"/>
      <c r="J2558"/>
      <c r="M2558" s="62" t="s">
        <v>5543</v>
      </c>
      <c r="N2558" s="63" t="s">
        <v>5544</v>
      </c>
      <c r="O2558" s="64" t="s">
        <v>330</v>
      </c>
    </row>
    <row r="2559" spans="9:15" x14ac:dyDescent="0.45">
      <c r="I2559"/>
      <c r="J2559"/>
      <c r="M2559" s="62" t="s">
        <v>5545</v>
      </c>
      <c r="N2559" s="63" t="s">
        <v>5546</v>
      </c>
      <c r="O2559" s="64" t="s">
        <v>330</v>
      </c>
    </row>
    <row r="2560" spans="9:15" x14ac:dyDescent="0.45">
      <c r="I2560"/>
      <c r="J2560"/>
      <c r="M2560" s="62" t="s">
        <v>5547</v>
      </c>
      <c r="N2560" s="63" t="s">
        <v>5548</v>
      </c>
      <c r="O2560" s="64" t="s">
        <v>344</v>
      </c>
    </row>
    <row r="2561" spans="9:15" x14ac:dyDescent="0.45">
      <c r="I2561"/>
      <c r="J2561"/>
      <c r="M2561" s="62" t="s">
        <v>5549</v>
      </c>
      <c r="N2561" s="63" t="s">
        <v>5550</v>
      </c>
      <c r="O2561" s="64" t="s">
        <v>330</v>
      </c>
    </row>
    <row r="2562" spans="9:15" x14ac:dyDescent="0.45">
      <c r="I2562"/>
      <c r="J2562"/>
      <c r="M2562" s="62" t="s">
        <v>5551</v>
      </c>
      <c r="N2562" s="63" t="s">
        <v>5552</v>
      </c>
      <c r="O2562" s="64" t="s">
        <v>5553</v>
      </c>
    </row>
    <row r="2563" spans="9:15" x14ac:dyDescent="0.45">
      <c r="I2563"/>
      <c r="J2563"/>
      <c r="M2563" s="62" t="s">
        <v>5554</v>
      </c>
      <c r="N2563" s="63" t="s">
        <v>5555</v>
      </c>
      <c r="O2563" s="64" t="s">
        <v>521</v>
      </c>
    </row>
    <row r="2564" spans="9:15" x14ac:dyDescent="0.45">
      <c r="I2564"/>
      <c r="J2564"/>
      <c r="M2564" s="62" t="s">
        <v>5556</v>
      </c>
      <c r="N2564" s="63" t="s">
        <v>5557</v>
      </c>
      <c r="O2564" s="64" t="s">
        <v>726</v>
      </c>
    </row>
    <row r="2565" spans="9:15" x14ac:dyDescent="0.45">
      <c r="I2565"/>
      <c r="J2565"/>
      <c r="M2565" s="62" t="s">
        <v>5558</v>
      </c>
      <c r="N2565" s="63" t="s">
        <v>5559</v>
      </c>
      <c r="O2565" s="64" t="s">
        <v>330</v>
      </c>
    </row>
    <row r="2566" spans="9:15" x14ac:dyDescent="0.45">
      <c r="I2566"/>
      <c r="J2566"/>
      <c r="M2566" s="62" t="s">
        <v>5560</v>
      </c>
      <c r="N2566" s="63" t="s">
        <v>5561</v>
      </c>
      <c r="O2566" s="64" t="s">
        <v>330</v>
      </c>
    </row>
    <row r="2567" spans="9:15" x14ac:dyDescent="0.45">
      <c r="I2567"/>
      <c r="J2567"/>
      <c r="M2567" s="62" t="s">
        <v>5562</v>
      </c>
      <c r="N2567" s="63" t="s">
        <v>5563</v>
      </c>
      <c r="O2567" s="64" t="s">
        <v>330</v>
      </c>
    </row>
    <row r="2568" spans="9:15" x14ac:dyDescent="0.45">
      <c r="I2568"/>
      <c r="J2568"/>
      <c r="M2568" s="62" t="s">
        <v>5564</v>
      </c>
      <c r="N2568" s="63" t="s">
        <v>5565</v>
      </c>
      <c r="O2568" s="64" t="s">
        <v>509</v>
      </c>
    </row>
    <row r="2569" spans="9:15" x14ac:dyDescent="0.45">
      <c r="I2569"/>
      <c r="J2569"/>
      <c r="M2569" s="62" t="s">
        <v>5566</v>
      </c>
      <c r="N2569" s="63" t="s">
        <v>5567</v>
      </c>
      <c r="O2569" s="64" t="s">
        <v>318</v>
      </c>
    </row>
    <row r="2570" spans="9:15" x14ac:dyDescent="0.45">
      <c r="I2570"/>
      <c r="J2570"/>
      <c r="N2570" s="94" t="s">
        <v>5568</v>
      </c>
    </row>
    <row r="2571" spans="9:15" x14ac:dyDescent="0.45">
      <c r="I2571"/>
      <c r="J2571"/>
    </row>
    <row r="2572" spans="9:15" x14ac:dyDescent="0.45">
      <c r="I2572"/>
      <c r="J2572"/>
    </row>
    <row r="2573" spans="9:15" x14ac:dyDescent="0.45">
      <c r="I2573"/>
      <c r="J2573"/>
    </row>
    <row r="2574" spans="9:15" x14ac:dyDescent="0.45">
      <c r="I2574"/>
      <c r="J2574"/>
    </row>
    <row r="2575" spans="9:15" x14ac:dyDescent="0.45">
      <c r="I2575"/>
      <c r="J2575"/>
    </row>
    <row r="2576" spans="9:15" x14ac:dyDescent="0.45">
      <c r="I2576"/>
      <c r="J2576"/>
    </row>
    <row r="2577" spans="9:10" x14ac:dyDescent="0.45">
      <c r="I2577"/>
      <c r="J2577"/>
    </row>
    <row r="2578" spans="9:10" x14ac:dyDescent="0.45">
      <c r="I2578"/>
      <c r="J2578"/>
    </row>
    <row r="2579" spans="9:10" x14ac:dyDescent="0.45">
      <c r="I2579"/>
      <c r="J2579"/>
    </row>
    <row r="2580" spans="9:10" x14ac:dyDescent="0.45">
      <c r="I2580"/>
      <c r="J2580"/>
    </row>
    <row r="2581" spans="9:10" x14ac:dyDescent="0.45">
      <c r="I2581"/>
      <c r="J2581"/>
    </row>
    <row r="2582" spans="9:10" x14ac:dyDescent="0.45">
      <c r="I2582"/>
      <c r="J2582"/>
    </row>
    <row r="2583" spans="9:10" x14ac:dyDescent="0.45">
      <c r="I2583"/>
      <c r="J2583"/>
    </row>
    <row r="2584" spans="9:10" x14ac:dyDescent="0.45">
      <c r="I2584"/>
      <c r="J2584"/>
    </row>
    <row r="2585" spans="9:10" x14ac:dyDescent="0.45">
      <c r="I2585"/>
      <c r="J2585"/>
    </row>
    <row r="2586" spans="9:10" x14ac:dyDescent="0.45">
      <c r="I2586"/>
      <c r="J2586"/>
    </row>
    <row r="2587" spans="9:10" x14ac:dyDescent="0.45">
      <c r="I2587"/>
      <c r="J2587"/>
    </row>
    <row r="2588" spans="9:10" x14ac:dyDescent="0.45">
      <c r="I2588"/>
      <c r="J2588"/>
    </row>
    <row r="2589" spans="9:10" x14ac:dyDescent="0.45">
      <c r="I2589"/>
      <c r="J2589"/>
    </row>
    <row r="2590" spans="9:10" x14ac:dyDescent="0.45">
      <c r="I2590"/>
      <c r="J2590"/>
    </row>
    <row r="2591" spans="9:10" x14ac:dyDescent="0.45">
      <c r="I2591"/>
      <c r="J2591"/>
    </row>
    <row r="2592" spans="9:10" x14ac:dyDescent="0.45">
      <c r="I2592"/>
      <c r="J2592"/>
    </row>
    <row r="2593" spans="9:10" x14ac:dyDescent="0.45">
      <c r="I2593"/>
      <c r="J2593"/>
    </row>
    <row r="2594" spans="9:10" x14ac:dyDescent="0.45">
      <c r="I2594"/>
      <c r="J2594"/>
    </row>
    <row r="2595" spans="9:10" x14ac:dyDescent="0.45">
      <c r="I2595"/>
      <c r="J2595"/>
    </row>
    <row r="2596" spans="9:10" x14ac:dyDescent="0.45">
      <c r="I2596"/>
      <c r="J2596"/>
    </row>
    <row r="2597" spans="9:10" x14ac:dyDescent="0.45">
      <c r="I2597"/>
      <c r="J2597"/>
    </row>
    <row r="2598" spans="9:10" x14ac:dyDescent="0.45">
      <c r="I2598"/>
      <c r="J2598"/>
    </row>
    <row r="2599" spans="9:10" x14ac:dyDescent="0.45">
      <c r="I2599"/>
      <c r="J2599"/>
    </row>
    <row r="2600" spans="9:10" x14ac:dyDescent="0.45">
      <c r="I2600"/>
      <c r="J2600"/>
    </row>
    <row r="2601" spans="9:10" x14ac:dyDescent="0.45">
      <c r="I2601"/>
      <c r="J2601"/>
    </row>
    <row r="2602" spans="9:10" x14ac:dyDescent="0.45">
      <c r="I2602"/>
      <c r="J2602"/>
    </row>
    <row r="2603" spans="9:10" x14ac:dyDescent="0.45">
      <c r="I2603"/>
      <c r="J2603"/>
    </row>
    <row r="2604" spans="9:10" x14ac:dyDescent="0.45">
      <c r="I2604"/>
      <c r="J2604"/>
    </row>
    <row r="2605" spans="9:10" x14ac:dyDescent="0.45">
      <c r="I2605"/>
      <c r="J2605"/>
    </row>
    <row r="2606" spans="9:10" x14ac:dyDescent="0.45">
      <c r="I2606"/>
      <c r="J2606"/>
    </row>
    <row r="2607" spans="9:10" x14ac:dyDescent="0.45">
      <c r="I2607"/>
      <c r="J2607"/>
    </row>
    <row r="2608" spans="9:10" x14ac:dyDescent="0.45">
      <c r="I2608"/>
      <c r="J2608"/>
    </row>
    <row r="2609" spans="9:10" x14ac:dyDescent="0.45">
      <c r="I2609"/>
      <c r="J2609"/>
    </row>
    <row r="2610" spans="9:10" x14ac:dyDescent="0.45">
      <c r="I2610"/>
      <c r="J2610"/>
    </row>
    <row r="2611" spans="9:10" x14ac:dyDescent="0.45">
      <c r="I2611"/>
      <c r="J2611"/>
    </row>
    <row r="2612" spans="9:10" x14ac:dyDescent="0.45">
      <c r="I2612"/>
      <c r="J2612"/>
    </row>
    <row r="2613" spans="9:10" x14ac:dyDescent="0.45">
      <c r="I2613"/>
      <c r="J2613"/>
    </row>
    <row r="2614" spans="9:10" x14ac:dyDescent="0.45">
      <c r="I2614"/>
      <c r="J2614"/>
    </row>
    <row r="2615" spans="9:10" x14ac:dyDescent="0.45">
      <c r="I2615"/>
      <c r="J2615"/>
    </row>
    <row r="2616" spans="9:10" x14ac:dyDescent="0.45">
      <c r="I2616"/>
      <c r="J2616"/>
    </row>
    <row r="2617" spans="9:10" x14ac:dyDescent="0.45">
      <c r="I2617"/>
      <c r="J2617"/>
    </row>
    <row r="2618" spans="9:10" x14ac:dyDescent="0.45">
      <c r="I2618"/>
      <c r="J2618"/>
    </row>
    <row r="2619" spans="9:10" x14ac:dyDescent="0.45">
      <c r="I2619"/>
      <c r="J2619"/>
    </row>
    <row r="2620" spans="9:10" x14ac:dyDescent="0.45">
      <c r="I2620"/>
      <c r="J2620"/>
    </row>
    <row r="2621" spans="9:10" x14ac:dyDescent="0.45">
      <c r="I2621"/>
      <c r="J2621"/>
    </row>
    <row r="2622" spans="9:10" x14ac:dyDescent="0.45">
      <c r="I2622"/>
      <c r="J2622"/>
    </row>
    <row r="2623" spans="9:10" x14ac:dyDescent="0.45">
      <c r="I2623"/>
      <c r="J2623"/>
    </row>
    <row r="2624" spans="9:10" x14ac:dyDescent="0.45">
      <c r="I2624"/>
      <c r="J2624"/>
    </row>
    <row r="2625" spans="9:10" x14ac:dyDescent="0.45">
      <c r="I2625"/>
      <c r="J2625"/>
    </row>
    <row r="2626" spans="9:10" x14ac:dyDescent="0.45">
      <c r="I2626"/>
      <c r="J2626"/>
    </row>
    <row r="2627" spans="9:10" x14ac:dyDescent="0.45">
      <c r="I2627"/>
      <c r="J2627"/>
    </row>
    <row r="2628" spans="9:10" x14ac:dyDescent="0.45">
      <c r="I2628"/>
      <c r="J2628"/>
    </row>
    <row r="2629" spans="9:10" x14ac:dyDescent="0.45">
      <c r="I2629"/>
      <c r="J2629"/>
    </row>
    <row r="2630" spans="9:10" x14ac:dyDescent="0.45">
      <c r="I2630"/>
      <c r="J2630"/>
    </row>
    <row r="2631" spans="9:10" x14ac:dyDescent="0.45">
      <c r="I2631"/>
      <c r="J2631"/>
    </row>
    <row r="2632" spans="9:10" x14ac:dyDescent="0.45">
      <c r="I2632"/>
      <c r="J2632"/>
    </row>
    <row r="2633" spans="9:10" x14ac:dyDescent="0.45">
      <c r="I2633"/>
      <c r="J2633"/>
    </row>
    <row r="2634" spans="9:10" x14ac:dyDescent="0.45">
      <c r="I2634"/>
      <c r="J2634"/>
    </row>
    <row r="2635" spans="9:10" x14ac:dyDescent="0.45">
      <c r="I2635"/>
      <c r="J2635"/>
    </row>
    <row r="2636" spans="9:10" x14ac:dyDescent="0.45">
      <c r="I2636"/>
      <c r="J2636"/>
    </row>
    <row r="2637" spans="9:10" x14ac:dyDescent="0.45">
      <c r="I2637"/>
      <c r="J2637"/>
    </row>
    <row r="2638" spans="9:10" x14ac:dyDescent="0.45">
      <c r="I2638"/>
      <c r="J2638"/>
    </row>
    <row r="2639" spans="9:10" x14ac:dyDescent="0.45">
      <c r="I2639"/>
      <c r="J2639"/>
    </row>
    <row r="2640" spans="9:10" x14ac:dyDescent="0.45">
      <c r="I2640"/>
      <c r="J2640"/>
    </row>
    <row r="2641" spans="9:10" x14ac:dyDescent="0.45">
      <c r="I2641"/>
      <c r="J2641"/>
    </row>
    <row r="2642" spans="9:10" x14ac:dyDescent="0.45">
      <c r="I2642"/>
      <c r="J2642"/>
    </row>
    <row r="2643" spans="9:10" x14ac:dyDescent="0.45">
      <c r="I2643"/>
      <c r="J2643"/>
    </row>
    <row r="2644" spans="9:10" x14ac:dyDescent="0.45">
      <c r="I2644"/>
      <c r="J2644"/>
    </row>
    <row r="2645" spans="9:10" x14ac:dyDescent="0.45">
      <c r="I2645"/>
      <c r="J2645"/>
    </row>
    <row r="2646" spans="9:10" x14ac:dyDescent="0.45">
      <c r="I2646"/>
      <c r="J2646"/>
    </row>
    <row r="2647" spans="9:10" x14ac:dyDescent="0.45">
      <c r="I2647"/>
      <c r="J2647"/>
    </row>
    <row r="2648" spans="9:10" x14ac:dyDescent="0.45">
      <c r="I2648"/>
      <c r="J2648"/>
    </row>
    <row r="2649" spans="9:10" x14ac:dyDescent="0.45">
      <c r="I2649"/>
      <c r="J2649"/>
    </row>
    <row r="2650" spans="9:10" x14ac:dyDescent="0.45">
      <c r="I2650"/>
      <c r="J2650"/>
    </row>
    <row r="2651" spans="9:10" x14ac:dyDescent="0.45">
      <c r="I2651"/>
      <c r="J2651"/>
    </row>
    <row r="2652" spans="9:10" x14ac:dyDescent="0.45">
      <c r="I2652"/>
      <c r="J2652"/>
    </row>
    <row r="2653" spans="9:10" x14ac:dyDescent="0.45">
      <c r="I2653"/>
      <c r="J2653"/>
    </row>
    <row r="2654" spans="9:10" x14ac:dyDescent="0.45">
      <c r="I2654"/>
      <c r="J2654"/>
    </row>
    <row r="2655" spans="9:10" x14ac:dyDescent="0.45">
      <c r="I2655"/>
      <c r="J2655"/>
    </row>
    <row r="2656" spans="9:10" x14ac:dyDescent="0.45">
      <c r="I2656"/>
      <c r="J2656"/>
    </row>
    <row r="2657" spans="9:10" x14ac:dyDescent="0.45">
      <c r="I2657"/>
      <c r="J2657"/>
    </row>
    <row r="2658" spans="9:10" x14ac:dyDescent="0.45">
      <c r="I2658"/>
      <c r="J2658"/>
    </row>
    <row r="2659" spans="9:10" x14ac:dyDescent="0.45">
      <c r="I2659"/>
      <c r="J2659"/>
    </row>
    <row r="2660" spans="9:10" x14ac:dyDescent="0.45">
      <c r="I2660"/>
      <c r="J2660"/>
    </row>
    <row r="2661" spans="9:10" x14ac:dyDescent="0.45">
      <c r="I2661"/>
      <c r="J2661"/>
    </row>
    <row r="2662" spans="9:10" x14ac:dyDescent="0.45">
      <c r="I2662"/>
      <c r="J2662"/>
    </row>
    <row r="2663" spans="9:10" x14ac:dyDescent="0.45">
      <c r="I2663"/>
      <c r="J2663"/>
    </row>
    <row r="2664" spans="9:10" x14ac:dyDescent="0.45">
      <c r="I2664"/>
      <c r="J2664"/>
    </row>
    <row r="2665" spans="9:10" x14ac:dyDescent="0.45">
      <c r="I2665"/>
      <c r="J2665"/>
    </row>
    <row r="2666" spans="9:10" x14ac:dyDescent="0.45">
      <c r="I2666"/>
      <c r="J2666"/>
    </row>
    <row r="2667" spans="9:10" x14ac:dyDescent="0.45">
      <c r="I2667"/>
      <c r="J2667"/>
    </row>
    <row r="2668" spans="9:10" x14ac:dyDescent="0.45">
      <c r="I2668"/>
      <c r="J2668"/>
    </row>
    <row r="2669" spans="9:10" x14ac:dyDescent="0.45">
      <c r="I2669"/>
      <c r="J2669"/>
    </row>
    <row r="2670" spans="9:10" x14ac:dyDescent="0.45">
      <c r="I2670"/>
      <c r="J2670"/>
    </row>
    <row r="2671" spans="9:10" x14ac:dyDescent="0.45">
      <c r="I2671"/>
      <c r="J2671"/>
    </row>
    <row r="2672" spans="9:10" x14ac:dyDescent="0.45">
      <c r="I2672"/>
      <c r="J2672"/>
    </row>
    <row r="2673" spans="9:10" x14ac:dyDescent="0.45">
      <c r="I2673"/>
      <c r="J2673"/>
    </row>
    <row r="2674" spans="9:10" x14ac:dyDescent="0.45">
      <c r="I2674"/>
      <c r="J2674"/>
    </row>
    <row r="2675" spans="9:10" x14ac:dyDescent="0.45">
      <c r="I2675"/>
      <c r="J2675"/>
    </row>
    <row r="2676" spans="9:10" x14ac:dyDescent="0.45">
      <c r="I2676"/>
      <c r="J2676"/>
    </row>
    <row r="2677" spans="9:10" x14ac:dyDescent="0.45">
      <c r="I2677"/>
      <c r="J2677"/>
    </row>
    <row r="2678" spans="9:10" x14ac:dyDescent="0.45">
      <c r="I2678"/>
      <c r="J2678"/>
    </row>
    <row r="2679" spans="9:10" x14ac:dyDescent="0.45">
      <c r="I2679"/>
      <c r="J2679"/>
    </row>
    <row r="2680" spans="9:10" x14ac:dyDescent="0.45">
      <c r="I2680"/>
      <c r="J2680"/>
    </row>
    <row r="2681" spans="9:10" x14ac:dyDescent="0.45">
      <c r="I2681"/>
      <c r="J2681"/>
    </row>
    <row r="2682" spans="9:10" x14ac:dyDescent="0.45">
      <c r="I2682"/>
      <c r="J2682"/>
    </row>
    <row r="2683" spans="9:10" x14ac:dyDescent="0.45">
      <c r="I2683"/>
      <c r="J2683"/>
    </row>
    <row r="2684" spans="9:10" x14ac:dyDescent="0.45">
      <c r="I2684"/>
      <c r="J2684"/>
    </row>
    <row r="2685" spans="9:10" x14ac:dyDescent="0.45">
      <c r="I2685"/>
      <c r="J2685"/>
    </row>
    <row r="2686" spans="9:10" x14ac:dyDescent="0.45">
      <c r="I2686"/>
      <c r="J2686"/>
    </row>
    <row r="2687" spans="9:10" x14ac:dyDescent="0.45">
      <c r="I2687"/>
      <c r="J2687"/>
    </row>
    <row r="2688" spans="9:10" x14ac:dyDescent="0.45">
      <c r="I2688"/>
      <c r="J2688"/>
    </row>
    <row r="2689" spans="9:10" x14ac:dyDescent="0.45">
      <c r="I2689"/>
      <c r="J2689"/>
    </row>
    <row r="2690" spans="9:10" x14ac:dyDescent="0.45">
      <c r="I2690"/>
      <c r="J2690"/>
    </row>
    <row r="2691" spans="9:10" x14ac:dyDescent="0.45">
      <c r="I2691"/>
      <c r="J2691"/>
    </row>
    <row r="2692" spans="9:10" x14ac:dyDescent="0.45">
      <c r="I2692"/>
      <c r="J2692"/>
    </row>
    <row r="2693" spans="9:10" x14ac:dyDescent="0.45">
      <c r="I2693"/>
      <c r="J2693"/>
    </row>
    <row r="2694" spans="9:10" x14ac:dyDescent="0.45">
      <c r="I2694"/>
      <c r="J2694"/>
    </row>
    <row r="2695" spans="9:10" x14ac:dyDescent="0.45">
      <c r="I2695"/>
      <c r="J2695"/>
    </row>
    <row r="2696" spans="9:10" x14ac:dyDescent="0.45">
      <c r="I2696"/>
      <c r="J2696"/>
    </row>
    <row r="2697" spans="9:10" x14ac:dyDescent="0.45">
      <c r="I2697"/>
      <c r="J2697"/>
    </row>
    <row r="2698" spans="9:10" x14ac:dyDescent="0.45">
      <c r="I2698"/>
      <c r="J2698"/>
    </row>
    <row r="2699" spans="9:10" x14ac:dyDescent="0.45">
      <c r="I2699"/>
      <c r="J2699"/>
    </row>
    <row r="2700" spans="9:10" x14ac:dyDescent="0.45">
      <c r="I2700"/>
      <c r="J2700"/>
    </row>
    <row r="2701" spans="9:10" x14ac:dyDescent="0.45">
      <c r="I2701"/>
      <c r="J2701"/>
    </row>
    <row r="2702" spans="9:10" x14ac:dyDescent="0.45">
      <c r="I2702"/>
      <c r="J2702"/>
    </row>
    <row r="2703" spans="9:10" x14ac:dyDescent="0.45">
      <c r="I2703"/>
      <c r="J2703"/>
    </row>
    <row r="2704" spans="9:10" x14ac:dyDescent="0.45">
      <c r="I2704"/>
      <c r="J2704"/>
    </row>
    <row r="2705" spans="9:10" x14ac:dyDescent="0.45">
      <c r="I2705"/>
      <c r="J2705"/>
    </row>
    <row r="2706" spans="9:10" x14ac:dyDescent="0.45">
      <c r="I2706"/>
      <c r="J2706"/>
    </row>
    <row r="2707" spans="9:10" x14ac:dyDescent="0.45">
      <c r="I2707"/>
      <c r="J2707"/>
    </row>
    <row r="2708" spans="9:10" x14ac:dyDescent="0.45">
      <c r="I2708"/>
      <c r="J2708"/>
    </row>
    <row r="2709" spans="9:10" x14ac:dyDescent="0.45">
      <c r="I2709"/>
      <c r="J2709"/>
    </row>
    <row r="2710" spans="9:10" x14ac:dyDescent="0.45">
      <c r="I2710"/>
      <c r="J2710"/>
    </row>
    <row r="2711" spans="9:10" x14ac:dyDescent="0.45">
      <c r="I2711"/>
      <c r="J2711"/>
    </row>
    <row r="2712" spans="9:10" x14ac:dyDescent="0.45">
      <c r="I2712"/>
      <c r="J2712"/>
    </row>
    <row r="2713" spans="9:10" x14ac:dyDescent="0.45">
      <c r="I2713"/>
      <c r="J2713"/>
    </row>
    <row r="2714" spans="9:10" x14ac:dyDescent="0.45">
      <c r="I2714"/>
      <c r="J2714"/>
    </row>
    <row r="2715" spans="9:10" x14ac:dyDescent="0.45">
      <c r="I2715"/>
      <c r="J2715"/>
    </row>
    <row r="2716" spans="9:10" x14ac:dyDescent="0.45">
      <c r="I2716"/>
      <c r="J2716"/>
    </row>
    <row r="2717" spans="9:10" x14ac:dyDescent="0.45">
      <c r="I2717"/>
      <c r="J2717"/>
    </row>
    <row r="2718" spans="9:10" x14ac:dyDescent="0.45">
      <c r="I2718"/>
      <c r="J2718"/>
    </row>
    <row r="2719" spans="9:10" x14ac:dyDescent="0.45">
      <c r="I2719"/>
      <c r="J2719"/>
    </row>
    <row r="2720" spans="9:10" x14ac:dyDescent="0.45">
      <c r="I2720"/>
      <c r="J2720"/>
    </row>
    <row r="2721" spans="9:10" x14ac:dyDescent="0.45">
      <c r="I2721"/>
      <c r="J2721"/>
    </row>
    <row r="2722" spans="9:10" x14ac:dyDescent="0.45">
      <c r="I2722"/>
      <c r="J2722"/>
    </row>
    <row r="2723" spans="9:10" x14ac:dyDescent="0.45">
      <c r="I2723"/>
      <c r="J2723"/>
    </row>
    <row r="2724" spans="9:10" x14ac:dyDescent="0.45">
      <c r="I2724"/>
      <c r="J2724"/>
    </row>
    <row r="2725" spans="9:10" x14ac:dyDescent="0.45">
      <c r="I2725"/>
      <c r="J2725"/>
    </row>
    <row r="2726" spans="9:10" x14ac:dyDescent="0.45">
      <c r="I2726"/>
      <c r="J2726"/>
    </row>
    <row r="2727" spans="9:10" x14ac:dyDescent="0.45">
      <c r="I2727"/>
      <c r="J2727"/>
    </row>
    <row r="2728" spans="9:10" x14ac:dyDescent="0.45">
      <c r="I2728"/>
      <c r="J2728"/>
    </row>
    <row r="2729" spans="9:10" x14ac:dyDescent="0.45">
      <c r="I2729"/>
      <c r="J2729"/>
    </row>
    <row r="2730" spans="9:10" x14ac:dyDescent="0.45">
      <c r="I2730"/>
      <c r="J2730"/>
    </row>
    <row r="2731" spans="9:10" x14ac:dyDescent="0.45">
      <c r="I2731"/>
      <c r="J2731"/>
    </row>
    <row r="2732" spans="9:10" x14ac:dyDescent="0.45">
      <c r="I2732"/>
      <c r="J2732"/>
    </row>
    <row r="2733" spans="9:10" x14ac:dyDescent="0.45">
      <c r="I2733"/>
      <c r="J2733"/>
    </row>
    <row r="2734" spans="9:10" x14ac:dyDescent="0.45">
      <c r="I2734"/>
      <c r="J2734"/>
    </row>
    <row r="2735" spans="9:10" x14ac:dyDescent="0.45">
      <c r="I2735"/>
      <c r="J2735"/>
    </row>
    <row r="2736" spans="9:10" x14ac:dyDescent="0.45">
      <c r="I2736"/>
      <c r="J2736"/>
    </row>
    <row r="2737" spans="9:10" x14ac:dyDescent="0.45">
      <c r="I2737"/>
      <c r="J2737"/>
    </row>
    <row r="2738" spans="9:10" x14ac:dyDescent="0.45">
      <c r="I2738"/>
      <c r="J2738"/>
    </row>
    <row r="2739" spans="9:10" x14ac:dyDescent="0.45">
      <c r="I2739"/>
      <c r="J2739"/>
    </row>
    <row r="2740" spans="9:10" x14ac:dyDescent="0.45">
      <c r="I2740"/>
      <c r="J2740"/>
    </row>
    <row r="2741" spans="9:10" x14ac:dyDescent="0.45">
      <c r="I2741"/>
      <c r="J2741"/>
    </row>
    <row r="2742" spans="9:10" x14ac:dyDescent="0.45">
      <c r="I2742"/>
      <c r="J2742"/>
    </row>
    <row r="2743" spans="9:10" x14ac:dyDescent="0.45">
      <c r="I2743"/>
      <c r="J2743"/>
    </row>
    <row r="2744" spans="9:10" x14ac:dyDescent="0.45">
      <c r="I2744"/>
      <c r="J2744"/>
    </row>
    <row r="2745" spans="9:10" x14ac:dyDescent="0.45">
      <c r="I2745"/>
      <c r="J2745"/>
    </row>
    <row r="2746" spans="9:10" x14ac:dyDescent="0.45">
      <c r="I2746"/>
      <c r="J2746"/>
    </row>
    <row r="2747" spans="9:10" x14ac:dyDescent="0.45">
      <c r="I2747"/>
      <c r="J2747"/>
    </row>
    <row r="2748" spans="9:10" x14ac:dyDescent="0.45">
      <c r="I2748"/>
      <c r="J2748"/>
    </row>
    <row r="2749" spans="9:10" x14ac:dyDescent="0.45">
      <c r="I2749"/>
      <c r="J2749"/>
    </row>
    <row r="2750" spans="9:10" x14ac:dyDescent="0.45">
      <c r="I2750"/>
      <c r="J2750"/>
    </row>
    <row r="2751" spans="9:10" x14ac:dyDescent="0.45">
      <c r="I2751"/>
      <c r="J2751"/>
    </row>
    <row r="2752" spans="9:10" x14ac:dyDescent="0.45">
      <c r="I2752"/>
      <c r="J2752"/>
    </row>
    <row r="2753" spans="9:10" x14ac:dyDescent="0.45">
      <c r="I2753"/>
      <c r="J2753"/>
    </row>
    <row r="2754" spans="9:10" x14ac:dyDescent="0.45">
      <c r="I2754"/>
      <c r="J2754"/>
    </row>
    <row r="2755" spans="9:10" x14ac:dyDescent="0.45">
      <c r="I2755"/>
      <c r="J2755"/>
    </row>
    <row r="2756" spans="9:10" x14ac:dyDescent="0.45">
      <c r="I2756"/>
      <c r="J2756"/>
    </row>
    <row r="2757" spans="9:10" x14ac:dyDescent="0.45">
      <c r="I2757"/>
      <c r="J2757"/>
    </row>
    <row r="2758" spans="9:10" x14ac:dyDescent="0.45">
      <c r="I2758"/>
      <c r="J2758"/>
    </row>
    <row r="2759" spans="9:10" x14ac:dyDescent="0.45">
      <c r="I2759"/>
      <c r="J2759"/>
    </row>
    <row r="2760" spans="9:10" x14ac:dyDescent="0.45">
      <c r="I2760"/>
      <c r="J2760"/>
    </row>
    <row r="2761" spans="9:10" x14ac:dyDescent="0.45">
      <c r="I2761"/>
      <c r="J2761"/>
    </row>
    <row r="2762" spans="9:10" x14ac:dyDescent="0.45">
      <c r="I2762"/>
      <c r="J2762"/>
    </row>
    <row r="2763" spans="9:10" x14ac:dyDescent="0.45">
      <c r="I2763"/>
      <c r="J2763"/>
    </row>
    <row r="2764" spans="9:10" x14ac:dyDescent="0.45">
      <c r="I2764"/>
      <c r="J2764"/>
    </row>
    <row r="2765" spans="9:10" x14ac:dyDescent="0.45">
      <c r="I2765"/>
      <c r="J2765"/>
    </row>
    <row r="2766" spans="9:10" x14ac:dyDescent="0.45">
      <c r="I2766"/>
      <c r="J2766"/>
    </row>
    <row r="2767" spans="9:10" x14ac:dyDescent="0.45">
      <c r="I2767"/>
      <c r="J2767"/>
    </row>
    <row r="2768" spans="9:10" x14ac:dyDescent="0.45">
      <c r="I2768"/>
      <c r="J2768"/>
    </row>
    <row r="2769" spans="9:10" x14ac:dyDescent="0.45">
      <c r="I2769"/>
      <c r="J2769"/>
    </row>
    <row r="2770" spans="9:10" x14ac:dyDescent="0.45">
      <c r="I2770"/>
      <c r="J2770"/>
    </row>
    <row r="2771" spans="9:10" x14ac:dyDescent="0.45">
      <c r="I2771"/>
      <c r="J2771"/>
    </row>
    <row r="2772" spans="9:10" x14ac:dyDescent="0.45">
      <c r="I2772"/>
      <c r="J2772"/>
    </row>
    <row r="2773" spans="9:10" x14ac:dyDescent="0.45">
      <c r="I2773"/>
      <c r="J2773"/>
    </row>
    <row r="2774" spans="9:10" x14ac:dyDescent="0.45">
      <c r="I2774"/>
      <c r="J2774"/>
    </row>
    <row r="2775" spans="9:10" x14ac:dyDescent="0.45">
      <c r="I2775"/>
      <c r="J2775"/>
    </row>
    <row r="2776" spans="9:10" x14ac:dyDescent="0.45">
      <c r="I2776"/>
      <c r="J2776"/>
    </row>
    <row r="2777" spans="9:10" x14ac:dyDescent="0.45">
      <c r="I2777"/>
      <c r="J2777"/>
    </row>
    <row r="2778" spans="9:10" x14ac:dyDescent="0.45">
      <c r="I2778"/>
      <c r="J2778"/>
    </row>
    <row r="2779" spans="9:10" x14ac:dyDescent="0.45">
      <c r="I2779"/>
      <c r="J2779"/>
    </row>
    <row r="2780" spans="9:10" x14ac:dyDescent="0.45">
      <c r="I2780"/>
      <c r="J2780"/>
    </row>
    <row r="2781" spans="9:10" x14ac:dyDescent="0.45">
      <c r="I2781"/>
      <c r="J2781"/>
    </row>
    <row r="2782" spans="9:10" x14ac:dyDescent="0.45">
      <c r="I2782"/>
      <c r="J2782"/>
    </row>
    <row r="2783" spans="9:10" x14ac:dyDescent="0.45">
      <c r="I2783"/>
      <c r="J2783"/>
    </row>
    <row r="2784" spans="9:10" x14ac:dyDescent="0.45">
      <c r="I2784"/>
      <c r="J2784"/>
    </row>
    <row r="2785" spans="9:10" x14ac:dyDescent="0.45">
      <c r="I2785"/>
      <c r="J2785"/>
    </row>
    <row r="2786" spans="9:10" x14ac:dyDescent="0.45">
      <c r="I2786"/>
      <c r="J2786"/>
    </row>
    <row r="2787" spans="9:10" x14ac:dyDescent="0.45">
      <c r="I2787"/>
      <c r="J2787"/>
    </row>
    <row r="2788" spans="9:10" x14ac:dyDescent="0.45">
      <c r="I2788"/>
      <c r="J2788"/>
    </row>
    <row r="2789" spans="9:10" x14ac:dyDescent="0.45">
      <c r="I2789"/>
      <c r="J2789"/>
    </row>
    <row r="2790" spans="9:10" x14ac:dyDescent="0.45">
      <c r="I2790"/>
      <c r="J2790"/>
    </row>
    <row r="2791" spans="9:10" x14ac:dyDescent="0.45">
      <c r="I2791"/>
      <c r="J2791"/>
    </row>
    <row r="2792" spans="9:10" x14ac:dyDescent="0.45">
      <c r="I2792"/>
      <c r="J2792"/>
    </row>
    <row r="2793" spans="9:10" x14ac:dyDescent="0.45">
      <c r="I2793"/>
      <c r="J2793"/>
    </row>
    <row r="2794" spans="9:10" x14ac:dyDescent="0.45">
      <c r="I2794"/>
      <c r="J2794"/>
    </row>
    <row r="2795" spans="9:10" x14ac:dyDescent="0.45">
      <c r="I2795"/>
      <c r="J2795"/>
    </row>
    <row r="2796" spans="9:10" x14ac:dyDescent="0.45">
      <c r="I2796"/>
      <c r="J2796"/>
    </row>
    <row r="2797" spans="9:10" x14ac:dyDescent="0.45">
      <c r="I2797"/>
      <c r="J2797"/>
    </row>
    <row r="2798" spans="9:10" x14ac:dyDescent="0.45">
      <c r="I2798"/>
      <c r="J2798"/>
    </row>
    <row r="2799" spans="9:10" x14ac:dyDescent="0.45">
      <c r="I2799"/>
      <c r="J2799"/>
    </row>
    <row r="2800" spans="9:10" x14ac:dyDescent="0.45">
      <c r="I2800"/>
      <c r="J2800"/>
    </row>
    <row r="2801" spans="9:10" x14ac:dyDescent="0.45">
      <c r="I2801"/>
      <c r="J2801"/>
    </row>
    <row r="2802" spans="9:10" x14ac:dyDescent="0.45">
      <c r="I2802"/>
      <c r="J2802"/>
    </row>
    <row r="2803" spans="9:10" x14ac:dyDescent="0.45">
      <c r="I2803"/>
      <c r="J2803"/>
    </row>
    <row r="2804" spans="9:10" x14ac:dyDescent="0.45">
      <c r="I2804"/>
      <c r="J2804"/>
    </row>
    <row r="2805" spans="9:10" x14ac:dyDescent="0.45">
      <c r="I2805"/>
      <c r="J2805"/>
    </row>
    <row r="2806" spans="9:10" x14ac:dyDescent="0.45">
      <c r="I2806"/>
      <c r="J2806"/>
    </row>
    <row r="2807" spans="9:10" x14ac:dyDescent="0.45">
      <c r="I2807"/>
      <c r="J2807"/>
    </row>
    <row r="2808" spans="9:10" x14ac:dyDescent="0.45">
      <c r="I2808"/>
      <c r="J2808"/>
    </row>
    <row r="2809" spans="9:10" x14ac:dyDescent="0.45">
      <c r="I2809"/>
      <c r="J2809"/>
    </row>
    <row r="2810" spans="9:10" x14ac:dyDescent="0.45">
      <c r="I2810"/>
      <c r="J2810"/>
    </row>
    <row r="2811" spans="9:10" x14ac:dyDescent="0.45">
      <c r="I2811"/>
      <c r="J2811"/>
    </row>
    <row r="2812" spans="9:10" x14ac:dyDescent="0.45">
      <c r="I2812"/>
      <c r="J2812"/>
    </row>
    <row r="2813" spans="9:10" x14ac:dyDescent="0.45">
      <c r="I2813"/>
      <c r="J2813"/>
    </row>
    <row r="2814" spans="9:10" x14ac:dyDescent="0.45">
      <c r="I2814"/>
      <c r="J2814"/>
    </row>
    <row r="2815" spans="9:10" x14ac:dyDescent="0.45">
      <c r="I2815"/>
      <c r="J2815"/>
    </row>
    <row r="2816" spans="9:10" x14ac:dyDescent="0.45">
      <c r="I2816"/>
      <c r="J2816"/>
    </row>
    <row r="2817" spans="9:10" x14ac:dyDescent="0.45">
      <c r="I2817"/>
      <c r="J2817"/>
    </row>
    <row r="2818" spans="9:10" x14ac:dyDescent="0.45">
      <c r="I2818"/>
      <c r="J2818"/>
    </row>
    <row r="2819" spans="9:10" x14ac:dyDescent="0.45">
      <c r="I2819"/>
      <c r="J2819"/>
    </row>
    <row r="2820" spans="9:10" x14ac:dyDescent="0.45">
      <c r="I2820"/>
      <c r="J2820"/>
    </row>
    <row r="2821" spans="9:10" x14ac:dyDescent="0.45">
      <c r="I2821"/>
      <c r="J2821"/>
    </row>
    <row r="2822" spans="9:10" x14ac:dyDescent="0.45">
      <c r="I2822"/>
      <c r="J2822"/>
    </row>
    <row r="2823" spans="9:10" x14ac:dyDescent="0.45">
      <c r="I2823"/>
      <c r="J2823"/>
    </row>
    <row r="2824" spans="9:10" x14ac:dyDescent="0.45">
      <c r="I2824"/>
      <c r="J2824"/>
    </row>
    <row r="2825" spans="9:10" x14ac:dyDescent="0.45">
      <c r="I2825"/>
      <c r="J2825"/>
    </row>
    <row r="2826" spans="9:10" x14ac:dyDescent="0.45">
      <c r="I2826"/>
      <c r="J2826"/>
    </row>
    <row r="2827" spans="9:10" x14ac:dyDescent="0.45">
      <c r="I2827"/>
      <c r="J2827"/>
    </row>
    <row r="2828" spans="9:10" x14ac:dyDescent="0.45">
      <c r="I2828"/>
      <c r="J2828"/>
    </row>
    <row r="2829" spans="9:10" x14ac:dyDescent="0.45">
      <c r="I2829"/>
      <c r="J2829"/>
    </row>
    <row r="2830" spans="9:10" x14ac:dyDescent="0.45">
      <c r="I2830"/>
      <c r="J2830"/>
    </row>
    <row r="2831" spans="9:10" x14ac:dyDescent="0.45">
      <c r="I2831"/>
      <c r="J2831"/>
    </row>
    <row r="2832" spans="9:10" x14ac:dyDescent="0.45">
      <c r="I2832"/>
      <c r="J2832"/>
    </row>
    <row r="2833" spans="9:10" x14ac:dyDescent="0.45">
      <c r="I2833"/>
      <c r="J2833"/>
    </row>
    <row r="2834" spans="9:10" x14ac:dyDescent="0.45">
      <c r="I2834"/>
      <c r="J2834"/>
    </row>
    <row r="2835" spans="9:10" x14ac:dyDescent="0.45">
      <c r="I2835"/>
      <c r="J2835"/>
    </row>
    <row r="2836" spans="9:10" x14ac:dyDescent="0.45">
      <c r="I2836"/>
      <c r="J2836"/>
    </row>
    <row r="2837" spans="9:10" x14ac:dyDescent="0.45">
      <c r="I2837"/>
      <c r="J2837"/>
    </row>
    <row r="2838" spans="9:10" x14ac:dyDescent="0.45">
      <c r="I2838"/>
      <c r="J2838"/>
    </row>
    <row r="2839" spans="9:10" x14ac:dyDescent="0.45">
      <c r="I2839"/>
      <c r="J2839"/>
    </row>
    <row r="2840" spans="9:10" x14ac:dyDescent="0.45">
      <c r="I2840"/>
      <c r="J2840"/>
    </row>
    <row r="2841" spans="9:10" x14ac:dyDescent="0.45">
      <c r="I2841"/>
      <c r="J2841"/>
    </row>
    <row r="2842" spans="9:10" x14ac:dyDescent="0.45">
      <c r="I2842"/>
      <c r="J2842"/>
    </row>
    <row r="2843" spans="9:10" x14ac:dyDescent="0.45">
      <c r="I2843"/>
      <c r="J2843"/>
    </row>
    <row r="2844" spans="9:10" x14ac:dyDescent="0.45">
      <c r="I2844"/>
      <c r="J2844"/>
    </row>
    <row r="2845" spans="9:10" x14ac:dyDescent="0.45">
      <c r="I2845"/>
      <c r="J2845"/>
    </row>
    <row r="2846" spans="9:10" x14ac:dyDescent="0.45">
      <c r="I2846"/>
      <c r="J2846"/>
    </row>
    <row r="2847" spans="9:10" x14ac:dyDescent="0.45">
      <c r="I2847"/>
      <c r="J2847"/>
    </row>
    <row r="2848" spans="9:10" x14ac:dyDescent="0.45">
      <c r="I2848"/>
      <c r="J2848"/>
    </row>
    <row r="2849" spans="9:10" x14ac:dyDescent="0.45">
      <c r="I2849"/>
      <c r="J2849"/>
    </row>
    <row r="2850" spans="9:10" x14ac:dyDescent="0.45">
      <c r="I2850"/>
      <c r="J2850"/>
    </row>
    <row r="2851" spans="9:10" x14ac:dyDescent="0.45">
      <c r="I2851"/>
      <c r="J2851"/>
    </row>
    <row r="2852" spans="9:10" x14ac:dyDescent="0.45">
      <c r="I2852"/>
      <c r="J2852"/>
    </row>
    <row r="2853" spans="9:10" x14ac:dyDescent="0.45">
      <c r="I2853"/>
      <c r="J2853"/>
    </row>
    <row r="2854" spans="9:10" x14ac:dyDescent="0.45">
      <c r="I2854"/>
      <c r="J2854"/>
    </row>
    <row r="2855" spans="9:10" x14ac:dyDescent="0.45">
      <c r="I2855"/>
      <c r="J2855"/>
    </row>
    <row r="2856" spans="9:10" x14ac:dyDescent="0.45">
      <c r="I2856"/>
      <c r="J2856"/>
    </row>
    <row r="2857" spans="9:10" x14ac:dyDescent="0.45">
      <c r="I2857"/>
      <c r="J2857"/>
    </row>
    <row r="2858" spans="9:10" x14ac:dyDescent="0.45">
      <c r="I2858"/>
      <c r="J2858"/>
    </row>
    <row r="2859" spans="9:10" x14ac:dyDescent="0.45">
      <c r="I2859"/>
      <c r="J2859"/>
    </row>
    <row r="2860" spans="9:10" x14ac:dyDescent="0.45">
      <c r="I2860"/>
      <c r="J2860"/>
    </row>
    <row r="2861" spans="9:10" x14ac:dyDescent="0.45">
      <c r="I2861"/>
      <c r="J2861"/>
    </row>
    <row r="2862" spans="9:10" x14ac:dyDescent="0.45">
      <c r="I2862"/>
      <c r="J2862"/>
    </row>
    <row r="2863" spans="9:10" x14ac:dyDescent="0.45">
      <c r="I2863"/>
      <c r="J2863"/>
    </row>
    <row r="2864" spans="9:10" x14ac:dyDescent="0.45">
      <c r="I2864"/>
      <c r="J2864"/>
    </row>
    <row r="2865" spans="9:10" x14ac:dyDescent="0.45">
      <c r="I2865"/>
      <c r="J2865"/>
    </row>
    <row r="2866" spans="9:10" x14ac:dyDescent="0.45">
      <c r="I2866"/>
      <c r="J2866"/>
    </row>
    <row r="2867" spans="9:10" x14ac:dyDescent="0.45">
      <c r="I2867"/>
      <c r="J2867"/>
    </row>
    <row r="2868" spans="9:10" x14ac:dyDescent="0.45">
      <c r="I2868"/>
      <c r="J2868"/>
    </row>
    <row r="2869" spans="9:10" x14ac:dyDescent="0.45">
      <c r="I2869"/>
      <c r="J2869"/>
    </row>
    <row r="2870" spans="9:10" x14ac:dyDescent="0.45">
      <c r="I2870"/>
      <c r="J2870"/>
    </row>
    <row r="2871" spans="9:10" x14ac:dyDescent="0.45">
      <c r="I2871"/>
      <c r="J2871"/>
    </row>
    <row r="2872" spans="9:10" x14ac:dyDescent="0.45">
      <c r="I2872"/>
      <c r="J2872"/>
    </row>
    <row r="2873" spans="9:10" x14ac:dyDescent="0.45">
      <c r="I2873"/>
      <c r="J2873"/>
    </row>
    <row r="2874" spans="9:10" x14ac:dyDescent="0.45">
      <c r="I2874"/>
      <c r="J2874"/>
    </row>
    <row r="2875" spans="9:10" x14ac:dyDescent="0.45">
      <c r="I2875"/>
      <c r="J2875"/>
    </row>
    <row r="2876" spans="9:10" x14ac:dyDescent="0.45">
      <c r="I2876"/>
      <c r="J2876"/>
    </row>
    <row r="2877" spans="9:10" x14ac:dyDescent="0.45">
      <c r="I2877"/>
      <c r="J2877"/>
    </row>
    <row r="2878" spans="9:10" x14ac:dyDescent="0.45">
      <c r="I2878"/>
      <c r="J2878"/>
    </row>
    <row r="2879" spans="9:10" x14ac:dyDescent="0.45">
      <c r="I2879"/>
      <c r="J2879"/>
    </row>
    <row r="2880" spans="9:10" x14ac:dyDescent="0.45">
      <c r="I2880"/>
      <c r="J2880"/>
    </row>
    <row r="2881" spans="9:10" x14ac:dyDescent="0.45">
      <c r="I2881"/>
      <c r="J2881"/>
    </row>
    <row r="2882" spans="9:10" x14ac:dyDescent="0.45">
      <c r="I2882"/>
      <c r="J2882"/>
    </row>
    <row r="2883" spans="9:10" x14ac:dyDescent="0.45">
      <c r="I2883"/>
      <c r="J2883"/>
    </row>
    <row r="2884" spans="9:10" x14ac:dyDescent="0.45">
      <c r="I2884"/>
      <c r="J2884"/>
    </row>
    <row r="2885" spans="9:10" x14ac:dyDescent="0.45">
      <c r="I2885"/>
      <c r="J2885"/>
    </row>
    <row r="2886" spans="9:10" x14ac:dyDescent="0.45">
      <c r="I2886"/>
      <c r="J2886"/>
    </row>
    <row r="2887" spans="9:10" x14ac:dyDescent="0.45">
      <c r="I2887"/>
      <c r="J2887"/>
    </row>
    <row r="2888" spans="9:10" x14ac:dyDescent="0.45">
      <c r="I2888"/>
      <c r="J2888"/>
    </row>
    <row r="2889" spans="9:10" x14ac:dyDescent="0.45">
      <c r="I2889"/>
      <c r="J2889"/>
    </row>
    <row r="2890" spans="9:10" x14ac:dyDescent="0.45">
      <c r="I2890"/>
      <c r="J2890"/>
    </row>
    <row r="2891" spans="9:10" x14ac:dyDescent="0.45">
      <c r="I2891"/>
      <c r="J2891"/>
    </row>
    <row r="2892" spans="9:10" x14ac:dyDescent="0.45">
      <c r="I2892"/>
      <c r="J2892"/>
    </row>
    <row r="2893" spans="9:10" x14ac:dyDescent="0.45">
      <c r="I2893"/>
      <c r="J2893"/>
    </row>
    <row r="2894" spans="9:10" x14ac:dyDescent="0.45">
      <c r="I2894"/>
      <c r="J2894"/>
    </row>
    <row r="2895" spans="9:10" x14ac:dyDescent="0.45">
      <c r="I2895"/>
      <c r="J2895"/>
    </row>
    <row r="2896" spans="9:10" x14ac:dyDescent="0.45">
      <c r="I2896"/>
      <c r="J2896"/>
    </row>
    <row r="2897" spans="9:10" x14ac:dyDescent="0.45">
      <c r="I2897"/>
      <c r="J2897"/>
    </row>
    <row r="2898" spans="9:10" x14ac:dyDescent="0.45">
      <c r="I2898"/>
      <c r="J2898"/>
    </row>
    <row r="2899" spans="9:10" x14ac:dyDescent="0.45">
      <c r="I2899"/>
      <c r="J2899"/>
    </row>
    <row r="2900" spans="9:10" x14ac:dyDescent="0.45">
      <c r="I2900"/>
      <c r="J2900"/>
    </row>
    <row r="2901" spans="9:10" x14ac:dyDescent="0.45">
      <c r="I2901"/>
      <c r="J2901"/>
    </row>
    <row r="2902" spans="9:10" x14ac:dyDescent="0.45">
      <c r="I2902"/>
      <c r="J2902"/>
    </row>
    <row r="2903" spans="9:10" x14ac:dyDescent="0.45">
      <c r="I2903"/>
      <c r="J2903"/>
    </row>
    <row r="2904" spans="9:10" x14ac:dyDescent="0.45">
      <c r="I2904"/>
      <c r="J2904"/>
    </row>
    <row r="2905" spans="9:10" x14ac:dyDescent="0.45">
      <c r="I2905"/>
      <c r="J2905"/>
    </row>
    <row r="2906" spans="9:10" x14ac:dyDescent="0.45">
      <c r="I2906"/>
      <c r="J2906"/>
    </row>
    <row r="2907" spans="9:10" x14ac:dyDescent="0.45">
      <c r="I2907"/>
      <c r="J2907"/>
    </row>
    <row r="2908" spans="9:10" x14ac:dyDescent="0.45">
      <c r="I2908"/>
      <c r="J2908"/>
    </row>
    <row r="2909" spans="9:10" x14ac:dyDescent="0.45">
      <c r="I2909"/>
      <c r="J2909"/>
    </row>
    <row r="2910" spans="9:10" x14ac:dyDescent="0.45">
      <c r="I2910"/>
      <c r="J2910"/>
    </row>
    <row r="2911" spans="9:10" x14ac:dyDescent="0.45">
      <c r="I2911"/>
      <c r="J2911"/>
    </row>
    <row r="2912" spans="9:10" x14ac:dyDescent="0.45">
      <c r="I2912"/>
      <c r="J2912"/>
    </row>
    <row r="2913" spans="9:10" x14ac:dyDescent="0.45">
      <c r="I2913"/>
      <c r="J2913"/>
    </row>
    <row r="2914" spans="9:10" x14ac:dyDescent="0.45">
      <c r="I2914"/>
      <c r="J2914"/>
    </row>
    <row r="2915" spans="9:10" x14ac:dyDescent="0.45">
      <c r="I2915"/>
      <c r="J2915"/>
    </row>
    <row r="2916" spans="9:10" x14ac:dyDescent="0.45">
      <c r="I2916"/>
      <c r="J2916"/>
    </row>
    <row r="2917" spans="9:10" x14ac:dyDescent="0.45">
      <c r="I2917"/>
      <c r="J2917"/>
    </row>
    <row r="2918" spans="9:10" x14ac:dyDescent="0.45">
      <c r="I2918"/>
      <c r="J2918"/>
    </row>
    <row r="2919" spans="9:10" x14ac:dyDescent="0.45">
      <c r="I2919"/>
      <c r="J2919"/>
    </row>
    <row r="2920" spans="9:10" x14ac:dyDescent="0.45">
      <c r="I2920"/>
      <c r="J2920"/>
    </row>
    <row r="2921" spans="9:10" x14ac:dyDescent="0.45">
      <c r="I2921"/>
      <c r="J2921"/>
    </row>
    <row r="2922" spans="9:10" x14ac:dyDescent="0.45">
      <c r="I2922"/>
      <c r="J2922"/>
    </row>
    <row r="2923" spans="9:10" x14ac:dyDescent="0.45">
      <c r="I2923"/>
      <c r="J2923"/>
    </row>
    <row r="2924" spans="9:10" x14ac:dyDescent="0.45">
      <c r="I2924"/>
      <c r="J2924"/>
    </row>
    <row r="2925" spans="9:10" x14ac:dyDescent="0.45">
      <c r="I2925"/>
      <c r="J2925"/>
    </row>
    <row r="2926" spans="9:10" x14ac:dyDescent="0.45">
      <c r="I2926"/>
      <c r="J2926"/>
    </row>
    <row r="2927" spans="9:10" x14ac:dyDescent="0.45">
      <c r="I2927"/>
      <c r="J2927"/>
    </row>
    <row r="2928" spans="9:10" x14ac:dyDescent="0.45">
      <c r="I2928"/>
      <c r="J2928"/>
    </row>
    <row r="2929" spans="9:10" x14ac:dyDescent="0.45">
      <c r="I2929"/>
      <c r="J2929"/>
    </row>
    <row r="2930" spans="9:10" x14ac:dyDescent="0.45">
      <c r="I2930"/>
      <c r="J2930"/>
    </row>
    <row r="2931" spans="9:10" x14ac:dyDescent="0.45">
      <c r="I2931"/>
      <c r="J2931"/>
    </row>
    <row r="2932" spans="9:10" x14ac:dyDescent="0.45">
      <c r="I2932"/>
      <c r="J2932"/>
    </row>
    <row r="2933" spans="9:10" x14ac:dyDescent="0.45">
      <c r="I2933"/>
      <c r="J2933"/>
    </row>
    <row r="2934" spans="9:10" x14ac:dyDescent="0.45">
      <c r="I2934"/>
      <c r="J2934"/>
    </row>
    <row r="2935" spans="9:10" x14ac:dyDescent="0.45">
      <c r="I2935"/>
      <c r="J2935"/>
    </row>
    <row r="2936" spans="9:10" x14ac:dyDescent="0.45">
      <c r="I2936"/>
      <c r="J2936"/>
    </row>
    <row r="2937" spans="9:10" x14ac:dyDescent="0.45">
      <c r="I2937"/>
      <c r="J2937"/>
    </row>
    <row r="2938" spans="9:10" x14ac:dyDescent="0.45">
      <c r="I2938"/>
      <c r="J2938"/>
    </row>
    <row r="2939" spans="9:10" x14ac:dyDescent="0.45">
      <c r="I2939"/>
      <c r="J2939"/>
    </row>
    <row r="2940" spans="9:10" x14ac:dyDescent="0.45">
      <c r="I2940"/>
      <c r="J2940"/>
    </row>
    <row r="2941" spans="9:10" x14ac:dyDescent="0.45">
      <c r="I2941"/>
      <c r="J2941"/>
    </row>
    <row r="2942" spans="9:10" x14ac:dyDescent="0.45">
      <c r="I2942"/>
      <c r="J2942"/>
    </row>
    <row r="2943" spans="9:10" x14ac:dyDescent="0.45">
      <c r="I2943"/>
      <c r="J2943"/>
    </row>
    <row r="2944" spans="9:10" x14ac:dyDescent="0.45">
      <c r="I2944"/>
      <c r="J2944"/>
    </row>
    <row r="2945" spans="9:10" x14ac:dyDescent="0.45">
      <c r="I2945"/>
      <c r="J2945"/>
    </row>
    <row r="2946" spans="9:10" x14ac:dyDescent="0.45">
      <c r="I2946"/>
      <c r="J2946"/>
    </row>
    <row r="2947" spans="9:10" x14ac:dyDescent="0.45">
      <c r="I2947"/>
      <c r="J2947"/>
    </row>
    <row r="2948" spans="9:10" x14ac:dyDescent="0.45">
      <c r="I2948"/>
      <c r="J2948"/>
    </row>
    <row r="2949" spans="9:10" x14ac:dyDescent="0.45">
      <c r="I2949"/>
      <c r="J2949"/>
    </row>
    <row r="2950" spans="9:10" x14ac:dyDescent="0.45">
      <c r="I2950"/>
      <c r="J2950"/>
    </row>
    <row r="2951" spans="9:10" x14ac:dyDescent="0.45">
      <c r="I2951"/>
      <c r="J2951"/>
    </row>
    <row r="2952" spans="9:10" x14ac:dyDescent="0.45">
      <c r="I2952"/>
      <c r="J2952"/>
    </row>
    <row r="2953" spans="9:10" x14ac:dyDescent="0.45">
      <c r="I2953"/>
      <c r="J2953"/>
    </row>
    <row r="2954" spans="9:10" x14ac:dyDescent="0.45">
      <c r="I2954"/>
      <c r="J2954"/>
    </row>
    <row r="2955" spans="9:10" x14ac:dyDescent="0.45">
      <c r="I2955"/>
      <c r="J2955"/>
    </row>
    <row r="2956" spans="9:10" x14ac:dyDescent="0.45">
      <c r="I2956"/>
      <c r="J2956"/>
    </row>
    <row r="2957" spans="9:10" x14ac:dyDescent="0.45">
      <c r="I2957"/>
      <c r="J2957"/>
    </row>
    <row r="2958" spans="9:10" x14ac:dyDescent="0.45">
      <c r="I2958"/>
      <c r="J2958"/>
    </row>
    <row r="2959" spans="9:10" x14ac:dyDescent="0.45">
      <c r="I2959"/>
      <c r="J2959"/>
    </row>
    <row r="2960" spans="9:10" x14ac:dyDescent="0.45">
      <c r="I2960"/>
      <c r="J2960"/>
    </row>
    <row r="2961" spans="9:10" x14ac:dyDescent="0.45">
      <c r="I2961"/>
      <c r="J2961"/>
    </row>
    <row r="2962" spans="9:10" x14ac:dyDescent="0.45">
      <c r="I2962"/>
      <c r="J2962"/>
    </row>
    <row r="2963" spans="9:10" x14ac:dyDescent="0.45">
      <c r="I2963"/>
      <c r="J2963"/>
    </row>
    <row r="2964" spans="9:10" x14ac:dyDescent="0.45">
      <c r="I2964"/>
      <c r="J2964"/>
    </row>
    <row r="2965" spans="9:10" x14ac:dyDescent="0.45">
      <c r="I2965"/>
      <c r="J2965"/>
    </row>
    <row r="2966" spans="9:10" x14ac:dyDescent="0.45">
      <c r="I2966"/>
      <c r="J2966"/>
    </row>
    <row r="2967" spans="9:10" x14ac:dyDescent="0.45">
      <c r="I2967"/>
      <c r="J2967"/>
    </row>
    <row r="2968" spans="9:10" x14ac:dyDescent="0.45">
      <c r="I2968"/>
      <c r="J2968"/>
    </row>
    <row r="2969" spans="9:10" x14ac:dyDescent="0.45">
      <c r="I2969"/>
      <c r="J2969"/>
    </row>
    <row r="2970" spans="9:10" x14ac:dyDescent="0.45">
      <c r="I2970"/>
      <c r="J2970"/>
    </row>
    <row r="2971" spans="9:10" x14ac:dyDescent="0.45">
      <c r="I2971"/>
      <c r="J2971"/>
    </row>
    <row r="2972" spans="9:10" x14ac:dyDescent="0.45">
      <c r="I2972"/>
      <c r="J2972"/>
    </row>
    <row r="2973" spans="9:10" x14ac:dyDescent="0.45">
      <c r="I2973"/>
      <c r="J2973"/>
    </row>
    <row r="2974" spans="9:10" x14ac:dyDescent="0.45">
      <c r="I2974"/>
      <c r="J2974"/>
    </row>
    <row r="2975" spans="9:10" x14ac:dyDescent="0.45">
      <c r="I2975"/>
      <c r="J2975"/>
    </row>
    <row r="2976" spans="9:10" x14ac:dyDescent="0.45">
      <c r="I2976"/>
      <c r="J2976"/>
    </row>
    <row r="2977" spans="9:10" x14ac:dyDescent="0.45">
      <c r="I2977"/>
      <c r="J2977"/>
    </row>
    <row r="2978" spans="9:10" x14ac:dyDescent="0.45">
      <c r="I2978"/>
      <c r="J2978"/>
    </row>
    <row r="2979" spans="9:10" x14ac:dyDescent="0.45">
      <c r="I2979"/>
      <c r="J2979"/>
    </row>
    <row r="2980" spans="9:10" x14ac:dyDescent="0.45">
      <c r="I2980"/>
      <c r="J2980"/>
    </row>
    <row r="2981" spans="9:10" x14ac:dyDescent="0.45">
      <c r="I2981"/>
      <c r="J2981"/>
    </row>
    <row r="2982" spans="9:10" x14ac:dyDescent="0.45">
      <c r="I2982"/>
      <c r="J2982"/>
    </row>
    <row r="2983" spans="9:10" x14ac:dyDescent="0.45">
      <c r="I2983"/>
      <c r="J2983"/>
    </row>
    <row r="2984" spans="9:10" x14ac:dyDescent="0.45">
      <c r="I2984"/>
      <c r="J2984"/>
    </row>
    <row r="2985" spans="9:10" x14ac:dyDescent="0.45">
      <c r="I2985"/>
      <c r="J2985"/>
    </row>
    <row r="2986" spans="9:10" x14ac:dyDescent="0.45">
      <c r="I2986"/>
      <c r="J2986"/>
    </row>
    <row r="2987" spans="9:10" x14ac:dyDescent="0.45">
      <c r="I2987"/>
      <c r="J2987"/>
    </row>
    <row r="2988" spans="9:10" x14ac:dyDescent="0.45">
      <c r="I2988"/>
      <c r="J2988"/>
    </row>
    <row r="2989" spans="9:10" x14ac:dyDescent="0.45">
      <c r="I2989"/>
      <c r="J2989"/>
    </row>
    <row r="2990" spans="9:10" x14ac:dyDescent="0.45">
      <c r="I2990"/>
      <c r="J2990"/>
    </row>
    <row r="2991" spans="9:10" x14ac:dyDescent="0.45">
      <c r="I2991"/>
      <c r="J2991"/>
    </row>
    <row r="2992" spans="9:10" x14ac:dyDescent="0.45">
      <c r="I2992"/>
      <c r="J2992"/>
    </row>
    <row r="2993" spans="9:10" x14ac:dyDescent="0.45">
      <c r="I2993"/>
      <c r="J2993"/>
    </row>
    <row r="2994" spans="9:10" x14ac:dyDescent="0.45">
      <c r="I2994"/>
      <c r="J2994"/>
    </row>
    <row r="2995" spans="9:10" x14ac:dyDescent="0.45">
      <c r="I2995"/>
      <c r="J2995"/>
    </row>
    <row r="2996" spans="9:10" x14ac:dyDescent="0.45">
      <c r="I2996"/>
      <c r="J2996"/>
    </row>
    <row r="2997" spans="9:10" x14ac:dyDescent="0.45">
      <c r="I2997"/>
      <c r="J2997"/>
    </row>
    <row r="2998" spans="9:10" x14ac:dyDescent="0.45">
      <c r="I2998"/>
      <c r="J2998"/>
    </row>
    <row r="2999" spans="9:10" x14ac:dyDescent="0.45">
      <c r="I2999"/>
      <c r="J2999"/>
    </row>
    <row r="3000" spans="9:10" x14ac:dyDescent="0.45">
      <c r="I3000"/>
      <c r="J3000"/>
    </row>
    <row r="3001" spans="9:10" x14ac:dyDescent="0.45">
      <c r="I3001"/>
      <c r="J3001"/>
    </row>
    <row r="3002" spans="9:10" x14ac:dyDescent="0.45">
      <c r="I3002"/>
      <c r="J3002"/>
    </row>
    <row r="3003" spans="9:10" x14ac:dyDescent="0.45">
      <c r="I3003"/>
      <c r="J3003"/>
    </row>
    <row r="3004" spans="9:10" x14ac:dyDescent="0.45">
      <c r="I3004"/>
      <c r="J3004"/>
    </row>
    <row r="3005" spans="9:10" x14ac:dyDescent="0.45">
      <c r="I3005"/>
      <c r="J3005"/>
    </row>
    <row r="3006" spans="9:10" x14ac:dyDescent="0.45">
      <c r="I3006"/>
      <c r="J3006"/>
    </row>
    <row r="3007" spans="9:10" x14ac:dyDescent="0.45">
      <c r="I3007"/>
      <c r="J3007"/>
    </row>
    <row r="3008" spans="9:10" x14ac:dyDescent="0.45">
      <c r="I3008"/>
      <c r="J3008"/>
    </row>
    <row r="3009" spans="9:10" x14ac:dyDescent="0.45">
      <c r="I3009"/>
      <c r="J3009"/>
    </row>
    <row r="3010" spans="9:10" x14ac:dyDescent="0.45">
      <c r="I3010"/>
      <c r="J3010"/>
    </row>
    <row r="3011" spans="9:10" x14ac:dyDescent="0.45">
      <c r="I3011"/>
      <c r="J3011"/>
    </row>
    <row r="3012" spans="9:10" x14ac:dyDescent="0.45">
      <c r="I3012"/>
      <c r="J3012"/>
    </row>
    <row r="3013" spans="9:10" x14ac:dyDescent="0.45">
      <c r="I3013"/>
      <c r="J3013"/>
    </row>
    <row r="3014" spans="9:10" x14ac:dyDescent="0.45">
      <c r="I3014"/>
      <c r="J3014"/>
    </row>
    <row r="3015" spans="9:10" x14ac:dyDescent="0.45">
      <c r="I3015"/>
      <c r="J3015"/>
    </row>
    <row r="3016" spans="9:10" x14ac:dyDescent="0.45">
      <c r="I3016"/>
      <c r="J3016"/>
    </row>
    <row r="3017" spans="9:10" x14ac:dyDescent="0.45">
      <c r="I3017"/>
      <c r="J3017"/>
    </row>
    <row r="3018" spans="9:10" x14ac:dyDescent="0.45">
      <c r="I3018"/>
      <c r="J3018"/>
    </row>
    <row r="3019" spans="9:10" x14ac:dyDescent="0.45">
      <c r="I3019"/>
      <c r="J3019"/>
    </row>
    <row r="3020" spans="9:10" x14ac:dyDescent="0.45">
      <c r="I3020"/>
      <c r="J3020"/>
    </row>
    <row r="3021" spans="9:10" x14ac:dyDescent="0.45">
      <c r="I3021"/>
      <c r="J3021"/>
    </row>
    <row r="3022" spans="9:10" x14ac:dyDescent="0.45">
      <c r="I3022"/>
      <c r="J3022"/>
    </row>
    <row r="3023" spans="9:10" x14ac:dyDescent="0.45">
      <c r="I3023"/>
      <c r="J3023"/>
    </row>
    <row r="3024" spans="9:10" x14ac:dyDescent="0.45">
      <c r="I3024"/>
      <c r="J3024"/>
    </row>
    <row r="3025" spans="9:10" x14ac:dyDescent="0.45">
      <c r="I3025"/>
      <c r="J3025"/>
    </row>
    <row r="3026" spans="9:10" x14ac:dyDescent="0.45">
      <c r="I3026"/>
      <c r="J3026"/>
    </row>
    <row r="3027" spans="9:10" x14ac:dyDescent="0.45">
      <c r="I3027"/>
      <c r="J3027"/>
    </row>
    <row r="3028" spans="9:10" x14ac:dyDescent="0.45">
      <c r="I3028"/>
      <c r="J3028"/>
    </row>
    <row r="3029" spans="9:10" x14ac:dyDescent="0.45">
      <c r="I3029"/>
      <c r="J3029"/>
    </row>
    <row r="3030" spans="9:10" x14ac:dyDescent="0.45">
      <c r="I3030"/>
      <c r="J3030"/>
    </row>
    <row r="3031" spans="9:10" x14ac:dyDescent="0.45">
      <c r="I3031"/>
      <c r="J3031"/>
    </row>
    <row r="3032" spans="9:10" x14ac:dyDescent="0.45">
      <c r="I3032"/>
      <c r="J3032"/>
    </row>
    <row r="3033" spans="9:10" x14ac:dyDescent="0.45">
      <c r="I3033"/>
      <c r="J3033"/>
    </row>
    <row r="3034" spans="9:10" x14ac:dyDescent="0.45">
      <c r="I3034"/>
      <c r="J3034"/>
    </row>
    <row r="3035" spans="9:10" x14ac:dyDescent="0.45">
      <c r="I3035"/>
      <c r="J3035"/>
    </row>
    <row r="3036" spans="9:10" x14ac:dyDescent="0.45">
      <c r="I3036"/>
      <c r="J3036"/>
    </row>
    <row r="3037" spans="9:10" x14ac:dyDescent="0.45">
      <c r="I3037"/>
      <c r="J3037"/>
    </row>
    <row r="3038" spans="9:10" x14ac:dyDescent="0.45">
      <c r="I3038"/>
      <c r="J3038"/>
    </row>
    <row r="3039" spans="9:10" x14ac:dyDescent="0.45">
      <c r="I3039"/>
      <c r="J3039"/>
    </row>
    <row r="3040" spans="9:10" x14ac:dyDescent="0.45">
      <c r="I3040"/>
      <c r="J3040"/>
    </row>
    <row r="3041" spans="9:10" x14ac:dyDescent="0.45">
      <c r="I3041"/>
      <c r="J3041"/>
    </row>
    <row r="3042" spans="9:10" x14ac:dyDescent="0.45">
      <c r="I3042"/>
      <c r="J3042"/>
    </row>
    <row r="3043" spans="9:10" x14ac:dyDescent="0.45">
      <c r="I3043"/>
      <c r="J3043"/>
    </row>
    <row r="3044" spans="9:10" x14ac:dyDescent="0.45">
      <c r="I3044"/>
      <c r="J3044"/>
    </row>
    <row r="3045" spans="9:10" x14ac:dyDescent="0.45">
      <c r="I3045"/>
      <c r="J3045"/>
    </row>
    <row r="3046" spans="9:10" x14ac:dyDescent="0.45">
      <c r="I3046"/>
      <c r="J3046"/>
    </row>
    <row r="3047" spans="9:10" x14ac:dyDescent="0.45">
      <c r="I3047"/>
      <c r="J3047"/>
    </row>
    <row r="3048" spans="9:10" x14ac:dyDescent="0.45">
      <c r="I3048"/>
      <c r="J3048"/>
    </row>
    <row r="3049" spans="9:10" x14ac:dyDescent="0.45">
      <c r="I3049"/>
      <c r="J3049"/>
    </row>
    <row r="3050" spans="9:10" x14ac:dyDescent="0.45">
      <c r="I3050"/>
      <c r="J3050"/>
    </row>
    <row r="3051" spans="9:10" x14ac:dyDescent="0.45">
      <c r="I3051"/>
      <c r="J3051"/>
    </row>
    <row r="3052" spans="9:10" x14ac:dyDescent="0.45">
      <c r="I3052"/>
      <c r="J3052"/>
    </row>
    <row r="3053" spans="9:10" x14ac:dyDescent="0.45">
      <c r="I3053"/>
      <c r="J3053"/>
    </row>
    <row r="3054" spans="9:10" x14ac:dyDescent="0.45">
      <c r="I3054"/>
      <c r="J3054"/>
    </row>
    <row r="3055" spans="9:10" x14ac:dyDescent="0.45">
      <c r="I3055"/>
      <c r="J3055"/>
    </row>
    <row r="3056" spans="9:10" x14ac:dyDescent="0.45">
      <c r="I3056"/>
      <c r="J3056"/>
    </row>
    <row r="3057" spans="9:10" x14ac:dyDescent="0.45">
      <c r="I3057"/>
      <c r="J3057"/>
    </row>
    <row r="3058" spans="9:10" x14ac:dyDescent="0.45">
      <c r="I3058"/>
      <c r="J3058"/>
    </row>
    <row r="3059" spans="9:10" x14ac:dyDescent="0.45">
      <c r="I3059"/>
      <c r="J3059"/>
    </row>
    <row r="3060" spans="9:10" x14ac:dyDescent="0.45">
      <c r="I3060"/>
      <c r="J3060"/>
    </row>
    <row r="3061" spans="9:10" x14ac:dyDescent="0.45">
      <c r="I3061"/>
      <c r="J3061"/>
    </row>
    <row r="3062" spans="9:10" x14ac:dyDescent="0.45">
      <c r="I3062"/>
      <c r="J3062"/>
    </row>
    <row r="3063" spans="9:10" x14ac:dyDescent="0.45">
      <c r="I3063"/>
      <c r="J3063"/>
    </row>
    <row r="3064" spans="9:10" x14ac:dyDescent="0.45">
      <c r="I3064"/>
      <c r="J3064"/>
    </row>
    <row r="3065" spans="9:10" x14ac:dyDescent="0.45">
      <c r="I3065"/>
      <c r="J3065"/>
    </row>
    <row r="3066" spans="9:10" x14ac:dyDescent="0.45">
      <c r="I3066"/>
      <c r="J3066"/>
    </row>
    <row r="3067" spans="9:10" x14ac:dyDescent="0.45">
      <c r="I3067"/>
      <c r="J3067"/>
    </row>
    <row r="3068" spans="9:10" x14ac:dyDescent="0.45">
      <c r="I3068"/>
      <c r="J3068"/>
    </row>
    <row r="3069" spans="9:10" x14ac:dyDescent="0.45">
      <c r="I3069"/>
      <c r="J3069"/>
    </row>
    <row r="3070" spans="9:10" x14ac:dyDescent="0.45">
      <c r="I3070"/>
      <c r="J3070"/>
    </row>
    <row r="3071" spans="9:10" x14ac:dyDescent="0.45">
      <c r="I3071"/>
      <c r="J3071"/>
    </row>
    <row r="3072" spans="9:10" x14ac:dyDescent="0.45">
      <c r="I3072"/>
      <c r="J3072"/>
    </row>
    <row r="3073" spans="9:10" x14ac:dyDescent="0.45">
      <c r="I3073"/>
      <c r="J3073"/>
    </row>
    <row r="3074" spans="9:10" x14ac:dyDescent="0.45">
      <c r="I3074"/>
      <c r="J3074"/>
    </row>
    <row r="3075" spans="9:10" x14ac:dyDescent="0.45">
      <c r="I3075"/>
      <c r="J3075"/>
    </row>
    <row r="3076" spans="9:10" x14ac:dyDescent="0.45">
      <c r="I3076"/>
      <c r="J3076"/>
    </row>
    <row r="3077" spans="9:10" x14ac:dyDescent="0.45">
      <c r="I3077"/>
      <c r="J3077"/>
    </row>
    <row r="3078" spans="9:10" x14ac:dyDescent="0.45">
      <c r="I3078"/>
      <c r="J3078"/>
    </row>
    <row r="3079" spans="9:10" x14ac:dyDescent="0.45">
      <c r="I3079"/>
      <c r="J3079"/>
    </row>
    <row r="3080" spans="9:10" x14ac:dyDescent="0.45">
      <c r="I3080"/>
      <c r="J3080"/>
    </row>
    <row r="3081" spans="9:10" x14ac:dyDescent="0.45">
      <c r="I3081"/>
      <c r="J3081"/>
    </row>
    <row r="3082" spans="9:10" x14ac:dyDescent="0.45">
      <c r="I3082"/>
      <c r="J3082"/>
    </row>
    <row r="3083" spans="9:10" x14ac:dyDescent="0.45">
      <c r="I3083"/>
      <c r="J3083"/>
    </row>
    <row r="3084" spans="9:10" x14ac:dyDescent="0.45">
      <c r="I3084"/>
      <c r="J3084"/>
    </row>
    <row r="3085" spans="9:10" x14ac:dyDescent="0.45">
      <c r="I3085"/>
      <c r="J3085"/>
    </row>
    <row r="3086" spans="9:10" x14ac:dyDescent="0.45">
      <c r="I3086"/>
      <c r="J3086"/>
    </row>
    <row r="3087" spans="9:10" x14ac:dyDescent="0.45">
      <c r="I3087"/>
      <c r="J3087"/>
    </row>
    <row r="3088" spans="9:10" x14ac:dyDescent="0.45">
      <c r="I3088"/>
      <c r="J3088"/>
    </row>
    <row r="3089" spans="9:10" x14ac:dyDescent="0.45">
      <c r="I3089"/>
      <c r="J3089"/>
    </row>
    <row r="3090" spans="9:10" x14ac:dyDescent="0.45">
      <c r="I3090"/>
      <c r="J3090"/>
    </row>
    <row r="3091" spans="9:10" x14ac:dyDescent="0.45">
      <c r="I3091"/>
      <c r="J3091"/>
    </row>
    <row r="3092" spans="9:10" x14ac:dyDescent="0.45">
      <c r="I3092"/>
      <c r="J3092"/>
    </row>
    <row r="3093" spans="9:10" x14ac:dyDescent="0.45">
      <c r="I3093"/>
      <c r="J3093"/>
    </row>
    <row r="3094" spans="9:10" x14ac:dyDescent="0.45">
      <c r="I3094"/>
      <c r="J3094"/>
    </row>
    <row r="3095" spans="9:10" x14ac:dyDescent="0.45">
      <c r="I3095"/>
      <c r="J3095"/>
    </row>
    <row r="3096" spans="9:10" x14ac:dyDescent="0.45">
      <c r="I3096"/>
      <c r="J3096"/>
    </row>
    <row r="3097" spans="9:10" x14ac:dyDescent="0.45">
      <c r="I3097"/>
      <c r="J3097"/>
    </row>
    <row r="3098" spans="9:10" x14ac:dyDescent="0.45">
      <c r="I3098"/>
      <c r="J3098"/>
    </row>
    <row r="3099" spans="9:10" x14ac:dyDescent="0.45">
      <c r="I3099"/>
      <c r="J3099"/>
    </row>
    <row r="3100" spans="9:10" x14ac:dyDescent="0.45">
      <c r="I3100"/>
      <c r="J3100"/>
    </row>
    <row r="3101" spans="9:10" x14ac:dyDescent="0.45">
      <c r="I3101"/>
      <c r="J3101"/>
    </row>
    <row r="3102" spans="9:10" x14ac:dyDescent="0.45">
      <c r="I3102"/>
      <c r="J3102"/>
    </row>
    <row r="3103" spans="9:10" x14ac:dyDescent="0.45">
      <c r="I3103"/>
      <c r="J3103"/>
    </row>
    <row r="3104" spans="9:10" x14ac:dyDescent="0.45">
      <c r="I3104"/>
      <c r="J3104"/>
    </row>
    <row r="3105" spans="9:10" x14ac:dyDescent="0.45">
      <c r="I3105"/>
      <c r="J3105"/>
    </row>
    <row r="3106" spans="9:10" x14ac:dyDescent="0.45">
      <c r="I3106"/>
      <c r="J3106"/>
    </row>
    <row r="3107" spans="9:10" x14ac:dyDescent="0.45">
      <c r="I3107"/>
      <c r="J3107"/>
    </row>
    <row r="3108" spans="9:10" x14ac:dyDescent="0.45">
      <c r="I3108"/>
      <c r="J3108"/>
    </row>
    <row r="3109" spans="9:10" x14ac:dyDescent="0.45">
      <c r="I3109"/>
      <c r="J3109"/>
    </row>
    <row r="3110" spans="9:10" x14ac:dyDescent="0.45">
      <c r="I3110"/>
      <c r="J3110"/>
    </row>
    <row r="3111" spans="9:10" x14ac:dyDescent="0.45">
      <c r="I3111"/>
      <c r="J3111"/>
    </row>
    <row r="3112" spans="9:10" x14ac:dyDescent="0.45">
      <c r="I3112"/>
      <c r="J3112"/>
    </row>
    <row r="3113" spans="9:10" x14ac:dyDescent="0.45">
      <c r="I3113"/>
      <c r="J3113"/>
    </row>
    <row r="3114" spans="9:10" x14ac:dyDescent="0.45">
      <c r="I3114"/>
      <c r="J3114"/>
    </row>
    <row r="3115" spans="9:10" x14ac:dyDescent="0.45">
      <c r="I3115"/>
      <c r="J3115"/>
    </row>
    <row r="3116" spans="9:10" x14ac:dyDescent="0.45">
      <c r="I3116"/>
      <c r="J3116"/>
    </row>
    <row r="3117" spans="9:10" x14ac:dyDescent="0.45">
      <c r="I3117"/>
      <c r="J3117"/>
    </row>
    <row r="3118" spans="9:10" x14ac:dyDescent="0.45">
      <c r="I3118"/>
      <c r="J3118"/>
    </row>
    <row r="3119" spans="9:10" x14ac:dyDescent="0.45">
      <c r="I3119"/>
      <c r="J3119"/>
    </row>
    <row r="3120" spans="9:10" x14ac:dyDescent="0.45">
      <c r="I3120"/>
      <c r="J3120"/>
    </row>
    <row r="3121" spans="9:10" x14ac:dyDescent="0.45">
      <c r="I3121"/>
      <c r="J3121"/>
    </row>
    <row r="3122" spans="9:10" x14ac:dyDescent="0.45">
      <c r="I3122"/>
      <c r="J3122"/>
    </row>
    <row r="3123" spans="9:10" x14ac:dyDescent="0.45">
      <c r="I3123"/>
      <c r="J3123"/>
    </row>
    <row r="3124" spans="9:10" x14ac:dyDescent="0.45">
      <c r="I3124"/>
      <c r="J3124"/>
    </row>
    <row r="3125" spans="9:10" x14ac:dyDescent="0.45">
      <c r="I3125"/>
      <c r="J3125"/>
    </row>
    <row r="3126" spans="9:10" x14ac:dyDescent="0.45">
      <c r="I3126"/>
      <c r="J3126"/>
    </row>
    <row r="3127" spans="9:10" x14ac:dyDescent="0.45">
      <c r="I3127"/>
      <c r="J3127"/>
    </row>
    <row r="3128" spans="9:10" x14ac:dyDescent="0.45">
      <c r="I3128"/>
      <c r="J3128"/>
    </row>
    <row r="3129" spans="9:10" x14ac:dyDescent="0.45">
      <c r="I3129"/>
      <c r="J3129"/>
    </row>
    <row r="3130" spans="9:10" x14ac:dyDescent="0.45">
      <c r="I3130"/>
      <c r="J3130"/>
    </row>
    <row r="3131" spans="9:10" x14ac:dyDescent="0.45">
      <c r="I3131"/>
      <c r="J3131"/>
    </row>
    <row r="3132" spans="9:10" x14ac:dyDescent="0.45">
      <c r="I3132"/>
      <c r="J3132"/>
    </row>
    <row r="3133" spans="9:10" x14ac:dyDescent="0.45">
      <c r="I3133"/>
      <c r="J3133"/>
    </row>
    <row r="3134" spans="9:10" x14ac:dyDescent="0.45">
      <c r="I3134"/>
      <c r="J3134"/>
    </row>
    <row r="3135" spans="9:10" x14ac:dyDescent="0.45">
      <c r="I3135"/>
      <c r="J3135"/>
    </row>
    <row r="3136" spans="9:10" x14ac:dyDescent="0.45">
      <c r="I3136"/>
      <c r="J3136"/>
    </row>
    <row r="3137" spans="9:10" x14ac:dyDescent="0.45">
      <c r="I3137"/>
      <c r="J3137"/>
    </row>
    <row r="3138" spans="9:10" x14ac:dyDescent="0.45">
      <c r="I3138"/>
      <c r="J3138"/>
    </row>
    <row r="3139" spans="9:10" x14ac:dyDescent="0.45">
      <c r="I3139"/>
      <c r="J3139"/>
    </row>
    <row r="3140" spans="9:10" x14ac:dyDescent="0.45">
      <c r="I3140"/>
      <c r="J3140"/>
    </row>
    <row r="3141" spans="9:10" x14ac:dyDescent="0.45">
      <c r="I3141"/>
      <c r="J3141"/>
    </row>
    <row r="3142" spans="9:10" x14ac:dyDescent="0.45">
      <c r="I3142"/>
      <c r="J3142"/>
    </row>
    <row r="3143" spans="9:10" x14ac:dyDescent="0.45">
      <c r="I3143"/>
      <c r="J3143"/>
    </row>
    <row r="3144" spans="9:10" x14ac:dyDescent="0.45">
      <c r="I3144"/>
      <c r="J3144"/>
    </row>
    <row r="3145" spans="9:10" x14ac:dyDescent="0.45">
      <c r="I3145"/>
      <c r="J3145"/>
    </row>
    <row r="3146" spans="9:10" x14ac:dyDescent="0.45">
      <c r="I3146"/>
      <c r="J3146"/>
    </row>
    <row r="3147" spans="9:10" x14ac:dyDescent="0.45">
      <c r="I3147"/>
      <c r="J3147"/>
    </row>
    <row r="3148" spans="9:10" x14ac:dyDescent="0.45">
      <c r="I3148"/>
      <c r="J3148"/>
    </row>
    <row r="3149" spans="9:10" x14ac:dyDescent="0.45">
      <c r="I3149"/>
      <c r="J3149"/>
    </row>
    <row r="3150" spans="9:10" x14ac:dyDescent="0.45">
      <c r="I3150"/>
      <c r="J3150"/>
    </row>
    <row r="3151" spans="9:10" x14ac:dyDescent="0.45">
      <c r="I3151"/>
      <c r="J3151"/>
    </row>
    <row r="3152" spans="9:10" x14ac:dyDescent="0.45">
      <c r="I3152"/>
      <c r="J3152"/>
    </row>
    <row r="3153" spans="9:10" x14ac:dyDescent="0.45">
      <c r="I3153"/>
      <c r="J3153"/>
    </row>
    <row r="3154" spans="9:10" x14ac:dyDescent="0.45">
      <c r="I3154"/>
      <c r="J3154"/>
    </row>
    <row r="3155" spans="9:10" x14ac:dyDescent="0.45">
      <c r="I3155"/>
      <c r="J3155"/>
    </row>
    <row r="3156" spans="9:10" x14ac:dyDescent="0.45">
      <c r="I3156"/>
      <c r="J3156"/>
    </row>
    <row r="3157" spans="9:10" x14ac:dyDescent="0.45">
      <c r="I3157"/>
      <c r="J3157"/>
    </row>
    <row r="3158" spans="9:10" x14ac:dyDescent="0.45">
      <c r="I3158"/>
      <c r="J3158"/>
    </row>
    <row r="3159" spans="9:10" x14ac:dyDescent="0.45">
      <c r="I3159"/>
      <c r="J3159"/>
    </row>
    <row r="3160" spans="9:10" x14ac:dyDescent="0.45">
      <c r="I3160"/>
      <c r="J3160"/>
    </row>
    <row r="3161" spans="9:10" x14ac:dyDescent="0.45">
      <c r="I3161"/>
      <c r="J3161"/>
    </row>
    <row r="3162" spans="9:10" x14ac:dyDescent="0.45">
      <c r="I3162"/>
      <c r="J3162"/>
    </row>
    <row r="3163" spans="9:10" x14ac:dyDescent="0.45">
      <c r="I3163"/>
      <c r="J3163"/>
    </row>
    <row r="3164" spans="9:10" x14ac:dyDescent="0.45">
      <c r="I3164"/>
      <c r="J3164"/>
    </row>
    <row r="3165" spans="9:10" x14ac:dyDescent="0.45">
      <c r="I3165"/>
      <c r="J3165"/>
    </row>
    <row r="3166" spans="9:10" x14ac:dyDescent="0.45">
      <c r="I3166"/>
      <c r="J3166"/>
    </row>
    <row r="3167" spans="9:10" x14ac:dyDescent="0.45">
      <c r="I3167"/>
      <c r="J3167"/>
    </row>
    <row r="3168" spans="9:10" x14ac:dyDescent="0.45">
      <c r="I3168"/>
      <c r="J3168"/>
    </row>
    <row r="3169" spans="9:10" x14ac:dyDescent="0.45">
      <c r="I3169"/>
      <c r="J3169"/>
    </row>
    <row r="3170" spans="9:10" x14ac:dyDescent="0.45">
      <c r="I3170"/>
      <c r="J3170"/>
    </row>
    <row r="3171" spans="9:10" x14ac:dyDescent="0.45">
      <c r="I3171"/>
      <c r="J3171"/>
    </row>
    <row r="3172" spans="9:10" x14ac:dyDescent="0.45">
      <c r="I3172"/>
      <c r="J3172"/>
    </row>
    <row r="3173" spans="9:10" x14ac:dyDescent="0.45">
      <c r="I3173"/>
      <c r="J3173"/>
    </row>
    <row r="3174" spans="9:10" x14ac:dyDescent="0.45">
      <c r="I3174"/>
      <c r="J3174"/>
    </row>
    <row r="3175" spans="9:10" x14ac:dyDescent="0.45">
      <c r="I3175"/>
      <c r="J3175"/>
    </row>
    <row r="3176" spans="9:10" x14ac:dyDescent="0.45">
      <c r="I3176"/>
      <c r="J3176"/>
    </row>
    <row r="3177" spans="9:10" x14ac:dyDescent="0.45">
      <c r="I3177"/>
      <c r="J3177"/>
    </row>
    <row r="3178" spans="9:10" x14ac:dyDescent="0.45">
      <c r="I3178"/>
      <c r="J3178"/>
    </row>
    <row r="3179" spans="9:10" x14ac:dyDescent="0.45">
      <c r="I3179"/>
      <c r="J3179"/>
    </row>
    <row r="3180" spans="9:10" x14ac:dyDescent="0.45">
      <c r="I3180"/>
      <c r="J3180"/>
    </row>
    <row r="3181" spans="9:10" x14ac:dyDescent="0.45">
      <c r="I3181"/>
      <c r="J3181"/>
    </row>
    <row r="3182" spans="9:10" x14ac:dyDescent="0.45">
      <c r="I3182"/>
      <c r="J3182"/>
    </row>
    <row r="3183" spans="9:10" x14ac:dyDescent="0.45">
      <c r="I3183"/>
      <c r="J3183"/>
    </row>
    <row r="3184" spans="9:10" x14ac:dyDescent="0.45">
      <c r="I3184"/>
      <c r="J3184"/>
    </row>
    <row r="3185" spans="9:10" x14ac:dyDescent="0.45">
      <c r="I3185"/>
      <c r="J3185"/>
    </row>
    <row r="3186" spans="9:10" x14ac:dyDescent="0.45">
      <c r="I3186"/>
      <c r="J3186"/>
    </row>
    <row r="3187" spans="9:10" x14ac:dyDescent="0.45">
      <c r="I3187"/>
      <c r="J3187"/>
    </row>
    <row r="3188" spans="9:10" x14ac:dyDescent="0.45">
      <c r="I3188"/>
      <c r="J3188"/>
    </row>
    <row r="3189" spans="9:10" x14ac:dyDescent="0.45">
      <c r="I3189"/>
      <c r="J3189"/>
    </row>
    <row r="3190" spans="9:10" x14ac:dyDescent="0.45">
      <c r="I3190"/>
      <c r="J3190"/>
    </row>
    <row r="3191" spans="9:10" x14ac:dyDescent="0.45">
      <c r="I3191"/>
      <c r="J3191"/>
    </row>
    <row r="3192" spans="9:10" x14ac:dyDescent="0.45">
      <c r="I3192"/>
      <c r="J3192"/>
    </row>
    <row r="3193" spans="9:10" x14ac:dyDescent="0.45">
      <c r="I3193"/>
      <c r="J3193"/>
    </row>
    <row r="3194" spans="9:10" x14ac:dyDescent="0.45">
      <c r="I3194"/>
      <c r="J3194"/>
    </row>
    <row r="3195" spans="9:10" x14ac:dyDescent="0.45">
      <c r="I3195"/>
      <c r="J3195"/>
    </row>
    <row r="3196" spans="9:10" x14ac:dyDescent="0.45">
      <c r="I3196"/>
      <c r="J3196"/>
    </row>
    <row r="3197" spans="9:10" x14ac:dyDescent="0.45">
      <c r="I3197"/>
      <c r="J3197"/>
    </row>
    <row r="3198" spans="9:10" x14ac:dyDescent="0.45">
      <c r="I3198"/>
      <c r="J3198"/>
    </row>
    <row r="3199" spans="9:10" x14ac:dyDescent="0.45">
      <c r="I3199"/>
      <c r="J3199"/>
    </row>
    <row r="3200" spans="9:10" x14ac:dyDescent="0.45">
      <c r="I3200"/>
      <c r="J3200"/>
    </row>
    <row r="3201" spans="9:10" x14ac:dyDescent="0.45">
      <c r="I3201"/>
      <c r="J3201"/>
    </row>
    <row r="3202" spans="9:10" x14ac:dyDescent="0.45">
      <c r="I3202"/>
      <c r="J3202"/>
    </row>
    <row r="3203" spans="9:10" x14ac:dyDescent="0.45">
      <c r="I3203"/>
      <c r="J3203"/>
    </row>
    <row r="3204" spans="9:10" x14ac:dyDescent="0.45">
      <c r="I3204"/>
      <c r="J3204"/>
    </row>
    <row r="3205" spans="9:10" x14ac:dyDescent="0.45">
      <c r="I3205"/>
      <c r="J3205"/>
    </row>
    <row r="3206" spans="9:10" x14ac:dyDescent="0.45">
      <c r="I3206"/>
      <c r="J3206"/>
    </row>
    <row r="3207" spans="9:10" x14ac:dyDescent="0.45">
      <c r="I3207"/>
      <c r="J3207"/>
    </row>
    <row r="3208" spans="9:10" x14ac:dyDescent="0.45">
      <c r="I3208"/>
      <c r="J3208"/>
    </row>
    <row r="3209" spans="9:10" x14ac:dyDescent="0.45">
      <c r="I3209"/>
      <c r="J3209"/>
    </row>
    <row r="3210" spans="9:10" x14ac:dyDescent="0.45">
      <c r="I3210"/>
      <c r="J3210"/>
    </row>
    <row r="3211" spans="9:10" x14ac:dyDescent="0.45">
      <c r="I3211"/>
      <c r="J3211"/>
    </row>
    <row r="3212" spans="9:10" x14ac:dyDescent="0.45">
      <c r="I3212"/>
      <c r="J3212"/>
    </row>
    <row r="3213" spans="9:10" x14ac:dyDescent="0.45">
      <c r="I3213"/>
      <c r="J3213"/>
    </row>
    <row r="3214" spans="9:10" x14ac:dyDescent="0.45">
      <c r="I3214"/>
      <c r="J3214"/>
    </row>
    <row r="3215" spans="9:10" x14ac:dyDescent="0.45">
      <c r="I3215"/>
      <c r="J3215"/>
    </row>
    <row r="3216" spans="9:10" x14ac:dyDescent="0.45">
      <c r="I3216"/>
      <c r="J3216"/>
    </row>
    <row r="3217" spans="9:10" x14ac:dyDescent="0.45">
      <c r="I3217"/>
      <c r="J3217"/>
    </row>
    <row r="3218" spans="9:10" x14ac:dyDescent="0.45">
      <c r="I3218"/>
      <c r="J3218"/>
    </row>
    <row r="3219" spans="9:10" x14ac:dyDescent="0.45">
      <c r="I3219"/>
      <c r="J3219"/>
    </row>
    <row r="3220" spans="9:10" x14ac:dyDescent="0.45">
      <c r="I3220"/>
      <c r="J3220"/>
    </row>
    <row r="3221" spans="9:10" x14ac:dyDescent="0.45">
      <c r="I3221"/>
      <c r="J3221"/>
    </row>
    <row r="3222" spans="9:10" x14ac:dyDescent="0.45">
      <c r="I3222"/>
      <c r="J3222"/>
    </row>
    <row r="3223" spans="9:10" x14ac:dyDescent="0.45">
      <c r="I3223"/>
      <c r="J3223"/>
    </row>
    <row r="3224" spans="9:10" x14ac:dyDescent="0.45">
      <c r="I3224"/>
      <c r="J3224"/>
    </row>
    <row r="3225" spans="9:10" x14ac:dyDescent="0.45">
      <c r="I3225"/>
      <c r="J3225"/>
    </row>
    <row r="3226" spans="9:10" x14ac:dyDescent="0.45">
      <c r="I3226"/>
      <c r="J3226"/>
    </row>
    <row r="3227" spans="9:10" x14ac:dyDescent="0.45">
      <c r="I3227"/>
      <c r="J3227"/>
    </row>
    <row r="3228" spans="9:10" x14ac:dyDescent="0.45">
      <c r="I3228"/>
      <c r="J3228"/>
    </row>
    <row r="3229" spans="9:10" x14ac:dyDescent="0.45">
      <c r="I3229"/>
      <c r="J3229"/>
    </row>
    <row r="3230" spans="9:10" x14ac:dyDescent="0.45">
      <c r="I3230"/>
      <c r="J3230"/>
    </row>
    <row r="3231" spans="9:10" x14ac:dyDescent="0.45">
      <c r="I3231"/>
      <c r="J3231"/>
    </row>
    <row r="3232" spans="9:10" x14ac:dyDescent="0.45">
      <c r="I3232"/>
      <c r="J3232"/>
    </row>
    <row r="3233" spans="9:10" x14ac:dyDescent="0.45">
      <c r="I3233"/>
      <c r="J3233"/>
    </row>
    <row r="3234" spans="9:10" x14ac:dyDescent="0.45">
      <c r="I3234"/>
      <c r="J3234"/>
    </row>
    <row r="3235" spans="9:10" x14ac:dyDescent="0.45">
      <c r="I3235"/>
      <c r="J3235"/>
    </row>
    <row r="3236" spans="9:10" x14ac:dyDescent="0.45">
      <c r="I3236"/>
      <c r="J3236"/>
    </row>
    <row r="3237" spans="9:10" x14ac:dyDescent="0.45">
      <c r="I3237"/>
      <c r="J3237"/>
    </row>
    <row r="3238" spans="9:10" x14ac:dyDescent="0.45">
      <c r="I3238"/>
      <c r="J3238"/>
    </row>
    <row r="3239" spans="9:10" x14ac:dyDescent="0.45">
      <c r="I3239"/>
      <c r="J3239"/>
    </row>
    <row r="3240" spans="9:10" x14ac:dyDescent="0.45">
      <c r="I3240"/>
      <c r="J3240"/>
    </row>
    <row r="3241" spans="9:10" x14ac:dyDescent="0.45">
      <c r="I3241"/>
      <c r="J3241"/>
    </row>
    <row r="3242" spans="9:10" x14ac:dyDescent="0.45">
      <c r="I3242"/>
      <c r="J3242"/>
    </row>
    <row r="3243" spans="9:10" x14ac:dyDescent="0.45">
      <c r="I3243"/>
      <c r="J3243"/>
    </row>
    <row r="3244" spans="9:10" x14ac:dyDescent="0.45">
      <c r="I3244"/>
      <c r="J3244"/>
    </row>
    <row r="3245" spans="9:10" x14ac:dyDescent="0.45">
      <c r="I3245"/>
      <c r="J3245"/>
    </row>
    <row r="3246" spans="9:10" x14ac:dyDescent="0.45">
      <c r="I3246"/>
      <c r="J3246"/>
    </row>
    <row r="3247" spans="9:10" x14ac:dyDescent="0.45">
      <c r="I3247"/>
      <c r="J3247"/>
    </row>
    <row r="3248" spans="9:10" x14ac:dyDescent="0.45">
      <c r="I3248"/>
      <c r="J3248"/>
    </row>
    <row r="3249" spans="9:10" x14ac:dyDescent="0.45">
      <c r="I3249"/>
      <c r="J3249"/>
    </row>
    <row r="3250" spans="9:10" x14ac:dyDescent="0.45">
      <c r="I3250"/>
      <c r="J3250"/>
    </row>
    <row r="3251" spans="9:10" x14ac:dyDescent="0.45">
      <c r="I3251"/>
      <c r="J3251"/>
    </row>
    <row r="3252" spans="9:10" x14ac:dyDescent="0.45">
      <c r="I3252"/>
      <c r="J3252"/>
    </row>
    <row r="3253" spans="9:10" x14ac:dyDescent="0.45">
      <c r="I3253"/>
      <c r="J3253"/>
    </row>
    <row r="3254" spans="9:10" x14ac:dyDescent="0.45">
      <c r="I3254"/>
      <c r="J3254"/>
    </row>
    <row r="3255" spans="9:10" x14ac:dyDescent="0.45">
      <c r="I3255"/>
      <c r="J3255"/>
    </row>
    <row r="3256" spans="9:10" x14ac:dyDescent="0.45">
      <c r="I3256"/>
      <c r="J3256"/>
    </row>
    <row r="3257" spans="9:10" x14ac:dyDescent="0.45">
      <c r="I3257"/>
      <c r="J3257"/>
    </row>
    <row r="3258" spans="9:10" x14ac:dyDescent="0.45">
      <c r="I3258"/>
      <c r="J3258"/>
    </row>
    <row r="3259" spans="9:10" x14ac:dyDescent="0.45">
      <c r="I3259"/>
      <c r="J3259"/>
    </row>
    <row r="3260" spans="9:10" x14ac:dyDescent="0.45">
      <c r="I3260"/>
      <c r="J3260"/>
    </row>
    <row r="3261" spans="9:10" x14ac:dyDescent="0.45">
      <c r="I3261"/>
      <c r="J3261"/>
    </row>
    <row r="3262" spans="9:10" x14ac:dyDescent="0.45">
      <c r="I3262"/>
      <c r="J3262"/>
    </row>
    <row r="3263" spans="9:10" x14ac:dyDescent="0.45">
      <c r="I3263"/>
      <c r="J3263"/>
    </row>
    <row r="3264" spans="9:10" x14ac:dyDescent="0.45">
      <c r="I3264"/>
      <c r="J3264"/>
    </row>
    <row r="3265" spans="9:10" x14ac:dyDescent="0.45">
      <c r="I3265"/>
      <c r="J3265"/>
    </row>
    <row r="3266" spans="9:10" x14ac:dyDescent="0.45">
      <c r="I3266"/>
      <c r="J3266"/>
    </row>
    <row r="3267" spans="9:10" x14ac:dyDescent="0.45">
      <c r="I3267"/>
      <c r="J3267"/>
    </row>
    <row r="3268" spans="9:10" x14ac:dyDescent="0.45">
      <c r="I3268"/>
      <c r="J3268"/>
    </row>
    <row r="3269" spans="9:10" x14ac:dyDescent="0.45">
      <c r="I3269"/>
      <c r="J3269"/>
    </row>
    <row r="3270" spans="9:10" x14ac:dyDescent="0.45">
      <c r="I3270"/>
      <c r="J3270"/>
    </row>
    <row r="3271" spans="9:10" x14ac:dyDescent="0.45">
      <c r="I3271"/>
      <c r="J3271"/>
    </row>
    <row r="3272" spans="9:10" x14ac:dyDescent="0.45">
      <c r="I3272"/>
      <c r="J3272"/>
    </row>
    <row r="3273" spans="9:10" x14ac:dyDescent="0.45">
      <c r="I3273"/>
      <c r="J3273"/>
    </row>
    <row r="3274" spans="9:10" x14ac:dyDescent="0.45">
      <c r="I3274"/>
      <c r="J3274"/>
    </row>
    <row r="3275" spans="9:10" x14ac:dyDescent="0.45">
      <c r="I3275"/>
      <c r="J3275"/>
    </row>
    <row r="3276" spans="9:10" x14ac:dyDescent="0.45">
      <c r="I3276"/>
      <c r="J3276"/>
    </row>
    <row r="3277" spans="9:10" x14ac:dyDescent="0.45">
      <c r="I3277"/>
      <c r="J3277"/>
    </row>
    <row r="3278" spans="9:10" x14ac:dyDescent="0.45">
      <c r="I3278"/>
      <c r="J3278"/>
    </row>
    <row r="3279" spans="9:10" x14ac:dyDescent="0.45">
      <c r="I3279"/>
      <c r="J3279"/>
    </row>
    <row r="3280" spans="9:10" x14ac:dyDescent="0.45">
      <c r="I3280"/>
      <c r="J3280"/>
    </row>
    <row r="3281" spans="9:10" x14ac:dyDescent="0.45">
      <c r="I3281"/>
      <c r="J3281"/>
    </row>
    <row r="3282" spans="9:10" x14ac:dyDescent="0.45">
      <c r="I3282"/>
      <c r="J3282"/>
    </row>
    <row r="3283" spans="9:10" x14ac:dyDescent="0.45">
      <c r="I3283"/>
      <c r="J3283"/>
    </row>
    <row r="3284" spans="9:10" x14ac:dyDescent="0.45">
      <c r="I3284"/>
      <c r="J3284"/>
    </row>
    <row r="3285" spans="9:10" x14ac:dyDescent="0.45">
      <c r="I3285"/>
      <c r="J3285"/>
    </row>
    <row r="3286" spans="9:10" x14ac:dyDescent="0.45">
      <c r="I3286"/>
      <c r="J3286"/>
    </row>
    <row r="3287" spans="9:10" x14ac:dyDescent="0.45">
      <c r="I3287"/>
      <c r="J3287"/>
    </row>
    <row r="3288" spans="9:10" x14ac:dyDescent="0.45">
      <c r="I3288"/>
      <c r="J3288"/>
    </row>
    <row r="3289" spans="9:10" x14ac:dyDescent="0.45">
      <c r="I3289"/>
      <c r="J3289"/>
    </row>
    <row r="3290" spans="9:10" x14ac:dyDescent="0.45">
      <c r="I3290"/>
      <c r="J3290"/>
    </row>
    <row r="3291" spans="9:10" x14ac:dyDescent="0.45">
      <c r="I3291"/>
      <c r="J3291"/>
    </row>
    <row r="3292" spans="9:10" x14ac:dyDescent="0.45">
      <c r="I3292"/>
      <c r="J3292"/>
    </row>
    <row r="3293" spans="9:10" x14ac:dyDescent="0.45">
      <c r="I3293"/>
      <c r="J3293"/>
    </row>
    <row r="3294" spans="9:10" x14ac:dyDescent="0.45">
      <c r="I3294"/>
      <c r="J3294"/>
    </row>
    <row r="3295" spans="9:10" x14ac:dyDescent="0.45">
      <c r="I3295"/>
      <c r="J3295"/>
    </row>
    <row r="3296" spans="9:10" x14ac:dyDescent="0.45">
      <c r="I3296"/>
      <c r="J3296"/>
    </row>
    <row r="3297" spans="9:10" x14ac:dyDescent="0.45">
      <c r="I3297"/>
      <c r="J3297"/>
    </row>
    <row r="3298" spans="9:10" x14ac:dyDescent="0.45">
      <c r="I3298"/>
      <c r="J3298"/>
    </row>
    <row r="3299" spans="9:10" x14ac:dyDescent="0.45">
      <c r="I3299"/>
      <c r="J3299"/>
    </row>
    <row r="3300" spans="9:10" x14ac:dyDescent="0.45">
      <c r="I3300"/>
      <c r="J3300"/>
    </row>
    <row r="3301" spans="9:10" x14ac:dyDescent="0.45">
      <c r="I3301"/>
      <c r="J3301"/>
    </row>
    <row r="3302" spans="9:10" x14ac:dyDescent="0.45">
      <c r="I3302"/>
      <c r="J3302"/>
    </row>
    <row r="3303" spans="9:10" x14ac:dyDescent="0.45">
      <c r="I3303"/>
      <c r="J3303"/>
    </row>
    <row r="3304" spans="9:10" x14ac:dyDescent="0.45">
      <c r="I3304"/>
      <c r="J3304"/>
    </row>
    <row r="3305" spans="9:10" x14ac:dyDescent="0.45">
      <c r="I3305"/>
      <c r="J3305"/>
    </row>
    <row r="3306" spans="9:10" x14ac:dyDescent="0.45">
      <c r="I3306"/>
      <c r="J3306"/>
    </row>
    <row r="3307" spans="9:10" x14ac:dyDescent="0.45">
      <c r="I3307"/>
      <c r="J3307"/>
    </row>
    <row r="3308" spans="9:10" x14ac:dyDescent="0.45">
      <c r="I3308"/>
      <c r="J3308"/>
    </row>
    <row r="3309" spans="9:10" x14ac:dyDescent="0.45">
      <c r="I3309"/>
      <c r="J3309"/>
    </row>
    <row r="3310" spans="9:10" x14ac:dyDescent="0.45">
      <c r="I3310"/>
      <c r="J3310"/>
    </row>
    <row r="3311" spans="9:10" x14ac:dyDescent="0.45">
      <c r="I3311"/>
      <c r="J3311"/>
    </row>
    <row r="3312" spans="9:10" x14ac:dyDescent="0.45">
      <c r="I3312"/>
      <c r="J3312"/>
    </row>
    <row r="3313" spans="9:10" x14ac:dyDescent="0.45">
      <c r="I3313"/>
      <c r="J3313"/>
    </row>
    <row r="3314" spans="9:10" x14ac:dyDescent="0.45">
      <c r="I3314"/>
      <c r="J3314"/>
    </row>
    <row r="3315" spans="9:10" x14ac:dyDescent="0.45">
      <c r="I3315"/>
      <c r="J3315"/>
    </row>
    <row r="3316" spans="9:10" x14ac:dyDescent="0.45">
      <c r="I3316"/>
      <c r="J3316"/>
    </row>
    <row r="3317" spans="9:10" x14ac:dyDescent="0.45">
      <c r="I3317"/>
      <c r="J3317"/>
    </row>
    <row r="3318" spans="9:10" x14ac:dyDescent="0.45">
      <c r="I3318"/>
      <c r="J3318"/>
    </row>
    <row r="3319" spans="9:10" x14ac:dyDescent="0.45">
      <c r="I3319"/>
      <c r="J3319"/>
    </row>
    <row r="3320" spans="9:10" x14ac:dyDescent="0.45">
      <c r="I3320"/>
      <c r="J3320"/>
    </row>
    <row r="3321" spans="9:10" x14ac:dyDescent="0.45">
      <c r="I3321"/>
      <c r="J3321"/>
    </row>
    <row r="3322" spans="9:10" x14ac:dyDescent="0.45">
      <c r="I3322"/>
      <c r="J3322"/>
    </row>
    <row r="3323" spans="9:10" x14ac:dyDescent="0.45">
      <c r="I3323"/>
      <c r="J3323"/>
    </row>
    <row r="3324" spans="9:10" x14ac:dyDescent="0.45">
      <c r="I3324"/>
      <c r="J3324"/>
    </row>
    <row r="3325" spans="9:10" x14ac:dyDescent="0.45">
      <c r="I3325"/>
      <c r="J3325"/>
    </row>
    <row r="3326" spans="9:10" x14ac:dyDescent="0.45">
      <c r="I3326"/>
      <c r="J3326"/>
    </row>
    <row r="3327" spans="9:10" x14ac:dyDescent="0.45">
      <c r="I3327"/>
      <c r="J3327"/>
    </row>
    <row r="3328" spans="9:10" x14ac:dyDescent="0.45">
      <c r="I3328"/>
      <c r="J3328"/>
    </row>
    <row r="3329" spans="9:10" x14ac:dyDescent="0.45">
      <c r="I3329"/>
      <c r="J3329"/>
    </row>
    <row r="3330" spans="9:10" x14ac:dyDescent="0.45">
      <c r="I3330"/>
      <c r="J3330"/>
    </row>
    <row r="3331" spans="9:10" x14ac:dyDescent="0.45">
      <c r="I3331"/>
      <c r="J3331"/>
    </row>
    <row r="3332" spans="9:10" x14ac:dyDescent="0.45">
      <c r="I3332"/>
      <c r="J3332"/>
    </row>
    <row r="3333" spans="9:10" x14ac:dyDescent="0.45">
      <c r="I3333"/>
      <c r="J3333"/>
    </row>
    <row r="3334" spans="9:10" x14ac:dyDescent="0.45">
      <c r="I3334"/>
      <c r="J3334"/>
    </row>
    <row r="3335" spans="9:10" x14ac:dyDescent="0.45">
      <c r="I3335"/>
      <c r="J3335"/>
    </row>
    <row r="3336" spans="9:10" x14ac:dyDescent="0.45">
      <c r="I3336"/>
      <c r="J3336"/>
    </row>
    <row r="3337" spans="9:10" x14ac:dyDescent="0.45">
      <c r="I3337"/>
      <c r="J3337"/>
    </row>
    <row r="3338" spans="9:10" x14ac:dyDescent="0.45">
      <c r="I3338"/>
      <c r="J3338"/>
    </row>
    <row r="3339" spans="9:10" x14ac:dyDescent="0.45">
      <c r="I3339"/>
      <c r="J3339"/>
    </row>
    <row r="3340" spans="9:10" x14ac:dyDescent="0.45">
      <c r="I3340"/>
      <c r="J3340"/>
    </row>
    <row r="3341" spans="9:10" x14ac:dyDescent="0.45">
      <c r="I3341"/>
      <c r="J3341"/>
    </row>
    <row r="3342" spans="9:10" x14ac:dyDescent="0.45">
      <c r="I3342"/>
      <c r="J3342"/>
    </row>
    <row r="3343" spans="9:10" x14ac:dyDescent="0.45">
      <c r="I3343"/>
      <c r="J3343"/>
    </row>
    <row r="3344" spans="9:10" x14ac:dyDescent="0.45">
      <c r="I3344"/>
      <c r="J3344"/>
    </row>
    <row r="3345" spans="9:10" x14ac:dyDescent="0.45">
      <c r="I3345"/>
      <c r="J3345"/>
    </row>
    <row r="3346" spans="9:10" x14ac:dyDescent="0.45">
      <c r="I3346"/>
      <c r="J3346"/>
    </row>
    <row r="3347" spans="9:10" x14ac:dyDescent="0.45">
      <c r="I3347"/>
      <c r="J3347"/>
    </row>
    <row r="3348" spans="9:10" x14ac:dyDescent="0.45">
      <c r="I3348"/>
      <c r="J3348"/>
    </row>
    <row r="3349" spans="9:10" x14ac:dyDescent="0.45">
      <c r="I3349"/>
      <c r="J3349"/>
    </row>
    <row r="3350" spans="9:10" x14ac:dyDescent="0.45">
      <c r="I3350"/>
      <c r="J3350"/>
    </row>
    <row r="3351" spans="9:10" x14ac:dyDescent="0.45">
      <c r="I3351"/>
      <c r="J3351"/>
    </row>
    <row r="3352" spans="9:10" x14ac:dyDescent="0.45">
      <c r="I3352"/>
      <c r="J3352"/>
    </row>
    <row r="3353" spans="9:10" x14ac:dyDescent="0.45">
      <c r="I3353"/>
      <c r="J3353"/>
    </row>
    <row r="3354" spans="9:10" x14ac:dyDescent="0.45">
      <c r="I3354"/>
      <c r="J3354"/>
    </row>
    <row r="3355" spans="9:10" x14ac:dyDescent="0.45">
      <c r="I3355"/>
      <c r="J3355"/>
    </row>
    <row r="3356" spans="9:10" x14ac:dyDescent="0.45">
      <c r="I3356"/>
      <c r="J3356"/>
    </row>
    <row r="3357" spans="9:10" x14ac:dyDescent="0.45">
      <c r="I3357"/>
      <c r="J3357"/>
    </row>
    <row r="3358" spans="9:10" x14ac:dyDescent="0.45">
      <c r="I3358"/>
      <c r="J3358"/>
    </row>
    <row r="3359" spans="9:10" x14ac:dyDescent="0.45">
      <c r="I3359"/>
      <c r="J3359"/>
    </row>
    <row r="3360" spans="9:10" x14ac:dyDescent="0.45">
      <c r="I3360"/>
      <c r="J3360"/>
    </row>
    <row r="3361" spans="9:10" x14ac:dyDescent="0.45">
      <c r="I3361"/>
      <c r="J3361"/>
    </row>
    <row r="3362" spans="9:10" x14ac:dyDescent="0.45">
      <c r="I3362"/>
      <c r="J3362"/>
    </row>
    <row r="3363" spans="9:10" x14ac:dyDescent="0.45">
      <c r="I3363"/>
      <c r="J3363"/>
    </row>
    <row r="3364" spans="9:10" x14ac:dyDescent="0.45">
      <c r="I3364"/>
      <c r="J3364"/>
    </row>
    <row r="3365" spans="9:10" x14ac:dyDescent="0.45">
      <c r="I3365"/>
      <c r="J3365"/>
    </row>
    <row r="3366" spans="9:10" x14ac:dyDescent="0.45">
      <c r="I3366"/>
      <c r="J3366"/>
    </row>
    <row r="3367" spans="9:10" x14ac:dyDescent="0.45">
      <c r="I3367"/>
      <c r="J3367"/>
    </row>
    <row r="3368" spans="9:10" x14ac:dyDescent="0.45">
      <c r="I3368"/>
      <c r="J3368"/>
    </row>
    <row r="3369" spans="9:10" x14ac:dyDescent="0.45">
      <c r="I3369"/>
      <c r="J3369"/>
    </row>
    <row r="3370" spans="9:10" x14ac:dyDescent="0.45">
      <c r="I3370"/>
      <c r="J3370"/>
    </row>
    <row r="3371" spans="9:10" x14ac:dyDescent="0.45">
      <c r="I3371"/>
      <c r="J3371"/>
    </row>
    <row r="3372" spans="9:10" x14ac:dyDescent="0.45">
      <c r="I3372"/>
      <c r="J3372"/>
    </row>
    <row r="3373" spans="9:10" x14ac:dyDescent="0.45">
      <c r="I3373"/>
      <c r="J3373"/>
    </row>
    <row r="3374" spans="9:10" x14ac:dyDescent="0.45">
      <c r="I3374"/>
      <c r="J3374"/>
    </row>
    <row r="3375" spans="9:10" x14ac:dyDescent="0.45">
      <c r="I3375"/>
      <c r="J3375"/>
    </row>
    <row r="3376" spans="9:10" x14ac:dyDescent="0.45">
      <c r="I3376"/>
      <c r="J3376"/>
    </row>
    <row r="3377" spans="9:10" x14ac:dyDescent="0.45">
      <c r="I3377"/>
      <c r="J3377"/>
    </row>
    <row r="3378" spans="9:10" x14ac:dyDescent="0.45">
      <c r="I3378"/>
      <c r="J3378"/>
    </row>
    <row r="3379" spans="9:10" x14ac:dyDescent="0.45">
      <c r="I3379"/>
      <c r="J3379"/>
    </row>
    <row r="3380" spans="9:10" x14ac:dyDescent="0.45">
      <c r="I3380"/>
      <c r="J3380"/>
    </row>
    <row r="3381" spans="9:10" x14ac:dyDescent="0.45">
      <c r="I3381"/>
      <c r="J3381"/>
    </row>
    <row r="3382" spans="9:10" x14ac:dyDescent="0.45">
      <c r="I3382"/>
      <c r="J3382"/>
    </row>
    <row r="3383" spans="9:10" x14ac:dyDescent="0.45">
      <c r="I3383"/>
      <c r="J3383"/>
    </row>
    <row r="3384" spans="9:10" x14ac:dyDescent="0.45">
      <c r="I3384"/>
      <c r="J3384"/>
    </row>
    <row r="3385" spans="9:10" x14ac:dyDescent="0.45">
      <c r="I3385"/>
      <c r="J3385"/>
    </row>
    <row r="3386" spans="9:10" x14ac:dyDescent="0.45">
      <c r="I3386"/>
      <c r="J3386"/>
    </row>
    <row r="3387" spans="9:10" x14ac:dyDescent="0.45">
      <c r="I3387"/>
      <c r="J3387"/>
    </row>
    <row r="3388" spans="9:10" x14ac:dyDescent="0.45">
      <c r="I3388"/>
      <c r="J3388"/>
    </row>
    <row r="3389" spans="9:10" x14ac:dyDescent="0.45">
      <c r="I3389"/>
      <c r="J3389"/>
    </row>
    <row r="3390" spans="9:10" x14ac:dyDescent="0.45">
      <c r="I3390"/>
      <c r="J3390"/>
    </row>
    <row r="3391" spans="9:10" x14ac:dyDescent="0.45">
      <c r="I3391"/>
      <c r="J3391"/>
    </row>
    <row r="3392" spans="9:10" x14ac:dyDescent="0.45">
      <c r="I3392"/>
      <c r="J3392"/>
    </row>
    <row r="3393" spans="9:10" x14ac:dyDescent="0.45">
      <c r="I3393"/>
      <c r="J3393"/>
    </row>
    <row r="3394" spans="9:10" x14ac:dyDescent="0.45">
      <c r="I3394"/>
      <c r="J3394"/>
    </row>
    <row r="3395" spans="9:10" x14ac:dyDescent="0.45">
      <c r="I3395"/>
      <c r="J3395"/>
    </row>
    <row r="3396" spans="9:10" x14ac:dyDescent="0.45">
      <c r="I3396"/>
      <c r="J3396"/>
    </row>
    <row r="3397" spans="9:10" x14ac:dyDescent="0.45">
      <c r="I3397"/>
      <c r="J3397"/>
    </row>
    <row r="3398" spans="9:10" x14ac:dyDescent="0.45">
      <c r="I3398"/>
      <c r="J3398"/>
    </row>
    <row r="3399" spans="9:10" x14ac:dyDescent="0.45">
      <c r="I3399"/>
      <c r="J3399"/>
    </row>
    <row r="3400" spans="9:10" x14ac:dyDescent="0.45">
      <c r="I3400"/>
      <c r="J3400"/>
    </row>
    <row r="3401" spans="9:10" x14ac:dyDescent="0.45">
      <c r="I3401"/>
      <c r="J3401"/>
    </row>
    <row r="3402" spans="9:10" x14ac:dyDescent="0.45">
      <c r="I3402"/>
      <c r="J3402"/>
    </row>
    <row r="3403" spans="9:10" x14ac:dyDescent="0.45">
      <c r="I3403"/>
      <c r="J3403"/>
    </row>
    <row r="3404" spans="9:10" x14ac:dyDescent="0.45">
      <c r="I3404"/>
      <c r="J3404"/>
    </row>
    <row r="3405" spans="9:10" x14ac:dyDescent="0.45">
      <c r="I3405"/>
      <c r="J3405"/>
    </row>
    <row r="3406" spans="9:10" x14ac:dyDescent="0.45">
      <c r="I3406"/>
      <c r="J3406"/>
    </row>
    <row r="3407" spans="9:10" x14ac:dyDescent="0.45">
      <c r="I3407"/>
      <c r="J3407"/>
    </row>
    <row r="3408" spans="9:10" x14ac:dyDescent="0.45">
      <c r="I3408"/>
      <c r="J3408"/>
    </row>
    <row r="3409" spans="9:10" x14ac:dyDescent="0.45">
      <c r="I3409"/>
      <c r="J3409"/>
    </row>
    <row r="3410" spans="9:10" x14ac:dyDescent="0.45">
      <c r="I3410"/>
      <c r="J3410"/>
    </row>
    <row r="3411" spans="9:10" x14ac:dyDescent="0.45">
      <c r="I3411"/>
      <c r="J3411"/>
    </row>
    <row r="3412" spans="9:10" x14ac:dyDescent="0.45">
      <c r="I3412"/>
      <c r="J3412"/>
    </row>
    <row r="3413" spans="9:10" x14ac:dyDescent="0.45">
      <c r="I3413"/>
      <c r="J3413"/>
    </row>
    <row r="3414" spans="9:10" x14ac:dyDescent="0.45">
      <c r="I3414"/>
      <c r="J3414"/>
    </row>
    <row r="3415" spans="9:10" x14ac:dyDescent="0.45">
      <c r="I3415"/>
      <c r="J3415"/>
    </row>
    <row r="3416" spans="9:10" x14ac:dyDescent="0.45">
      <c r="I3416"/>
      <c r="J3416"/>
    </row>
    <row r="3417" spans="9:10" x14ac:dyDescent="0.45">
      <c r="I3417"/>
      <c r="J3417"/>
    </row>
    <row r="3418" spans="9:10" x14ac:dyDescent="0.45">
      <c r="I3418"/>
      <c r="J3418"/>
    </row>
    <row r="3419" spans="9:10" x14ac:dyDescent="0.45">
      <c r="I3419"/>
      <c r="J3419"/>
    </row>
    <row r="3420" spans="9:10" x14ac:dyDescent="0.45">
      <c r="I3420"/>
      <c r="J3420"/>
    </row>
    <row r="3421" spans="9:10" x14ac:dyDescent="0.45">
      <c r="I3421"/>
      <c r="J3421"/>
    </row>
    <row r="3422" spans="9:10" x14ac:dyDescent="0.45">
      <c r="I3422"/>
      <c r="J3422"/>
    </row>
    <row r="3423" spans="9:10" x14ac:dyDescent="0.45">
      <c r="I3423"/>
      <c r="J3423"/>
    </row>
    <row r="3424" spans="9:10" x14ac:dyDescent="0.45">
      <c r="I3424"/>
      <c r="J3424"/>
    </row>
    <row r="3425" spans="9:10" x14ac:dyDescent="0.45">
      <c r="I3425"/>
      <c r="J3425"/>
    </row>
    <row r="3426" spans="9:10" x14ac:dyDescent="0.45">
      <c r="I3426"/>
      <c r="J3426"/>
    </row>
    <row r="3427" spans="9:10" x14ac:dyDescent="0.45">
      <c r="I3427"/>
      <c r="J3427"/>
    </row>
    <row r="3428" spans="9:10" x14ac:dyDescent="0.45">
      <c r="I3428"/>
      <c r="J3428"/>
    </row>
    <row r="3429" spans="9:10" x14ac:dyDescent="0.45">
      <c r="I3429"/>
      <c r="J3429"/>
    </row>
    <row r="3430" spans="9:10" x14ac:dyDescent="0.45">
      <c r="I3430"/>
      <c r="J3430"/>
    </row>
    <row r="3431" spans="9:10" x14ac:dyDescent="0.45">
      <c r="I3431"/>
      <c r="J3431"/>
    </row>
    <row r="3432" spans="9:10" x14ac:dyDescent="0.45">
      <c r="I3432"/>
      <c r="J3432"/>
    </row>
    <row r="3433" spans="9:10" x14ac:dyDescent="0.45">
      <c r="I3433"/>
      <c r="J3433"/>
    </row>
    <row r="3434" spans="9:10" x14ac:dyDescent="0.45">
      <c r="I3434"/>
      <c r="J3434"/>
    </row>
    <row r="3435" spans="9:10" x14ac:dyDescent="0.45">
      <c r="I3435"/>
      <c r="J3435"/>
    </row>
    <row r="3436" spans="9:10" x14ac:dyDescent="0.45">
      <c r="I3436"/>
      <c r="J3436"/>
    </row>
    <row r="3437" spans="9:10" x14ac:dyDescent="0.45">
      <c r="I3437"/>
      <c r="J3437"/>
    </row>
    <row r="3438" spans="9:10" x14ac:dyDescent="0.45">
      <c r="I3438"/>
      <c r="J3438"/>
    </row>
    <row r="3439" spans="9:10" x14ac:dyDescent="0.45">
      <c r="I3439"/>
      <c r="J3439"/>
    </row>
    <row r="3440" spans="9:10" x14ac:dyDescent="0.45">
      <c r="I3440"/>
      <c r="J3440"/>
    </row>
    <row r="3441" spans="9:10" x14ac:dyDescent="0.45">
      <c r="I3441"/>
      <c r="J3441"/>
    </row>
    <row r="3442" spans="9:10" x14ac:dyDescent="0.45">
      <c r="I3442"/>
      <c r="J3442"/>
    </row>
    <row r="3443" spans="9:10" x14ac:dyDescent="0.45">
      <c r="I3443"/>
      <c r="J3443"/>
    </row>
    <row r="3444" spans="9:10" x14ac:dyDescent="0.45">
      <c r="I3444"/>
      <c r="J3444"/>
    </row>
    <row r="3445" spans="9:10" x14ac:dyDescent="0.45">
      <c r="I3445"/>
      <c r="J3445"/>
    </row>
    <row r="3446" spans="9:10" x14ac:dyDescent="0.45">
      <c r="I3446"/>
      <c r="J3446"/>
    </row>
    <row r="3447" spans="9:10" x14ac:dyDescent="0.45">
      <c r="I3447"/>
      <c r="J3447"/>
    </row>
    <row r="3448" spans="9:10" x14ac:dyDescent="0.45">
      <c r="I3448"/>
      <c r="J3448"/>
    </row>
    <row r="3449" spans="9:10" x14ac:dyDescent="0.45">
      <c r="I3449"/>
      <c r="J3449"/>
    </row>
    <row r="3450" spans="9:10" x14ac:dyDescent="0.45">
      <c r="I3450"/>
      <c r="J3450"/>
    </row>
    <row r="3451" spans="9:10" x14ac:dyDescent="0.45">
      <c r="I3451"/>
      <c r="J3451"/>
    </row>
    <row r="3452" spans="9:10" x14ac:dyDescent="0.45">
      <c r="I3452"/>
      <c r="J3452"/>
    </row>
    <row r="3453" spans="9:10" x14ac:dyDescent="0.45">
      <c r="I3453"/>
      <c r="J3453"/>
    </row>
    <row r="3454" spans="9:10" x14ac:dyDescent="0.45">
      <c r="I3454"/>
      <c r="J3454"/>
    </row>
    <row r="3455" spans="9:10" x14ac:dyDescent="0.45">
      <c r="I3455"/>
      <c r="J3455"/>
    </row>
    <row r="3456" spans="9:10" x14ac:dyDescent="0.45">
      <c r="I3456"/>
      <c r="J3456"/>
    </row>
    <row r="3457" spans="9:10" x14ac:dyDescent="0.45">
      <c r="I3457"/>
      <c r="J3457"/>
    </row>
    <row r="3458" spans="9:10" x14ac:dyDescent="0.45">
      <c r="I3458"/>
      <c r="J3458"/>
    </row>
    <row r="3459" spans="9:10" x14ac:dyDescent="0.45">
      <c r="I3459"/>
      <c r="J3459"/>
    </row>
    <row r="3460" spans="9:10" x14ac:dyDescent="0.45">
      <c r="I3460"/>
      <c r="J3460"/>
    </row>
    <row r="3461" spans="9:10" x14ac:dyDescent="0.45">
      <c r="I3461"/>
      <c r="J3461"/>
    </row>
    <row r="3462" spans="9:10" x14ac:dyDescent="0.45">
      <c r="I3462"/>
      <c r="J3462"/>
    </row>
    <row r="3463" spans="9:10" x14ac:dyDescent="0.45">
      <c r="I3463"/>
      <c r="J3463"/>
    </row>
    <row r="3464" spans="9:10" x14ac:dyDescent="0.45">
      <c r="I3464"/>
      <c r="J3464"/>
    </row>
    <row r="3465" spans="9:10" x14ac:dyDescent="0.45">
      <c r="I3465"/>
      <c r="J3465"/>
    </row>
    <row r="3466" spans="9:10" x14ac:dyDescent="0.45">
      <c r="I3466"/>
      <c r="J3466"/>
    </row>
    <row r="3467" spans="9:10" x14ac:dyDescent="0.45">
      <c r="I3467"/>
      <c r="J3467"/>
    </row>
    <row r="3468" spans="9:10" x14ac:dyDescent="0.45">
      <c r="I3468"/>
      <c r="J3468"/>
    </row>
    <row r="3469" spans="9:10" x14ac:dyDescent="0.45">
      <c r="I3469"/>
      <c r="J3469"/>
    </row>
    <row r="3470" spans="9:10" x14ac:dyDescent="0.45">
      <c r="I3470"/>
      <c r="J3470"/>
    </row>
    <row r="3471" spans="9:10" x14ac:dyDescent="0.45">
      <c r="I3471"/>
      <c r="J3471"/>
    </row>
    <row r="3472" spans="9:10" x14ac:dyDescent="0.45">
      <c r="I3472"/>
      <c r="J3472"/>
    </row>
    <row r="3473" spans="9:10" x14ac:dyDescent="0.45">
      <c r="I3473"/>
      <c r="J3473"/>
    </row>
    <row r="3474" spans="9:10" x14ac:dyDescent="0.45">
      <c r="I3474"/>
      <c r="J3474"/>
    </row>
    <row r="3475" spans="9:10" x14ac:dyDescent="0.45">
      <c r="I3475"/>
      <c r="J3475"/>
    </row>
    <row r="3476" spans="9:10" x14ac:dyDescent="0.45">
      <c r="I3476"/>
      <c r="J3476"/>
    </row>
    <row r="3477" spans="9:10" x14ac:dyDescent="0.45">
      <c r="I3477"/>
      <c r="J3477"/>
    </row>
    <row r="3478" spans="9:10" x14ac:dyDescent="0.45">
      <c r="I3478"/>
      <c r="J3478"/>
    </row>
    <row r="3479" spans="9:10" x14ac:dyDescent="0.45">
      <c r="I3479"/>
      <c r="J3479"/>
    </row>
    <row r="3480" spans="9:10" x14ac:dyDescent="0.45">
      <c r="I3480"/>
      <c r="J3480"/>
    </row>
    <row r="3481" spans="9:10" x14ac:dyDescent="0.45">
      <c r="I3481"/>
      <c r="J3481"/>
    </row>
    <row r="3482" spans="9:10" x14ac:dyDescent="0.45">
      <c r="I3482"/>
      <c r="J3482"/>
    </row>
    <row r="3483" spans="9:10" x14ac:dyDescent="0.45">
      <c r="I3483"/>
      <c r="J3483"/>
    </row>
    <row r="3484" spans="9:10" x14ac:dyDescent="0.45">
      <c r="I3484"/>
      <c r="J3484"/>
    </row>
    <row r="3485" spans="9:10" x14ac:dyDescent="0.45">
      <c r="I3485"/>
      <c r="J3485"/>
    </row>
    <row r="3486" spans="9:10" x14ac:dyDescent="0.45">
      <c r="I3486"/>
      <c r="J3486"/>
    </row>
    <row r="3487" spans="9:10" x14ac:dyDescent="0.45">
      <c r="I3487"/>
      <c r="J3487"/>
    </row>
    <row r="3488" spans="9:10" x14ac:dyDescent="0.45">
      <c r="I3488"/>
      <c r="J3488"/>
    </row>
    <row r="3489" spans="9:10" x14ac:dyDescent="0.45">
      <c r="I3489"/>
      <c r="J3489"/>
    </row>
    <row r="3490" spans="9:10" x14ac:dyDescent="0.45">
      <c r="I3490"/>
      <c r="J3490"/>
    </row>
    <row r="3491" spans="9:10" x14ac:dyDescent="0.45">
      <c r="I3491"/>
      <c r="J3491"/>
    </row>
    <row r="3492" spans="9:10" x14ac:dyDescent="0.45">
      <c r="I3492"/>
      <c r="J3492"/>
    </row>
    <row r="3493" spans="9:10" x14ac:dyDescent="0.45">
      <c r="I3493"/>
      <c r="J3493"/>
    </row>
    <row r="3494" spans="9:10" x14ac:dyDescent="0.45">
      <c r="I3494"/>
      <c r="J3494"/>
    </row>
    <row r="3495" spans="9:10" x14ac:dyDescent="0.45">
      <c r="I3495"/>
      <c r="J3495"/>
    </row>
    <row r="3496" spans="9:10" x14ac:dyDescent="0.45">
      <c r="I3496"/>
      <c r="J3496"/>
    </row>
    <row r="3497" spans="9:10" x14ac:dyDescent="0.45">
      <c r="I3497"/>
      <c r="J3497"/>
    </row>
    <row r="3498" spans="9:10" x14ac:dyDescent="0.45">
      <c r="I3498"/>
      <c r="J3498"/>
    </row>
    <row r="3499" spans="9:10" x14ac:dyDescent="0.45">
      <c r="I3499"/>
      <c r="J3499"/>
    </row>
    <row r="3500" spans="9:10" x14ac:dyDescent="0.45">
      <c r="I3500"/>
      <c r="J3500"/>
    </row>
    <row r="3501" spans="9:10" x14ac:dyDescent="0.45">
      <c r="I3501"/>
      <c r="J3501"/>
    </row>
    <row r="3502" spans="9:10" x14ac:dyDescent="0.45">
      <c r="I3502"/>
      <c r="J3502"/>
    </row>
    <row r="3503" spans="9:10" x14ac:dyDescent="0.45">
      <c r="I3503"/>
      <c r="J3503"/>
    </row>
    <row r="3504" spans="9:10" x14ac:dyDescent="0.45">
      <c r="I3504"/>
      <c r="J3504"/>
    </row>
    <row r="3505" spans="9:10" x14ac:dyDescent="0.45">
      <c r="I3505"/>
      <c r="J3505"/>
    </row>
    <row r="3506" spans="9:10" x14ac:dyDescent="0.45">
      <c r="I3506"/>
      <c r="J3506"/>
    </row>
    <row r="3507" spans="9:10" x14ac:dyDescent="0.45">
      <c r="I3507"/>
      <c r="J3507"/>
    </row>
    <row r="3508" spans="9:10" x14ac:dyDescent="0.45">
      <c r="I3508"/>
      <c r="J3508"/>
    </row>
    <row r="3509" spans="9:10" x14ac:dyDescent="0.45">
      <c r="I3509"/>
      <c r="J3509"/>
    </row>
    <row r="3510" spans="9:10" x14ac:dyDescent="0.45">
      <c r="I3510"/>
      <c r="J3510"/>
    </row>
    <row r="3511" spans="9:10" x14ac:dyDescent="0.45">
      <c r="I3511"/>
      <c r="J3511"/>
    </row>
    <row r="3512" spans="9:10" x14ac:dyDescent="0.45">
      <c r="I3512"/>
      <c r="J3512"/>
    </row>
    <row r="3513" spans="9:10" x14ac:dyDescent="0.45">
      <c r="I3513"/>
      <c r="J3513"/>
    </row>
    <row r="3514" spans="9:10" x14ac:dyDescent="0.45">
      <c r="I3514"/>
      <c r="J3514"/>
    </row>
    <row r="3515" spans="9:10" x14ac:dyDescent="0.45">
      <c r="I3515"/>
      <c r="J3515"/>
    </row>
    <row r="3516" spans="9:10" x14ac:dyDescent="0.45">
      <c r="I3516"/>
      <c r="J3516"/>
    </row>
    <row r="3517" spans="9:10" x14ac:dyDescent="0.45">
      <c r="I3517"/>
      <c r="J3517"/>
    </row>
    <row r="3518" spans="9:10" x14ac:dyDescent="0.45">
      <c r="I3518"/>
      <c r="J3518"/>
    </row>
    <row r="3519" spans="9:10" x14ac:dyDescent="0.45">
      <c r="I3519"/>
      <c r="J3519"/>
    </row>
    <row r="3520" spans="9:10" x14ac:dyDescent="0.45">
      <c r="I3520"/>
      <c r="J3520"/>
    </row>
    <row r="3521" spans="9:10" x14ac:dyDescent="0.45">
      <c r="I3521"/>
      <c r="J3521"/>
    </row>
    <row r="3522" spans="9:10" x14ac:dyDescent="0.45">
      <c r="I3522"/>
      <c r="J3522"/>
    </row>
    <row r="3523" spans="9:10" x14ac:dyDescent="0.45">
      <c r="I3523"/>
      <c r="J3523"/>
    </row>
    <row r="3524" spans="9:10" x14ac:dyDescent="0.45">
      <c r="I3524"/>
      <c r="J3524"/>
    </row>
    <row r="3525" spans="9:10" x14ac:dyDescent="0.45">
      <c r="I3525"/>
      <c r="J3525"/>
    </row>
    <row r="3526" spans="9:10" x14ac:dyDescent="0.45">
      <c r="I3526"/>
      <c r="J3526"/>
    </row>
    <row r="3527" spans="9:10" x14ac:dyDescent="0.45">
      <c r="I3527"/>
      <c r="J3527"/>
    </row>
    <row r="3528" spans="9:10" x14ac:dyDescent="0.45">
      <c r="I3528"/>
      <c r="J3528"/>
    </row>
    <row r="3529" spans="9:10" x14ac:dyDescent="0.45">
      <c r="I3529"/>
      <c r="J3529"/>
    </row>
    <row r="3530" spans="9:10" x14ac:dyDescent="0.45">
      <c r="I3530"/>
      <c r="J3530"/>
    </row>
    <row r="3531" spans="9:10" x14ac:dyDescent="0.45">
      <c r="I3531"/>
      <c r="J3531"/>
    </row>
    <row r="3532" spans="9:10" x14ac:dyDescent="0.45">
      <c r="I3532"/>
      <c r="J3532"/>
    </row>
    <row r="3533" spans="9:10" x14ac:dyDescent="0.45">
      <c r="I3533"/>
      <c r="J3533"/>
    </row>
    <row r="3534" spans="9:10" x14ac:dyDescent="0.45">
      <c r="I3534"/>
      <c r="J3534"/>
    </row>
    <row r="3535" spans="9:10" x14ac:dyDescent="0.45">
      <c r="I3535"/>
      <c r="J3535"/>
    </row>
    <row r="3536" spans="9:10" x14ac:dyDescent="0.45">
      <c r="I3536"/>
      <c r="J3536"/>
    </row>
    <row r="3537" spans="9:10" x14ac:dyDescent="0.45">
      <c r="I3537"/>
      <c r="J3537"/>
    </row>
    <row r="3538" spans="9:10" x14ac:dyDescent="0.45">
      <c r="I3538"/>
      <c r="J3538"/>
    </row>
    <row r="3539" spans="9:10" x14ac:dyDescent="0.45">
      <c r="I3539"/>
      <c r="J3539"/>
    </row>
    <row r="3540" spans="9:10" x14ac:dyDescent="0.45">
      <c r="I3540"/>
      <c r="J3540"/>
    </row>
    <row r="3541" spans="9:10" x14ac:dyDescent="0.45">
      <c r="I3541"/>
      <c r="J3541"/>
    </row>
    <row r="3542" spans="9:10" x14ac:dyDescent="0.45">
      <c r="I3542"/>
      <c r="J3542"/>
    </row>
    <row r="3543" spans="9:10" x14ac:dyDescent="0.45">
      <c r="I3543"/>
      <c r="J3543"/>
    </row>
    <row r="3544" spans="9:10" x14ac:dyDescent="0.45">
      <c r="I3544"/>
      <c r="J3544"/>
    </row>
    <row r="3545" spans="9:10" x14ac:dyDescent="0.45">
      <c r="I3545"/>
      <c r="J3545"/>
    </row>
    <row r="3546" spans="9:10" x14ac:dyDescent="0.45">
      <c r="I3546"/>
      <c r="J3546"/>
    </row>
    <row r="3547" spans="9:10" x14ac:dyDescent="0.45">
      <c r="I3547"/>
      <c r="J3547"/>
    </row>
    <row r="3548" spans="9:10" x14ac:dyDescent="0.45">
      <c r="I3548"/>
      <c r="J3548"/>
    </row>
    <row r="3549" spans="9:10" x14ac:dyDescent="0.45">
      <c r="I3549"/>
      <c r="J3549"/>
    </row>
    <row r="3550" spans="9:10" x14ac:dyDescent="0.45">
      <c r="I3550"/>
      <c r="J3550"/>
    </row>
    <row r="3551" spans="9:10" x14ac:dyDescent="0.45">
      <c r="I3551"/>
      <c r="J3551"/>
    </row>
    <row r="3552" spans="9:10" x14ac:dyDescent="0.45">
      <c r="I3552"/>
      <c r="J3552"/>
    </row>
    <row r="3553" spans="9:10" x14ac:dyDescent="0.45">
      <c r="I3553"/>
      <c r="J3553"/>
    </row>
    <row r="3554" spans="9:10" x14ac:dyDescent="0.45">
      <c r="I3554"/>
      <c r="J3554"/>
    </row>
    <row r="3555" spans="9:10" x14ac:dyDescent="0.45">
      <c r="I3555"/>
      <c r="J3555"/>
    </row>
    <row r="3556" spans="9:10" x14ac:dyDescent="0.45">
      <c r="I3556"/>
      <c r="J3556"/>
    </row>
    <row r="3557" spans="9:10" x14ac:dyDescent="0.45">
      <c r="I3557"/>
      <c r="J3557"/>
    </row>
    <row r="3558" spans="9:10" x14ac:dyDescent="0.45">
      <c r="I3558"/>
      <c r="J3558"/>
    </row>
    <row r="3559" spans="9:10" x14ac:dyDescent="0.45">
      <c r="I3559"/>
      <c r="J3559"/>
    </row>
    <row r="3560" spans="9:10" x14ac:dyDescent="0.45">
      <c r="I3560"/>
      <c r="J3560"/>
    </row>
    <row r="3561" spans="9:10" x14ac:dyDescent="0.45">
      <c r="I3561"/>
      <c r="J3561"/>
    </row>
    <row r="3562" spans="9:10" x14ac:dyDescent="0.45">
      <c r="I3562"/>
      <c r="J3562"/>
    </row>
    <row r="3563" spans="9:10" x14ac:dyDescent="0.45">
      <c r="I3563"/>
      <c r="J3563"/>
    </row>
    <row r="3564" spans="9:10" x14ac:dyDescent="0.45">
      <c r="I3564"/>
      <c r="J3564"/>
    </row>
    <row r="3565" spans="9:10" x14ac:dyDescent="0.45">
      <c r="I3565"/>
      <c r="J3565"/>
    </row>
    <row r="3566" spans="9:10" x14ac:dyDescent="0.45">
      <c r="I3566"/>
      <c r="J3566"/>
    </row>
    <row r="3567" spans="9:10" x14ac:dyDescent="0.45">
      <c r="I3567"/>
      <c r="J3567"/>
    </row>
    <row r="3568" spans="9:10" x14ac:dyDescent="0.45">
      <c r="I3568"/>
      <c r="J3568"/>
    </row>
    <row r="3569" spans="9:10" x14ac:dyDescent="0.45">
      <c r="I3569"/>
      <c r="J3569"/>
    </row>
    <row r="3570" spans="9:10" x14ac:dyDescent="0.45">
      <c r="I3570"/>
      <c r="J3570"/>
    </row>
    <row r="3571" spans="9:10" x14ac:dyDescent="0.45">
      <c r="I3571"/>
      <c r="J3571"/>
    </row>
    <row r="3572" spans="9:10" x14ac:dyDescent="0.45">
      <c r="I3572"/>
      <c r="J3572"/>
    </row>
    <row r="3573" spans="9:10" x14ac:dyDescent="0.45">
      <c r="I3573"/>
      <c r="J3573"/>
    </row>
    <row r="3574" spans="9:10" x14ac:dyDescent="0.45">
      <c r="I3574"/>
      <c r="J3574"/>
    </row>
    <row r="3575" spans="9:10" x14ac:dyDescent="0.45">
      <c r="I3575"/>
      <c r="J3575"/>
    </row>
    <row r="3576" spans="9:10" x14ac:dyDescent="0.45">
      <c r="I3576"/>
      <c r="J3576"/>
    </row>
    <row r="3577" spans="9:10" x14ac:dyDescent="0.45">
      <c r="I3577"/>
      <c r="J3577"/>
    </row>
    <row r="3578" spans="9:10" x14ac:dyDescent="0.45">
      <c r="I3578"/>
      <c r="J3578"/>
    </row>
    <row r="3579" spans="9:10" x14ac:dyDescent="0.45">
      <c r="I3579"/>
      <c r="J3579"/>
    </row>
    <row r="3580" spans="9:10" x14ac:dyDescent="0.45">
      <c r="I3580"/>
      <c r="J3580"/>
    </row>
    <row r="3581" spans="9:10" x14ac:dyDescent="0.45">
      <c r="I3581"/>
      <c r="J3581"/>
    </row>
    <row r="3582" spans="9:10" x14ac:dyDescent="0.45">
      <c r="I3582"/>
      <c r="J3582"/>
    </row>
    <row r="3583" spans="9:10" x14ac:dyDescent="0.45">
      <c r="I3583"/>
      <c r="J3583"/>
    </row>
    <row r="3584" spans="9:10" x14ac:dyDescent="0.45">
      <c r="I3584"/>
      <c r="J3584"/>
    </row>
    <row r="3585" spans="9:10" x14ac:dyDescent="0.45">
      <c r="I3585"/>
      <c r="J3585"/>
    </row>
    <row r="3586" spans="9:10" x14ac:dyDescent="0.45">
      <c r="I3586"/>
      <c r="J3586"/>
    </row>
    <row r="3587" spans="9:10" x14ac:dyDescent="0.45">
      <c r="I3587"/>
      <c r="J3587"/>
    </row>
    <row r="3588" spans="9:10" x14ac:dyDescent="0.45">
      <c r="I3588"/>
      <c r="J3588"/>
    </row>
    <row r="3589" spans="9:10" x14ac:dyDescent="0.45">
      <c r="I3589"/>
      <c r="J3589"/>
    </row>
    <row r="3590" spans="9:10" x14ac:dyDescent="0.45">
      <c r="I3590"/>
      <c r="J3590"/>
    </row>
    <row r="3591" spans="9:10" x14ac:dyDescent="0.45">
      <c r="I3591"/>
      <c r="J3591"/>
    </row>
    <row r="3592" spans="9:10" x14ac:dyDescent="0.45">
      <c r="I3592"/>
      <c r="J3592"/>
    </row>
    <row r="3593" spans="9:10" x14ac:dyDescent="0.45">
      <c r="I3593"/>
      <c r="J3593"/>
    </row>
    <row r="3594" spans="9:10" x14ac:dyDescent="0.45">
      <c r="I3594"/>
      <c r="J3594"/>
    </row>
    <row r="3595" spans="9:10" x14ac:dyDescent="0.45">
      <c r="I3595"/>
      <c r="J3595"/>
    </row>
    <row r="3596" spans="9:10" x14ac:dyDescent="0.45">
      <c r="I3596"/>
      <c r="J3596"/>
    </row>
    <row r="3597" spans="9:10" x14ac:dyDescent="0.45">
      <c r="I3597"/>
      <c r="J3597"/>
    </row>
    <row r="3598" spans="9:10" x14ac:dyDescent="0.45">
      <c r="I3598"/>
      <c r="J3598"/>
    </row>
    <row r="3599" spans="9:10" x14ac:dyDescent="0.45">
      <c r="I3599"/>
      <c r="J3599"/>
    </row>
    <row r="3600" spans="9:10" x14ac:dyDescent="0.45">
      <c r="I3600"/>
      <c r="J3600"/>
    </row>
    <row r="3601" spans="9:10" x14ac:dyDescent="0.45">
      <c r="I3601"/>
      <c r="J3601"/>
    </row>
    <row r="3602" spans="9:10" x14ac:dyDescent="0.45">
      <c r="I3602"/>
      <c r="J3602"/>
    </row>
    <row r="3603" spans="9:10" x14ac:dyDescent="0.45">
      <c r="I3603"/>
      <c r="J3603"/>
    </row>
    <row r="3604" spans="9:10" x14ac:dyDescent="0.45">
      <c r="I3604"/>
      <c r="J3604"/>
    </row>
    <row r="3605" spans="9:10" x14ac:dyDescent="0.45">
      <c r="I3605"/>
      <c r="J3605"/>
    </row>
    <row r="3606" spans="9:10" x14ac:dyDescent="0.45">
      <c r="I3606"/>
      <c r="J3606"/>
    </row>
    <row r="3607" spans="9:10" x14ac:dyDescent="0.45">
      <c r="I3607"/>
      <c r="J3607"/>
    </row>
    <row r="3608" spans="9:10" x14ac:dyDescent="0.45">
      <c r="I3608"/>
      <c r="J3608"/>
    </row>
    <row r="3609" spans="9:10" x14ac:dyDescent="0.45">
      <c r="I3609"/>
      <c r="J3609"/>
    </row>
    <row r="3610" spans="9:10" x14ac:dyDescent="0.45">
      <c r="I3610"/>
      <c r="J3610"/>
    </row>
    <row r="3611" spans="9:10" x14ac:dyDescent="0.45">
      <c r="I3611"/>
      <c r="J3611"/>
    </row>
    <row r="3612" spans="9:10" x14ac:dyDescent="0.45">
      <c r="I3612"/>
      <c r="J3612"/>
    </row>
    <row r="3613" spans="9:10" x14ac:dyDescent="0.45">
      <c r="I3613"/>
      <c r="J3613"/>
    </row>
    <row r="3614" spans="9:10" x14ac:dyDescent="0.45">
      <c r="I3614"/>
      <c r="J3614"/>
    </row>
    <row r="3615" spans="9:10" x14ac:dyDescent="0.45">
      <c r="I3615"/>
      <c r="J3615"/>
    </row>
    <row r="3616" spans="9:10" x14ac:dyDescent="0.45">
      <c r="I3616"/>
      <c r="J3616"/>
    </row>
    <row r="3617" spans="9:10" x14ac:dyDescent="0.45">
      <c r="I3617"/>
      <c r="J3617"/>
    </row>
    <row r="3618" spans="9:10" x14ac:dyDescent="0.45">
      <c r="I3618"/>
      <c r="J3618"/>
    </row>
    <row r="3619" spans="9:10" x14ac:dyDescent="0.45">
      <c r="I3619"/>
      <c r="J3619"/>
    </row>
    <row r="3620" spans="9:10" x14ac:dyDescent="0.45">
      <c r="I3620"/>
      <c r="J3620"/>
    </row>
    <row r="3621" spans="9:10" x14ac:dyDescent="0.45">
      <c r="I3621"/>
      <c r="J3621"/>
    </row>
    <row r="3622" spans="9:10" x14ac:dyDescent="0.45">
      <c r="I3622"/>
      <c r="J3622"/>
    </row>
    <row r="3623" spans="9:10" x14ac:dyDescent="0.45">
      <c r="I3623"/>
      <c r="J3623"/>
    </row>
    <row r="3624" spans="9:10" x14ac:dyDescent="0.45">
      <c r="I3624"/>
      <c r="J3624"/>
    </row>
    <row r="3625" spans="9:10" x14ac:dyDescent="0.45">
      <c r="I3625"/>
      <c r="J3625"/>
    </row>
    <row r="3626" spans="9:10" x14ac:dyDescent="0.45">
      <c r="I3626"/>
      <c r="J3626"/>
    </row>
    <row r="3627" spans="9:10" x14ac:dyDescent="0.45">
      <c r="I3627"/>
      <c r="J3627"/>
    </row>
    <row r="3628" spans="9:10" x14ac:dyDescent="0.45">
      <c r="I3628"/>
      <c r="J3628"/>
    </row>
    <row r="3629" spans="9:10" x14ac:dyDescent="0.45">
      <c r="I3629"/>
      <c r="J3629"/>
    </row>
    <row r="3630" spans="9:10" x14ac:dyDescent="0.45">
      <c r="I3630"/>
      <c r="J3630"/>
    </row>
    <row r="3631" spans="9:10" x14ac:dyDescent="0.45">
      <c r="I3631"/>
      <c r="J3631"/>
    </row>
    <row r="3632" spans="9:10" x14ac:dyDescent="0.45">
      <c r="I3632"/>
      <c r="J3632"/>
    </row>
    <row r="3633" spans="9:10" x14ac:dyDescent="0.45">
      <c r="I3633"/>
      <c r="J3633"/>
    </row>
    <row r="3634" spans="9:10" x14ac:dyDescent="0.45">
      <c r="I3634"/>
      <c r="J3634"/>
    </row>
    <row r="3635" spans="9:10" x14ac:dyDescent="0.45">
      <c r="I3635"/>
      <c r="J3635"/>
    </row>
    <row r="3636" spans="9:10" x14ac:dyDescent="0.45">
      <c r="I3636"/>
      <c r="J3636"/>
    </row>
    <row r="3637" spans="9:10" x14ac:dyDescent="0.45">
      <c r="I3637"/>
      <c r="J3637"/>
    </row>
    <row r="3638" spans="9:10" x14ac:dyDescent="0.45">
      <c r="I3638"/>
      <c r="J3638"/>
    </row>
    <row r="3639" spans="9:10" x14ac:dyDescent="0.45">
      <c r="I3639"/>
      <c r="J3639"/>
    </row>
    <row r="3640" spans="9:10" x14ac:dyDescent="0.45">
      <c r="I3640"/>
      <c r="J3640"/>
    </row>
    <row r="3641" spans="9:10" x14ac:dyDescent="0.45">
      <c r="I3641"/>
      <c r="J3641"/>
    </row>
    <row r="3642" spans="9:10" x14ac:dyDescent="0.45">
      <c r="I3642"/>
      <c r="J3642"/>
    </row>
    <row r="3643" spans="9:10" x14ac:dyDescent="0.45">
      <c r="I3643"/>
      <c r="J3643"/>
    </row>
    <row r="3644" spans="9:10" x14ac:dyDescent="0.45">
      <c r="I3644"/>
      <c r="J3644"/>
    </row>
    <row r="3645" spans="9:10" x14ac:dyDescent="0.45">
      <c r="I3645"/>
      <c r="J3645"/>
    </row>
    <row r="3646" spans="9:10" x14ac:dyDescent="0.45">
      <c r="I3646"/>
      <c r="J3646"/>
    </row>
    <row r="3647" spans="9:10" x14ac:dyDescent="0.45">
      <c r="I3647"/>
      <c r="J3647"/>
    </row>
    <row r="3648" spans="9:10" x14ac:dyDescent="0.45">
      <c r="I3648"/>
      <c r="J3648"/>
    </row>
    <row r="3649" spans="9:10" x14ac:dyDescent="0.45">
      <c r="I3649"/>
      <c r="J3649"/>
    </row>
    <row r="3650" spans="9:10" x14ac:dyDescent="0.45">
      <c r="I3650"/>
      <c r="J3650"/>
    </row>
    <row r="3651" spans="9:10" x14ac:dyDescent="0.45">
      <c r="I3651"/>
      <c r="J3651"/>
    </row>
    <row r="3652" spans="9:10" x14ac:dyDescent="0.45">
      <c r="I3652"/>
      <c r="J3652"/>
    </row>
    <row r="3653" spans="9:10" x14ac:dyDescent="0.45">
      <c r="I3653"/>
      <c r="J3653"/>
    </row>
    <row r="3654" spans="9:10" x14ac:dyDescent="0.45">
      <c r="I3654"/>
      <c r="J3654"/>
    </row>
    <row r="3655" spans="9:10" x14ac:dyDescent="0.45">
      <c r="I3655"/>
      <c r="J3655"/>
    </row>
    <row r="3656" spans="9:10" x14ac:dyDescent="0.45">
      <c r="I3656"/>
      <c r="J3656"/>
    </row>
    <row r="3657" spans="9:10" x14ac:dyDescent="0.45">
      <c r="I3657"/>
      <c r="J3657"/>
    </row>
    <row r="3658" spans="9:10" x14ac:dyDescent="0.45">
      <c r="I3658"/>
      <c r="J3658"/>
    </row>
    <row r="3659" spans="9:10" x14ac:dyDescent="0.45">
      <c r="I3659"/>
      <c r="J3659"/>
    </row>
    <row r="3660" spans="9:10" x14ac:dyDescent="0.45">
      <c r="I3660"/>
      <c r="J3660"/>
    </row>
    <row r="3661" spans="9:10" x14ac:dyDescent="0.45">
      <c r="I3661"/>
      <c r="J3661"/>
    </row>
    <row r="3662" spans="9:10" x14ac:dyDescent="0.45">
      <c r="I3662"/>
      <c r="J3662"/>
    </row>
    <row r="3663" spans="9:10" x14ac:dyDescent="0.45">
      <c r="I3663"/>
      <c r="J3663"/>
    </row>
    <row r="3664" spans="9:10" x14ac:dyDescent="0.45">
      <c r="I3664"/>
      <c r="J3664"/>
    </row>
    <row r="3665" spans="9:10" x14ac:dyDescent="0.45">
      <c r="I3665"/>
      <c r="J3665"/>
    </row>
    <row r="3666" spans="9:10" x14ac:dyDescent="0.45">
      <c r="I3666"/>
      <c r="J3666"/>
    </row>
    <row r="3667" spans="9:10" x14ac:dyDescent="0.45">
      <c r="I3667"/>
      <c r="J3667"/>
    </row>
    <row r="3668" spans="9:10" x14ac:dyDescent="0.45">
      <c r="I3668"/>
      <c r="J3668"/>
    </row>
    <row r="3669" spans="9:10" x14ac:dyDescent="0.45">
      <c r="I3669"/>
      <c r="J3669"/>
    </row>
    <row r="3670" spans="9:10" x14ac:dyDescent="0.45">
      <c r="I3670"/>
      <c r="J3670"/>
    </row>
    <row r="3671" spans="9:10" x14ac:dyDescent="0.45">
      <c r="I3671"/>
      <c r="J3671"/>
    </row>
    <row r="3672" spans="9:10" x14ac:dyDescent="0.45">
      <c r="I3672"/>
      <c r="J3672"/>
    </row>
    <row r="3673" spans="9:10" x14ac:dyDescent="0.45">
      <c r="I3673"/>
      <c r="J3673"/>
    </row>
    <row r="3674" spans="9:10" x14ac:dyDescent="0.45">
      <c r="I3674"/>
      <c r="J3674"/>
    </row>
    <row r="3675" spans="9:10" x14ac:dyDescent="0.45">
      <c r="I3675"/>
      <c r="J3675"/>
    </row>
    <row r="3676" spans="9:10" x14ac:dyDescent="0.45">
      <c r="I3676"/>
      <c r="J3676"/>
    </row>
    <row r="3677" spans="9:10" x14ac:dyDescent="0.45">
      <c r="I3677"/>
      <c r="J3677"/>
    </row>
    <row r="3678" spans="9:10" x14ac:dyDescent="0.45">
      <c r="I3678"/>
      <c r="J3678"/>
    </row>
    <row r="3679" spans="9:10" x14ac:dyDescent="0.45">
      <c r="I3679"/>
      <c r="J3679"/>
    </row>
    <row r="3680" spans="9:10" x14ac:dyDescent="0.45">
      <c r="I3680"/>
      <c r="J3680"/>
    </row>
    <row r="3681" spans="9:10" x14ac:dyDescent="0.45">
      <c r="I3681"/>
      <c r="J3681"/>
    </row>
    <row r="3682" spans="9:10" x14ac:dyDescent="0.45">
      <c r="I3682"/>
      <c r="J3682"/>
    </row>
    <row r="3683" spans="9:10" x14ac:dyDescent="0.45">
      <c r="I3683"/>
      <c r="J3683"/>
    </row>
    <row r="3684" spans="9:10" x14ac:dyDescent="0.45">
      <c r="I3684"/>
      <c r="J3684"/>
    </row>
    <row r="3685" spans="9:10" x14ac:dyDescent="0.45">
      <c r="I3685"/>
      <c r="J3685"/>
    </row>
    <row r="3686" spans="9:10" x14ac:dyDescent="0.45">
      <c r="I3686"/>
      <c r="J3686"/>
    </row>
    <row r="3687" spans="9:10" x14ac:dyDescent="0.45">
      <c r="I3687"/>
      <c r="J3687"/>
    </row>
    <row r="3688" spans="9:10" x14ac:dyDescent="0.45">
      <c r="I3688"/>
      <c r="J3688"/>
    </row>
    <row r="3689" spans="9:10" x14ac:dyDescent="0.45">
      <c r="I3689"/>
      <c r="J3689"/>
    </row>
    <row r="3690" spans="9:10" x14ac:dyDescent="0.45">
      <c r="I3690"/>
      <c r="J3690"/>
    </row>
    <row r="3691" spans="9:10" x14ac:dyDescent="0.45">
      <c r="I3691"/>
      <c r="J3691"/>
    </row>
    <row r="3692" spans="9:10" x14ac:dyDescent="0.45">
      <c r="I3692"/>
      <c r="J3692"/>
    </row>
    <row r="3693" spans="9:10" x14ac:dyDescent="0.45">
      <c r="I3693"/>
      <c r="J3693"/>
    </row>
    <row r="3694" spans="9:10" x14ac:dyDescent="0.45">
      <c r="I3694"/>
      <c r="J3694"/>
    </row>
    <row r="3695" spans="9:10" x14ac:dyDescent="0.45">
      <c r="I3695"/>
      <c r="J3695"/>
    </row>
    <row r="3696" spans="9:10" x14ac:dyDescent="0.45">
      <c r="I3696"/>
      <c r="J3696"/>
    </row>
    <row r="3697" spans="9:10" x14ac:dyDescent="0.45">
      <c r="I3697"/>
      <c r="J3697"/>
    </row>
    <row r="3698" spans="9:10" x14ac:dyDescent="0.45">
      <c r="I3698"/>
      <c r="J3698"/>
    </row>
    <row r="3699" spans="9:10" x14ac:dyDescent="0.45">
      <c r="I3699"/>
      <c r="J3699"/>
    </row>
    <row r="3700" spans="9:10" x14ac:dyDescent="0.45">
      <c r="I3700"/>
      <c r="J3700"/>
    </row>
    <row r="3701" spans="9:10" x14ac:dyDescent="0.45">
      <c r="I3701"/>
      <c r="J3701"/>
    </row>
    <row r="3702" spans="9:10" x14ac:dyDescent="0.45">
      <c r="I3702"/>
      <c r="J3702"/>
    </row>
    <row r="3703" spans="9:10" x14ac:dyDescent="0.45">
      <c r="I3703"/>
      <c r="J3703"/>
    </row>
    <row r="3704" spans="9:10" x14ac:dyDescent="0.45">
      <c r="I3704"/>
      <c r="J3704"/>
    </row>
    <row r="3705" spans="9:10" x14ac:dyDescent="0.45">
      <c r="I3705"/>
      <c r="J3705"/>
    </row>
    <row r="3706" spans="9:10" x14ac:dyDescent="0.45">
      <c r="I3706"/>
      <c r="J3706"/>
    </row>
    <row r="3707" spans="9:10" x14ac:dyDescent="0.45">
      <c r="I3707"/>
      <c r="J3707"/>
    </row>
    <row r="3708" spans="9:10" x14ac:dyDescent="0.45">
      <c r="I3708"/>
      <c r="J3708"/>
    </row>
    <row r="3709" spans="9:10" x14ac:dyDescent="0.45">
      <c r="I3709"/>
      <c r="J3709"/>
    </row>
    <row r="3710" spans="9:10" x14ac:dyDescent="0.45">
      <c r="I3710"/>
      <c r="J3710"/>
    </row>
    <row r="3711" spans="9:10" x14ac:dyDescent="0.45">
      <c r="I3711"/>
      <c r="J3711"/>
    </row>
    <row r="3712" spans="9:10" x14ac:dyDescent="0.45">
      <c r="I3712"/>
      <c r="J3712"/>
    </row>
    <row r="3713" spans="9:10" x14ac:dyDescent="0.45">
      <c r="I3713"/>
      <c r="J3713"/>
    </row>
    <row r="3714" spans="9:10" x14ac:dyDescent="0.45">
      <c r="I3714"/>
      <c r="J3714"/>
    </row>
    <row r="3715" spans="9:10" x14ac:dyDescent="0.45">
      <c r="I3715"/>
      <c r="J3715"/>
    </row>
    <row r="3716" spans="9:10" x14ac:dyDescent="0.45">
      <c r="I3716"/>
      <c r="J3716"/>
    </row>
    <row r="3717" spans="9:10" x14ac:dyDescent="0.45">
      <c r="I3717"/>
      <c r="J3717"/>
    </row>
    <row r="3718" spans="9:10" x14ac:dyDescent="0.45">
      <c r="I3718"/>
      <c r="J3718"/>
    </row>
    <row r="3719" spans="9:10" x14ac:dyDescent="0.45">
      <c r="I3719"/>
      <c r="J3719"/>
    </row>
    <row r="3720" spans="9:10" x14ac:dyDescent="0.45">
      <c r="I3720"/>
      <c r="J3720"/>
    </row>
    <row r="3721" spans="9:10" x14ac:dyDescent="0.45">
      <c r="I3721"/>
      <c r="J3721"/>
    </row>
    <row r="3722" spans="9:10" x14ac:dyDescent="0.45">
      <c r="I3722"/>
      <c r="J3722"/>
    </row>
    <row r="3723" spans="9:10" x14ac:dyDescent="0.45">
      <c r="I3723"/>
      <c r="J3723"/>
    </row>
    <row r="3724" spans="9:10" x14ac:dyDescent="0.45">
      <c r="I3724"/>
      <c r="J3724"/>
    </row>
    <row r="3725" spans="9:10" x14ac:dyDescent="0.45">
      <c r="I3725"/>
      <c r="J3725"/>
    </row>
    <row r="3726" spans="9:10" x14ac:dyDescent="0.45">
      <c r="I3726"/>
      <c r="J3726"/>
    </row>
    <row r="3727" spans="9:10" x14ac:dyDescent="0.45">
      <c r="I3727"/>
      <c r="J3727"/>
    </row>
    <row r="3728" spans="9:10" x14ac:dyDescent="0.45">
      <c r="I3728"/>
      <c r="J3728"/>
    </row>
    <row r="3729" spans="9:10" x14ac:dyDescent="0.45">
      <c r="I3729"/>
      <c r="J3729"/>
    </row>
    <row r="3730" spans="9:10" x14ac:dyDescent="0.45">
      <c r="I3730"/>
      <c r="J3730"/>
    </row>
    <row r="3731" spans="9:10" x14ac:dyDescent="0.45">
      <c r="I3731"/>
      <c r="J3731"/>
    </row>
    <row r="3732" spans="9:10" x14ac:dyDescent="0.45">
      <c r="I3732"/>
      <c r="J3732"/>
    </row>
    <row r="3733" spans="9:10" x14ac:dyDescent="0.45">
      <c r="I3733"/>
      <c r="J3733"/>
    </row>
    <row r="3734" spans="9:10" x14ac:dyDescent="0.45">
      <c r="I3734"/>
      <c r="J3734"/>
    </row>
    <row r="3735" spans="9:10" x14ac:dyDescent="0.45">
      <c r="I3735"/>
      <c r="J3735"/>
    </row>
    <row r="3736" spans="9:10" x14ac:dyDescent="0.45">
      <c r="I3736"/>
      <c r="J3736"/>
    </row>
    <row r="3737" spans="9:10" x14ac:dyDescent="0.45">
      <c r="I3737"/>
      <c r="J3737"/>
    </row>
    <row r="3738" spans="9:10" x14ac:dyDescent="0.45">
      <c r="I3738"/>
      <c r="J3738"/>
    </row>
    <row r="3739" spans="9:10" x14ac:dyDescent="0.45">
      <c r="I3739"/>
      <c r="J3739"/>
    </row>
    <row r="3740" spans="9:10" x14ac:dyDescent="0.45">
      <c r="I3740"/>
      <c r="J3740"/>
    </row>
    <row r="3741" spans="9:10" x14ac:dyDescent="0.45">
      <c r="I3741"/>
      <c r="J3741"/>
    </row>
    <row r="3742" spans="9:10" x14ac:dyDescent="0.45">
      <c r="I3742"/>
      <c r="J3742"/>
    </row>
    <row r="3743" spans="9:10" x14ac:dyDescent="0.45">
      <c r="I3743"/>
      <c r="J3743"/>
    </row>
    <row r="3744" spans="9:10" x14ac:dyDescent="0.45">
      <c r="I3744"/>
      <c r="J3744"/>
    </row>
    <row r="3745" spans="9:10" x14ac:dyDescent="0.45">
      <c r="I3745"/>
      <c r="J3745"/>
    </row>
    <row r="3746" spans="9:10" x14ac:dyDescent="0.45">
      <c r="I3746"/>
      <c r="J3746"/>
    </row>
    <row r="3747" spans="9:10" x14ac:dyDescent="0.45">
      <c r="I3747"/>
      <c r="J3747"/>
    </row>
    <row r="3748" spans="9:10" x14ac:dyDescent="0.45">
      <c r="I3748"/>
      <c r="J3748"/>
    </row>
    <row r="3749" spans="9:10" x14ac:dyDescent="0.45">
      <c r="I3749"/>
      <c r="J3749"/>
    </row>
    <row r="3750" spans="9:10" x14ac:dyDescent="0.45">
      <c r="I3750"/>
      <c r="J3750"/>
    </row>
    <row r="3751" spans="9:10" x14ac:dyDescent="0.45">
      <c r="I3751"/>
      <c r="J3751"/>
    </row>
    <row r="3752" spans="9:10" x14ac:dyDescent="0.45">
      <c r="I3752"/>
      <c r="J3752"/>
    </row>
    <row r="3753" spans="9:10" x14ac:dyDescent="0.45">
      <c r="I3753"/>
      <c r="J3753"/>
    </row>
    <row r="3754" spans="9:10" x14ac:dyDescent="0.45">
      <c r="I3754"/>
      <c r="J3754"/>
    </row>
    <row r="3755" spans="9:10" x14ac:dyDescent="0.45">
      <c r="I3755"/>
      <c r="J3755"/>
    </row>
    <row r="3756" spans="9:10" x14ac:dyDescent="0.45">
      <c r="I3756"/>
      <c r="J3756"/>
    </row>
    <row r="3757" spans="9:10" x14ac:dyDescent="0.45">
      <c r="I3757"/>
      <c r="J3757"/>
    </row>
    <row r="3758" spans="9:10" x14ac:dyDescent="0.45">
      <c r="I3758"/>
      <c r="J3758"/>
    </row>
    <row r="3759" spans="9:10" x14ac:dyDescent="0.45">
      <c r="I3759"/>
      <c r="J3759"/>
    </row>
    <row r="3760" spans="9:10" x14ac:dyDescent="0.45">
      <c r="I3760"/>
      <c r="J3760"/>
    </row>
    <row r="3761" spans="9:10" x14ac:dyDescent="0.45">
      <c r="I3761"/>
      <c r="J3761"/>
    </row>
    <row r="3762" spans="9:10" x14ac:dyDescent="0.45">
      <c r="I3762"/>
      <c r="J3762"/>
    </row>
    <row r="3763" spans="9:10" x14ac:dyDescent="0.45">
      <c r="I3763"/>
      <c r="J3763"/>
    </row>
    <row r="3764" spans="9:10" x14ac:dyDescent="0.45">
      <c r="I3764"/>
      <c r="J3764"/>
    </row>
    <row r="3765" spans="9:10" x14ac:dyDescent="0.45">
      <c r="I3765"/>
      <c r="J3765"/>
    </row>
    <row r="3766" spans="9:10" x14ac:dyDescent="0.45">
      <c r="I3766"/>
      <c r="J3766"/>
    </row>
    <row r="3767" spans="9:10" x14ac:dyDescent="0.45">
      <c r="I3767"/>
      <c r="J3767"/>
    </row>
    <row r="3768" spans="9:10" x14ac:dyDescent="0.45">
      <c r="I3768"/>
      <c r="J3768"/>
    </row>
    <row r="3769" spans="9:10" x14ac:dyDescent="0.45">
      <c r="I3769"/>
      <c r="J3769"/>
    </row>
    <row r="3770" spans="9:10" x14ac:dyDescent="0.45">
      <c r="I3770"/>
      <c r="J3770"/>
    </row>
    <row r="3771" spans="9:10" x14ac:dyDescent="0.45">
      <c r="I3771"/>
      <c r="J3771"/>
    </row>
    <row r="3772" spans="9:10" x14ac:dyDescent="0.45">
      <c r="I3772"/>
      <c r="J3772"/>
    </row>
    <row r="3773" spans="9:10" x14ac:dyDescent="0.45">
      <c r="I3773"/>
      <c r="J3773"/>
    </row>
    <row r="3774" spans="9:10" x14ac:dyDescent="0.45">
      <c r="I3774"/>
      <c r="J3774"/>
    </row>
    <row r="3775" spans="9:10" x14ac:dyDescent="0.45">
      <c r="I3775"/>
      <c r="J3775"/>
    </row>
    <row r="3776" spans="9:10" x14ac:dyDescent="0.45">
      <c r="I3776"/>
      <c r="J3776"/>
    </row>
    <row r="3777" spans="9:10" x14ac:dyDescent="0.45">
      <c r="I3777"/>
      <c r="J3777"/>
    </row>
    <row r="3778" spans="9:10" x14ac:dyDescent="0.45">
      <c r="I3778"/>
      <c r="J3778"/>
    </row>
    <row r="3779" spans="9:10" x14ac:dyDescent="0.45">
      <c r="I3779"/>
      <c r="J3779"/>
    </row>
    <row r="3780" spans="9:10" x14ac:dyDescent="0.45">
      <c r="I3780"/>
      <c r="J3780"/>
    </row>
    <row r="3781" spans="9:10" x14ac:dyDescent="0.45">
      <c r="I3781"/>
      <c r="J3781"/>
    </row>
    <row r="3782" spans="9:10" x14ac:dyDescent="0.45">
      <c r="I3782"/>
      <c r="J3782"/>
    </row>
    <row r="3783" spans="9:10" x14ac:dyDescent="0.45">
      <c r="I3783"/>
      <c r="J3783"/>
    </row>
    <row r="3784" spans="9:10" x14ac:dyDescent="0.45">
      <c r="I3784"/>
      <c r="J3784"/>
    </row>
    <row r="3785" spans="9:10" x14ac:dyDescent="0.45">
      <c r="I3785"/>
      <c r="J3785"/>
    </row>
    <row r="3786" spans="9:10" x14ac:dyDescent="0.45">
      <c r="I3786"/>
      <c r="J3786"/>
    </row>
    <row r="3787" spans="9:10" x14ac:dyDescent="0.45">
      <c r="I3787"/>
      <c r="J3787"/>
    </row>
    <row r="3788" spans="9:10" x14ac:dyDescent="0.45">
      <c r="I3788"/>
      <c r="J3788"/>
    </row>
    <row r="3789" spans="9:10" x14ac:dyDescent="0.45">
      <c r="I3789"/>
      <c r="J3789"/>
    </row>
    <row r="3790" spans="9:10" x14ac:dyDescent="0.45">
      <c r="I3790"/>
      <c r="J3790"/>
    </row>
    <row r="3791" spans="9:10" x14ac:dyDescent="0.45">
      <c r="I3791"/>
      <c r="J3791"/>
    </row>
    <row r="3792" spans="9:10" x14ac:dyDescent="0.45">
      <c r="I3792"/>
      <c r="J3792"/>
    </row>
    <row r="3793" spans="9:10" x14ac:dyDescent="0.45">
      <c r="I3793"/>
      <c r="J3793"/>
    </row>
    <row r="3794" spans="9:10" x14ac:dyDescent="0.45">
      <c r="I3794"/>
      <c r="J3794"/>
    </row>
    <row r="3795" spans="9:10" x14ac:dyDescent="0.45">
      <c r="I3795"/>
      <c r="J3795"/>
    </row>
    <row r="3796" spans="9:10" x14ac:dyDescent="0.45">
      <c r="I3796"/>
      <c r="J3796"/>
    </row>
    <row r="3797" spans="9:10" x14ac:dyDescent="0.45">
      <c r="I3797"/>
      <c r="J3797"/>
    </row>
    <row r="3798" spans="9:10" x14ac:dyDescent="0.45">
      <c r="I3798"/>
      <c r="J3798"/>
    </row>
    <row r="3799" spans="9:10" x14ac:dyDescent="0.45">
      <c r="I3799"/>
      <c r="J3799"/>
    </row>
    <row r="3800" spans="9:10" x14ac:dyDescent="0.45">
      <c r="I3800"/>
      <c r="J3800"/>
    </row>
    <row r="3801" spans="9:10" x14ac:dyDescent="0.45">
      <c r="I3801"/>
      <c r="J3801"/>
    </row>
    <row r="3802" spans="9:10" x14ac:dyDescent="0.45">
      <c r="I3802"/>
      <c r="J3802"/>
    </row>
    <row r="3803" spans="9:10" x14ac:dyDescent="0.45">
      <c r="I3803"/>
      <c r="J3803"/>
    </row>
    <row r="3804" spans="9:10" x14ac:dyDescent="0.45">
      <c r="I3804"/>
      <c r="J3804"/>
    </row>
    <row r="3805" spans="9:10" x14ac:dyDescent="0.45">
      <c r="I3805"/>
      <c r="J3805"/>
    </row>
    <row r="3806" spans="9:10" x14ac:dyDescent="0.45">
      <c r="I3806"/>
      <c r="J3806"/>
    </row>
    <row r="3807" spans="9:10" x14ac:dyDescent="0.45">
      <c r="I3807"/>
      <c r="J3807"/>
    </row>
    <row r="3808" spans="9:10" x14ac:dyDescent="0.45">
      <c r="I3808"/>
      <c r="J3808"/>
    </row>
    <row r="3809" spans="9:10" x14ac:dyDescent="0.45">
      <c r="I3809"/>
      <c r="J3809"/>
    </row>
    <row r="3810" spans="9:10" x14ac:dyDescent="0.45">
      <c r="I3810"/>
      <c r="J3810"/>
    </row>
    <row r="3811" spans="9:10" x14ac:dyDescent="0.45">
      <c r="I3811"/>
      <c r="J3811"/>
    </row>
    <row r="3812" spans="9:10" x14ac:dyDescent="0.45">
      <c r="I3812"/>
      <c r="J3812"/>
    </row>
    <row r="3813" spans="9:10" x14ac:dyDescent="0.45">
      <c r="I3813"/>
      <c r="J3813"/>
    </row>
    <row r="3814" spans="9:10" x14ac:dyDescent="0.45">
      <c r="I3814"/>
      <c r="J3814"/>
    </row>
    <row r="3815" spans="9:10" x14ac:dyDescent="0.45">
      <c r="I3815"/>
      <c r="J3815"/>
    </row>
    <row r="3816" spans="9:10" x14ac:dyDescent="0.45">
      <c r="I3816"/>
      <c r="J3816"/>
    </row>
    <row r="3817" spans="9:10" x14ac:dyDescent="0.45">
      <c r="I3817"/>
      <c r="J3817"/>
    </row>
    <row r="3818" spans="9:10" x14ac:dyDescent="0.45">
      <c r="I3818"/>
      <c r="J3818"/>
    </row>
    <row r="3819" spans="9:10" x14ac:dyDescent="0.45">
      <c r="I3819"/>
      <c r="J3819"/>
    </row>
    <row r="3820" spans="9:10" x14ac:dyDescent="0.45">
      <c r="I3820"/>
      <c r="J3820"/>
    </row>
    <row r="3821" spans="9:10" x14ac:dyDescent="0.45">
      <c r="I3821"/>
      <c r="J3821"/>
    </row>
    <row r="3822" spans="9:10" x14ac:dyDescent="0.45">
      <c r="I3822"/>
      <c r="J3822"/>
    </row>
    <row r="3823" spans="9:10" x14ac:dyDescent="0.45">
      <c r="I3823"/>
      <c r="J3823"/>
    </row>
    <row r="3824" spans="9:10" x14ac:dyDescent="0.45">
      <c r="I3824"/>
      <c r="J3824"/>
    </row>
    <row r="3825" spans="9:10" x14ac:dyDescent="0.45">
      <c r="I3825"/>
      <c r="J3825"/>
    </row>
    <row r="3826" spans="9:10" x14ac:dyDescent="0.45">
      <c r="I3826"/>
      <c r="J3826"/>
    </row>
    <row r="3827" spans="9:10" x14ac:dyDescent="0.45">
      <c r="I3827"/>
      <c r="J3827"/>
    </row>
    <row r="3828" spans="9:10" x14ac:dyDescent="0.45">
      <c r="I3828"/>
      <c r="J3828"/>
    </row>
    <row r="3829" spans="9:10" x14ac:dyDescent="0.45">
      <c r="I3829"/>
      <c r="J3829"/>
    </row>
    <row r="3830" spans="9:10" x14ac:dyDescent="0.45">
      <c r="I3830"/>
      <c r="J3830"/>
    </row>
    <row r="3831" spans="9:10" x14ac:dyDescent="0.45">
      <c r="I3831"/>
      <c r="J3831"/>
    </row>
    <row r="3832" spans="9:10" x14ac:dyDescent="0.45">
      <c r="I3832"/>
      <c r="J3832"/>
    </row>
    <row r="3833" spans="9:10" x14ac:dyDescent="0.45">
      <c r="I3833"/>
      <c r="J3833"/>
    </row>
    <row r="3834" spans="9:10" x14ac:dyDescent="0.45">
      <c r="I3834"/>
      <c r="J3834"/>
    </row>
    <row r="3835" spans="9:10" x14ac:dyDescent="0.45">
      <c r="I3835"/>
      <c r="J3835"/>
    </row>
    <row r="3836" spans="9:10" x14ac:dyDescent="0.45">
      <c r="I3836"/>
      <c r="J3836"/>
    </row>
    <row r="3837" spans="9:10" x14ac:dyDescent="0.45">
      <c r="I3837"/>
      <c r="J3837"/>
    </row>
    <row r="3838" spans="9:10" x14ac:dyDescent="0.45">
      <c r="I3838"/>
      <c r="J3838"/>
    </row>
    <row r="3839" spans="9:10" x14ac:dyDescent="0.45">
      <c r="I3839"/>
      <c r="J3839"/>
    </row>
    <row r="3840" spans="9:10" x14ac:dyDescent="0.45">
      <c r="I3840"/>
      <c r="J3840"/>
    </row>
    <row r="3841" spans="9:10" x14ac:dyDescent="0.45">
      <c r="I3841"/>
      <c r="J3841"/>
    </row>
    <row r="3842" spans="9:10" x14ac:dyDescent="0.45">
      <c r="I3842"/>
      <c r="J3842"/>
    </row>
    <row r="3843" spans="9:10" x14ac:dyDescent="0.45">
      <c r="I3843"/>
      <c r="J3843"/>
    </row>
    <row r="3844" spans="9:10" x14ac:dyDescent="0.45">
      <c r="I3844"/>
      <c r="J3844"/>
    </row>
    <row r="3845" spans="9:10" x14ac:dyDescent="0.45">
      <c r="I3845"/>
      <c r="J3845"/>
    </row>
    <row r="3846" spans="9:10" x14ac:dyDescent="0.45">
      <c r="I3846"/>
      <c r="J3846"/>
    </row>
    <row r="3847" spans="9:10" x14ac:dyDescent="0.45">
      <c r="I3847"/>
      <c r="J3847"/>
    </row>
    <row r="3848" spans="9:10" x14ac:dyDescent="0.45">
      <c r="I3848"/>
      <c r="J3848"/>
    </row>
    <row r="3849" spans="9:10" x14ac:dyDescent="0.45">
      <c r="I3849"/>
      <c r="J3849"/>
    </row>
    <row r="3850" spans="9:10" x14ac:dyDescent="0.45">
      <c r="I3850"/>
      <c r="J3850"/>
    </row>
    <row r="3851" spans="9:10" x14ac:dyDescent="0.45">
      <c r="I3851"/>
      <c r="J3851"/>
    </row>
    <row r="3852" spans="9:10" x14ac:dyDescent="0.45">
      <c r="I3852"/>
      <c r="J3852"/>
    </row>
    <row r="3853" spans="9:10" x14ac:dyDescent="0.45">
      <c r="I3853"/>
      <c r="J3853"/>
    </row>
    <row r="3854" spans="9:10" x14ac:dyDescent="0.45">
      <c r="I3854"/>
      <c r="J3854"/>
    </row>
    <row r="3855" spans="9:10" x14ac:dyDescent="0.45">
      <c r="I3855"/>
      <c r="J3855"/>
    </row>
    <row r="3856" spans="9:10" x14ac:dyDescent="0.45">
      <c r="I3856"/>
      <c r="J3856"/>
    </row>
    <row r="3857" spans="9:10" x14ac:dyDescent="0.45">
      <c r="I3857"/>
      <c r="J3857"/>
    </row>
    <row r="3858" spans="9:10" x14ac:dyDescent="0.45">
      <c r="I3858"/>
      <c r="J3858"/>
    </row>
    <row r="3859" spans="9:10" x14ac:dyDescent="0.45">
      <c r="I3859"/>
      <c r="J3859"/>
    </row>
    <row r="3860" spans="9:10" x14ac:dyDescent="0.45">
      <c r="I3860"/>
      <c r="J3860"/>
    </row>
    <row r="3861" spans="9:10" x14ac:dyDescent="0.45">
      <c r="I3861"/>
      <c r="J3861"/>
    </row>
    <row r="3862" spans="9:10" x14ac:dyDescent="0.45">
      <c r="I3862"/>
      <c r="J3862"/>
    </row>
    <row r="3863" spans="9:10" x14ac:dyDescent="0.45">
      <c r="I3863"/>
      <c r="J3863"/>
    </row>
    <row r="3864" spans="9:10" x14ac:dyDescent="0.45">
      <c r="I3864"/>
      <c r="J3864"/>
    </row>
    <row r="3865" spans="9:10" x14ac:dyDescent="0.45">
      <c r="I3865"/>
      <c r="J3865"/>
    </row>
    <row r="3866" spans="9:10" x14ac:dyDescent="0.45">
      <c r="I3866"/>
      <c r="J3866"/>
    </row>
    <row r="3867" spans="9:10" x14ac:dyDescent="0.45">
      <c r="I3867"/>
      <c r="J3867"/>
    </row>
    <row r="3868" spans="9:10" x14ac:dyDescent="0.45">
      <c r="I3868"/>
      <c r="J3868"/>
    </row>
    <row r="3869" spans="9:10" x14ac:dyDescent="0.45">
      <c r="I3869"/>
      <c r="J3869"/>
    </row>
    <row r="3870" spans="9:10" x14ac:dyDescent="0.45">
      <c r="I3870"/>
      <c r="J3870"/>
    </row>
    <row r="3871" spans="9:10" x14ac:dyDescent="0.45">
      <c r="I3871"/>
      <c r="J3871"/>
    </row>
    <row r="3872" spans="9:10" x14ac:dyDescent="0.45">
      <c r="I3872"/>
      <c r="J3872"/>
    </row>
    <row r="3873" spans="9:10" x14ac:dyDescent="0.45">
      <c r="I3873"/>
      <c r="J3873"/>
    </row>
    <row r="3874" spans="9:10" x14ac:dyDescent="0.45">
      <c r="I3874"/>
      <c r="J3874"/>
    </row>
    <row r="3875" spans="9:10" x14ac:dyDescent="0.45">
      <c r="I3875"/>
      <c r="J3875"/>
    </row>
    <row r="3876" spans="9:10" x14ac:dyDescent="0.45">
      <c r="I3876"/>
      <c r="J3876"/>
    </row>
    <row r="3877" spans="9:10" x14ac:dyDescent="0.45">
      <c r="I3877"/>
      <c r="J3877"/>
    </row>
    <row r="3878" spans="9:10" x14ac:dyDescent="0.45">
      <c r="I3878"/>
      <c r="J3878"/>
    </row>
    <row r="3879" spans="9:10" x14ac:dyDescent="0.45">
      <c r="I3879"/>
      <c r="J3879"/>
    </row>
    <row r="3880" spans="9:10" x14ac:dyDescent="0.45">
      <c r="I3880"/>
      <c r="J3880"/>
    </row>
    <row r="3881" spans="9:10" x14ac:dyDescent="0.45">
      <c r="I3881"/>
      <c r="J3881"/>
    </row>
    <row r="3882" spans="9:10" x14ac:dyDescent="0.45">
      <c r="I3882"/>
      <c r="J3882"/>
    </row>
    <row r="3883" spans="9:10" x14ac:dyDescent="0.45">
      <c r="I3883"/>
      <c r="J3883"/>
    </row>
    <row r="3884" spans="9:10" x14ac:dyDescent="0.45">
      <c r="I3884"/>
      <c r="J3884"/>
    </row>
    <row r="3885" spans="9:10" x14ac:dyDescent="0.45">
      <c r="I3885"/>
      <c r="J3885"/>
    </row>
    <row r="3886" spans="9:10" x14ac:dyDescent="0.45">
      <c r="I3886"/>
      <c r="J3886"/>
    </row>
    <row r="3887" spans="9:10" x14ac:dyDescent="0.45">
      <c r="I3887"/>
      <c r="J3887"/>
    </row>
    <row r="3888" spans="9:10" x14ac:dyDescent="0.45">
      <c r="I3888"/>
      <c r="J3888"/>
    </row>
    <row r="3889" spans="9:10" x14ac:dyDescent="0.45">
      <c r="I3889"/>
      <c r="J3889"/>
    </row>
    <row r="3890" spans="9:10" x14ac:dyDescent="0.45">
      <c r="I3890"/>
      <c r="J3890"/>
    </row>
    <row r="3891" spans="9:10" x14ac:dyDescent="0.45">
      <c r="I3891"/>
      <c r="J3891"/>
    </row>
    <row r="3892" spans="9:10" x14ac:dyDescent="0.45">
      <c r="I3892"/>
      <c r="J3892"/>
    </row>
    <row r="3893" spans="9:10" x14ac:dyDescent="0.45">
      <c r="I3893"/>
      <c r="J3893"/>
    </row>
    <row r="3894" spans="9:10" x14ac:dyDescent="0.45">
      <c r="I3894"/>
      <c r="J3894"/>
    </row>
    <row r="3895" spans="9:10" x14ac:dyDescent="0.45">
      <c r="I3895"/>
      <c r="J3895"/>
    </row>
    <row r="3896" spans="9:10" x14ac:dyDescent="0.45">
      <c r="I3896"/>
      <c r="J3896"/>
    </row>
    <row r="3897" spans="9:10" x14ac:dyDescent="0.45">
      <c r="I3897"/>
      <c r="J3897"/>
    </row>
    <row r="3898" spans="9:10" x14ac:dyDescent="0.45">
      <c r="I3898"/>
      <c r="J3898"/>
    </row>
    <row r="3899" spans="9:10" x14ac:dyDescent="0.45">
      <c r="I3899"/>
      <c r="J3899"/>
    </row>
    <row r="3900" spans="9:10" x14ac:dyDescent="0.45">
      <c r="I3900"/>
      <c r="J3900"/>
    </row>
    <row r="3901" spans="9:10" x14ac:dyDescent="0.45">
      <c r="I3901"/>
      <c r="J3901"/>
    </row>
    <row r="3902" spans="9:10" x14ac:dyDescent="0.45">
      <c r="I3902"/>
      <c r="J3902"/>
    </row>
    <row r="3903" spans="9:10" x14ac:dyDescent="0.45">
      <c r="I3903"/>
      <c r="J3903"/>
    </row>
    <row r="3904" spans="9:10" x14ac:dyDescent="0.45">
      <c r="I3904"/>
      <c r="J3904"/>
    </row>
    <row r="3905" spans="9:10" x14ac:dyDescent="0.45">
      <c r="I3905"/>
      <c r="J3905"/>
    </row>
    <row r="3906" spans="9:10" x14ac:dyDescent="0.45">
      <c r="I3906"/>
      <c r="J3906"/>
    </row>
    <row r="3907" spans="9:10" x14ac:dyDescent="0.45">
      <c r="I3907"/>
      <c r="J3907"/>
    </row>
    <row r="3908" spans="9:10" x14ac:dyDescent="0.45">
      <c r="I3908"/>
      <c r="J3908"/>
    </row>
    <row r="3909" spans="9:10" x14ac:dyDescent="0.45">
      <c r="I3909"/>
      <c r="J3909"/>
    </row>
    <row r="3910" spans="9:10" x14ac:dyDescent="0.45">
      <c r="I3910"/>
      <c r="J3910"/>
    </row>
    <row r="3911" spans="9:10" x14ac:dyDescent="0.45">
      <c r="I3911"/>
      <c r="J3911"/>
    </row>
    <row r="3912" spans="9:10" x14ac:dyDescent="0.45">
      <c r="I3912"/>
      <c r="J3912"/>
    </row>
    <row r="3913" spans="9:10" x14ac:dyDescent="0.45">
      <c r="I3913"/>
      <c r="J3913"/>
    </row>
    <row r="3914" spans="9:10" x14ac:dyDescent="0.45">
      <c r="I3914"/>
      <c r="J3914"/>
    </row>
    <row r="3915" spans="9:10" x14ac:dyDescent="0.45">
      <c r="I3915"/>
      <c r="J3915"/>
    </row>
    <row r="3916" spans="9:10" x14ac:dyDescent="0.45">
      <c r="I3916"/>
      <c r="J3916"/>
    </row>
    <row r="3917" spans="9:10" x14ac:dyDescent="0.45">
      <c r="I3917"/>
      <c r="J3917"/>
    </row>
    <row r="3918" spans="9:10" x14ac:dyDescent="0.45">
      <c r="I3918"/>
      <c r="J3918"/>
    </row>
    <row r="3919" spans="9:10" x14ac:dyDescent="0.45">
      <c r="I3919"/>
      <c r="J3919"/>
    </row>
    <row r="3920" spans="9:10" x14ac:dyDescent="0.45">
      <c r="I3920"/>
      <c r="J3920"/>
    </row>
    <row r="3921" spans="9:10" x14ac:dyDescent="0.45">
      <c r="I3921"/>
      <c r="J3921"/>
    </row>
    <row r="3922" spans="9:10" x14ac:dyDescent="0.45">
      <c r="I3922"/>
      <c r="J3922"/>
    </row>
    <row r="3923" spans="9:10" x14ac:dyDescent="0.45">
      <c r="I3923"/>
      <c r="J3923"/>
    </row>
    <row r="3924" spans="9:10" x14ac:dyDescent="0.45">
      <c r="I3924"/>
      <c r="J3924"/>
    </row>
    <row r="3925" spans="9:10" x14ac:dyDescent="0.45">
      <c r="I3925"/>
      <c r="J3925"/>
    </row>
    <row r="3926" spans="9:10" x14ac:dyDescent="0.45">
      <c r="I3926"/>
      <c r="J3926"/>
    </row>
    <row r="3927" spans="9:10" x14ac:dyDescent="0.45">
      <c r="I3927"/>
      <c r="J3927"/>
    </row>
    <row r="3928" spans="9:10" x14ac:dyDescent="0.45">
      <c r="I3928"/>
      <c r="J3928"/>
    </row>
    <row r="3929" spans="9:10" x14ac:dyDescent="0.45">
      <c r="I3929"/>
      <c r="J3929"/>
    </row>
    <row r="3930" spans="9:10" x14ac:dyDescent="0.45">
      <c r="I3930"/>
      <c r="J3930"/>
    </row>
    <row r="3931" spans="9:10" x14ac:dyDescent="0.45">
      <c r="I3931"/>
      <c r="J3931"/>
    </row>
    <row r="3932" spans="9:10" x14ac:dyDescent="0.45">
      <c r="I3932"/>
      <c r="J3932"/>
    </row>
    <row r="3933" spans="9:10" x14ac:dyDescent="0.45">
      <c r="I3933"/>
      <c r="J3933"/>
    </row>
    <row r="3934" spans="9:10" x14ac:dyDescent="0.45">
      <c r="I3934"/>
      <c r="J3934"/>
    </row>
    <row r="3935" spans="9:10" x14ac:dyDescent="0.45">
      <c r="I3935"/>
      <c r="J3935"/>
    </row>
    <row r="3936" spans="9:10" x14ac:dyDescent="0.45">
      <c r="I3936"/>
      <c r="J3936"/>
    </row>
    <row r="3937" spans="9:10" x14ac:dyDescent="0.45">
      <c r="I3937"/>
      <c r="J3937"/>
    </row>
    <row r="3938" spans="9:10" x14ac:dyDescent="0.45">
      <c r="I3938"/>
      <c r="J3938"/>
    </row>
    <row r="3939" spans="9:10" x14ac:dyDescent="0.45">
      <c r="I3939"/>
      <c r="J3939"/>
    </row>
    <row r="3940" spans="9:10" x14ac:dyDescent="0.45">
      <c r="I3940"/>
      <c r="J3940"/>
    </row>
    <row r="3941" spans="9:10" x14ac:dyDescent="0.45">
      <c r="I3941"/>
      <c r="J3941"/>
    </row>
    <row r="3942" spans="9:10" x14ac:dyDescent="0.45">
      <c r="I3942"/>
      <c r="J3942"/>
    </row>
    <row r="3943" spans="9:10" x14ac:dyDescent="0.45">
      <c r="I3943"/>
      <c r="J3943"/>
    </row>
    <row r="3944" spans="9:10" x14ac:dyDescent="0.45">
      <c r="I3944"/>
      <c r="J3944"/>
    </row>
    <row r="3945" spans="9:10" x14ac:dyDescent="0.45">
      <c r="I3945"/>
      <c r="J3945"/>
    </row>
    <row r="3946" spans="9:10" x14ac:dyDescent="0.45">
      <c r="I3946"/>
      <c r="J3946"/>
    </row>
    <row r="3947" spans="9:10" x14ac:dyDescent="0.45">
      <c r="I3947"/>
      <c r="J3947"/>
    </row>
    <row r="3948" spans="9:10" x14ac:dyDescent="0.45">
      <c r="I3948"/>
      <c r="J3948"/>
    </row>
    <row r="3949" spans="9:10" x14ac:dyDescent="0.45">
      <c r="I3949"/>
      <c r="J3949"/>
    </row>
    <row r="3950" spans="9:10" x14ac:dyDescent="0.45">
      <c r="I3950"/>
      <c r="J3950"/>
    </row>
    <row r="3951" spans="9:10" x14ac:dyDescent="0.45">
      <c r="I3951"/>
      <c r="J3951"/>
    </row>
    <row r="3952" spans="9:10" x14ac:dyDescent="0.45">
      <c r="I3952"/>
      <c r="J3952"/>
    </row>
    <row r="3953" spans="9:10" x14ac:dyDescent="0.45">
      <c r="I3953"/>
      <c r="J3953"/>
    </row>
    <row r="3954" spans="9:10" x14ac:dyDescent="0.45">
      <c r="I3954"/>
      <c r="J3954"/>
    </row>
    <row r="3955" spans="9:10" x14ac:dyDescent="0.45">
      <c r="I3955"/>
      <c r="J3955"/>
    </row>
    <row r="3956" spans="9:10" x14ac:dyDescent="0.45">
      <c r="I3956"/>
      <c r="J3956"/>
    </row>
    <row r="3957" spans="9:10" x14ac:dyDescent="0.45">
      <c r="I3957"/>
      <c r="J3957"/>
    </row>
    <row r="3958" spans="9:10" x14ac:dyDescent="0.45">
      <c r="I3958"/>
      <c r="J3958"/>
    </row>
    <row r="3959" spans="9:10" x14ac:dyDescent="0.45">
      <c r="I3959"/>
      <c r="J3959"/>
    </row>
    <row r="3960" spans="9:10" x14ac:dyDescent="0.45">
      <c r="I3960"/>
      <c r="J3960"/>
    </row>
    <row r="3961" spans="9:10" x14ac:dyDescent="0.45">
      <c r="I3961"/>
      <c r="J3961"/>
    </row>
    <row r="3962" spans="9:10" x14ac:dyDescent="0.45">
      <c r="I3962"/>
      <c r="J3962"/>
    </row>
    <row r="3963" spans="9:10" x14ac:dyDescent="0.45">
      <c r="I3963"/>
      <c r="J3963"/>
    </row>
    <row r="3964" spans="9:10" x14ac:dyDescent="0.45">
      <c r="I3964"/>
      <c r="J3964"/>
    </row>
    <row r="3965" spans="9:10" x14ac:dyDescent="0.45">
      <c r="I3965"/>
      <c r="J3965"/>
    </row>
    <row r="3966" spans="9:10" x14ac:dyDescent="0.45">
      <c r="I3966"/>
      <c r="J3966"/>
    </row>
    <row r="3967" spans="9:10" x14ac:dyDescent="0.45">
      <c r="I3967"/>
      <c r="J3967"/>
    </row>
    <row r="3968" spans="9:10" x14ac:dyDescent="0.45">
      <c r="I3968"/>
      <c r="J3968"/>
    </row>
    <row r="3969" spans="9:10" x14ac:dyDescent="0.45">
      <c r="I3969"/>
      <c r="J3969"/>
    </row>
    <row r="3970" spans="9:10" x14ac:dyDescent="0.45">
      <c r="I3970"/>
      <c r="J3970"/>
    </row>
    <row r="3971" spans="9:10" x14ac:dyDescent="0.45">
      <c r="I3971"/>
      <c r="J3971"/>
    </row>
    <row r="3972" spans="9:10" x14ac:dyDescent="0.45">
      <c r="I3972"/>
      <c r="J3972"/>
    </row>
    <row r="3973" spans="9:10" x14ac:dyDescent="0.45">
      <c r="I3973"/>
      <c r="J3973"/>
    </row>
    <row r="3974" spans="9:10" x14ac:dyDescent="0.45">
      <c r="I3974"/>
      <c r="J3974"/>
    </row>
    <row r="3975" spans="9:10" x14ac:dyDescent="0.45">
      <c r="I3975"/>
      <c r="J3975"/>
    </row>
    <row r="3976" spans="9:10" x14ac:dyDescent="0.45">
      <c r="I3976"/>
      <c r="J3976"/>
    </row>
    <row r="3977" spans="9:10" x14ac:dyDescent="0.45">
      <c r="I3977"/>
      <c r="J3977"/>
    </row>
    <row r="3978" spans="9:10" x14ac:dyDescent="0.45">
      <c r="I3978"/>
      <c r="J3978"/>
    </row>
    <row r="3979" spans="9:10" x14ac:dyDescent="0.45">
      <c r="I3979"/>
      <c r="J3979"/>
    </row>
    <row r="3980" spans="9:10" x14ac:dyDescent="0.45">
      <c r="I3980"/>
      <c r="J3980"/>
    </row>
    <row r="3981" spans="9:10" x14ac:dyDescent="0.45">
      <c r="I3981"/>
      <c r="J3981"/>
    </row>
    <row r="3982" spans="9:10" x14ac:dyDescent="0.45">
      <c r="I3982"/>
      <c r="J3982"/>
    </row>
    <row r="3983" spans="9:10" x14ac:dyDescent="0.45">
      <c r="I3983"/>
      <c r="J3983"/>
    </row>
    <row r="3984" spans="9:10" x14ac:dyDescent="0.45">
      <c r="I3984"/>
      <c r="J3984"/>
    </row>
    <row r="3985" spans="9:10" x14ac:dyDescent="0.45">
      <c r="I3985"/>
      <c r="J3985"/>
    </row>
    <row r="3986" spans="9:10" x14ac:dyDescent="0.45">
      <c r="I3986"/>
      <c r="J3986"/>
    </row>
    <row r="3987" spans="9:10" x14ac:dyDescent="0.45">
      <c r="I3987"/>
      <c r="J3987"/>
    </row>
    <row r="3988" spans="9:10" x14ac:dyDescent="0.45">
      <c r="I3988"/>
      <c r="J3988"/>
    </row>
    <row r="3989" spans="9:10" x14ac:dyDescent="0.45">
      <c r="I3989"/>
      <c r="J3989"/>
    </row>
    <row r="3990" spans="9:10" x14ac:dyDescent="0.45">
      <c r="I3990"/>
      <c r="J3990"/>
    </row>
    <row r="3991" spans="9:10" x14ac:dyDescent="0.45">
      <c r="I3991"/>
      <c r="J3991"/>
    </row>
    <row r="3992" spans="9:10" x14ac:dyDescent="0.45">
      <c r="I3992"/>
      <c r="J3992"/>
    </row>
    <row r="3993" spans="9:10" x14ac:dyDescent="0.45">
      <c r="I3993"/>
      <c r="J3993"/>
    </row>
    <row r="3994" spans="9:10" x14ac:dyDescent="0.45">
      <c r="I3994"/>
      <c r="J3994"/>
    </row>
    <row r="3995" spans="9:10" x14ac:dyDescent="0.45">
      <c r="I3995"/>
      <c r="J3995"/>
    </row>
    <row r="3996" spans="9:10" x14ac:dyDescent="0.45">
      <c r="I3996"/>
      <c r="J3996"/>
    </row>
    <row r="3997" spans="9:10" x14ac:dyDescent="0.45">
      <c r="I3997"/>
      <c r="J3997"/>
    </row>
    <row r="3998" spans="9:10" x14ac:dyDescent="0.45">
      <c r="I3998"/>
      <c r="J3998"/>
    </row>
    <row r="3999" spans="9:10" x14ac:dyDescent="0.45">
      <c r="I3999"/>
      <c r="J3999"/>
    </row>
    <row r="4000" spans="9:10" x14ac:dyDescent="0.45">
      <c r="I4000"/>
      <c r="J4000"/>
    </row>
    <row r="4001" spans="9:10" x14ac:dyDescent="0.45">
      <c r="I4001"/>
      <c r="J4001"/>
    </row>
    <row r="4002" spans="9:10" x14ac:dyDescent="0.45">
      <c r="I4002"/>
      <c r="J4002"/>
    </row>
    <row r="4003" spans="9:10" x14ac:dyDescent="0.45">
      <c r="I4003"/>
      <c r="J4003"/>
    </row>
    <row r="4004" spans="9:10" x14ac:dyDescent="0.45">
      <c r="I4004"/>
      <c r="J4004"/>
    </row>
    <row r="4005" spans="9:10" x14ac:dyDescent="0.45">
      <c r="I4005"/>
      <c r="J4005"/>
    </row>
    <row r="4006" spans="9:10" x14ac:dyDescent="0.45">
      <c r="I4006"/>
      <c r="J4006"/>
    </row>
    <row r="4007" spans="9:10" x14ac:dyDescent="0.45">
      <c r="I4007"/>
      <c r="J4007"/>
    </row>
    <row r="4008" spans="9:10" x14ac:dyDescent="0.45">
      <c r="I4008"/>
      <c r="J4008"/>
    </row>
    <row r="4009" spans="9:10" x14ac:dyDescent="0.45">
      <c r="I4009"/>
      <c r="J4009"/>
    </row>
    <row r="4010" spans="9:10" x14ac:dyDescent="0.45">
      <c r="I4010"/>
      <c r="J4010"/>
    </row>
    <row r="4011" spans="9:10" x14ac:dyDescent="0.45">
      <c r="I4011"/>
      <c r="J4011"/>
    </row>
    <row r="4012" spans="9:10" x14ac:dyDescent="0.45">
      <c r="I4012"/>
      <c r="J4012"/>
    </row>
    <row r="4013" spans="9:10" x14ac:dyDescent="0.45">
      <c r="I4013"/>
      <c r="J4013"/>
    </row>
    <row r="4014" spans="9:10" x14ac:dyDescent="0.45">
      <c r="I4014"/>
      <c r="J4014"/>
    </row>
    <row r="4015" spans="9:10" x14ac:dyDescent="0.45">
      <c r="I4015"/>
      <c r="J4015"/>
    </row>
    <row r="4016" spans="9:10" x14ac:dyDescent="0.45">
      <c r="I4016"/>
      <c r="J4016"/>
    </row>
    <row r="4017" spans="9:10" x14ac:dyDescent="0.45">
      <c r="I4017"/>
      <c r="J4017"/>
    </row>
    <row r="4018" spans="9:10" x14ac:dyDescent="0.45">
      <c r="I4018"/>
      <c r="J4018"/>
    </row>
    <row r="4019" spans="9:10" x14ac:dyDescent="0.45">
      <c r="I4019"/>
      <c r="J4019"/>
    </row>
    <row r="4020" spans="9:10" x14ac:dyDescent="0.45">
      <c r="I4020"/>
      <c r="J4020"/>
    </row>
    <row r="4021" spans="9:10" x14ac:dyDescent="0.45">
      <c r="I4021"/>
      <c r="J4021"/>
    </row>
    <row r="4022" spans="9:10" x14ac:dyDescent="0.45">
      <c r="I4022"/>
      <c r="J4022"/>
    </row>
    <row r="4023" spans="9:10" x14ac:dyDescent="0.45">
      <c r="I4023"/>
      <c r="J4023"/>
    </row>
    <row r="4024" spans="9:10" x14ac:dyDescent="0.45">
      <c r="I4024"/>
      <c r="J4024"/>
    </row>
    <row r="4025" spans="9:10" x14ac:dyDescent="0.45">
      <c r="I4025"/>
      <c r="J4025"/>
    </row>
    <row r="4026" spans="9:10" x14ac:dyDescent="0.45">
      <c r="I4026"/>
      <c r="J4026"/>
    </row>
    <row r="4027" spans="9:10" x14ac:dyDescent="0.45">
      <c r="I4027"/>
      <c r="J4027"/>
    </row>
    <row r="4028" spans="9:10" x14ac:dyDescent="0.45">
      <c r="I4028"/>
      <c r="J4028"/>
    </row>
    <row r="4029" spans="9:10" x14ac:dyDescent="0.45">
      <c r="I4029"/>
      <c r="J4029"/>
    </row>
    <row r="4030" spans="9:10" x14ac:dyDescent="0.45">
      <c r="I4030"/>
      <c r="J4030"/>
    </row>
    <row r="4031" spans="9:10" x14ac:dyDescent="0.45">
      <c r="I4031"/>
      <c r="J4031"/>
    </row>
    <row r="4032" spans="9:10" x14ac:dyDescent="0.45">
      <c r="I4032"/>
      <c r="J4032"/>
    </row>
    <row r="4033" spans="9:10" x14ac:dyDescent="0.45">
      <c r="I4033"/>
      <c r="J4033"/>
    </row>
    <row r="4034" spans="9:10" x14ac:dyDescent="0.45">
      <c r="I4034"/>
      <c r="J4034"/>
    </row>
    <row r="4035" spans="9:10" x14ac:dyDescent="0.45">
      <c r="I4035"/>
      <c r="J4035"/>
    </row>
    <row r="4036" spans="9:10" x14ac:dyDescent="0.45">
      <c r="I4036"/>
      <c r="J4036"/>
    </row>
    <row r="4037" spans="9:10" x14ac:dyDescent="0.45">
      <c r="I4037"/>
      <c r="J4037"/>
    </row>
    <row r="4038" spans="9:10" x14ac:dyDescent="0.45">
      <c r="I4038"/>
      <c r="J4038"/>
    </row>
    <row r="4039" spans="9:10" x14ac:dyDescent="0.45">
      <c r="I4039"/>
      <c r="J4039"/>
    </row>
    <row r="4040" spans="9:10" x14ac:dyDescent="0.45">
      <c r="I4040"/>
      <c r="J4040"/>
    </row>
    <row r="4041" spans="9:10" x14ac:dyDescent="0.45">
      <c r="I4041"/>
      <c r="J4041"/>
    </row>
    <row r="4042" spans="9:10" x14ac:dyDescent="0.45">
      <c r="I4042"/>
      <c r="J4042"/>
    </row>
    <row r="4043" spans="9:10" x14ac:dyDescent="0.45">
      <c r="I4043"/>
      <c r="J4043"/>
    </row>
    <row r="4044" spans="9:10" x14ac:dyDescent="0.45">
      <c r="I4044"/>
      <c r="J4044"/>
    </row>
    <row r="4045" spans="9:10" x14ac:dyDescent="0.45">
      <c r="I4045"/>
      <c r="J4045"/>
    </row>
    <row r="4046" spans="9:10" x14ac:dyDescent="0.45">
      <c r="I4046"/>
      <c r="J4046"/>
    </row>
    <row r="4047" spans="9:10" x14ac:dyDescent="0.45">
      <c r="I4047"/>
      <c r="J4047"/>
    </row>
    <row r="4048" spans="9:10" x14ac:dyDescent="0.45">
      <c r="I4048"/>
      <c r="J4048"/>
    </row>
    <row r="4049" spans="9:10" x14ac:dyDescent="0.45">
      <c r="I4049"/>
      <c r="J4049"/>
    </row>
    <row r="4050" spans="9:10" x14ac:dyDescent="0.45">
      <c r="I4050"/>
      <c r="J4050"/>
    </row>
    <row r="4051" spans="9:10" x14ac:dyDescent="0.45">
      <c r="I4051"/>
      <c r="J4051"/>
    </row>
    <row r="4052" spans="9:10" x14ac:dyDescent="0.45">
      <c r="I4052"/>
      <c r="J4052"/>
    </row>
    <row r="4053" spans="9:10" x14ac:dyDescent="0.45">
      <c r="I4053"/>
      <c r="J4053"/>
    </row>
    <row r="4054" spans="9:10" x14ac:dyDescent="0.45">
      <c r="I4054"/>
      <c r="J4054"/>
    </row>
    <row r="4055" spans="9:10" x14ac:dyDescent="0.45">
      <c r="I4055"/>
      <c r="J4055"/>
    </row>
    <row r="4056" spans="9:10" x14ac:dyDescent="0.45">
      <c r="I4056"/>
      <c r="J4056"/>
    </row>
    <row r="4057" spans="9:10" x14ac:dyDescent="0.45">
      <c r="I4057"/>
      <c r="J4057"/>
    </row>
    <row r="4058" spans="9:10" x14ac:dyDescent="0.45">
      <c r="I4058"/>
      <c r="J4058"/>
    </row>
    <row r="4059" spans="9:10" x14ac:dyDescent="0.45">
      <c r="I4059"/>
      <c r="J4059"/>
    </row>
    <row r="4060" spans="9:10" x14ac:dyDescent="0.45">
      <c r="I4060"/>
      <c r="J4060"/>
    </row>
    <row r="4061" spans="9:10" x14ac:dyDescent="0.45">
      <c r="I4061"/>
      <c r="J4061"/>
    </row>
    <row r="4062" spans="9:10" x14ac:dyDescent="0.45">
      <c r="I4062"/>
      <c r="J4062"/>
    </row>
    <row r="4063" spans="9:10" x14ac:dyDescent="0.45">
      <c r="I4063"/>
      <c r="J4063"/>
    </row>
    <row r="4064" spans="9:10" x14ac:dyDescent="0.45">
      <c r="I4064"/>
      <c r="J4064"/>
    </row>
    <row r="4065" spans="9:10" x14ac:dyDescent="0.45">
      <c r="I4065"/>
      <c r="J4065"/>
    </row>
    <row r="4066" spans="9:10" x14ac:dyDescent="0.45">
      <c r="I4066"/>
      <c r="J4066"/>
    </row>
    <row r="4067" spans="9:10" x14ac:dyDescent="0.45">
      <c r="I4067"/>
      <c r="J4067"/>
    </row>
    <row r="4068" spans="9:10" x14ac:dyDescent="0.45">
      <c r="I4068"/>
      <c r="J4068"/>
    </row>
    <row r="4069" spans="9:10" x14ac:dyDescent="0.45">
      <c r="I4069"/>
      <c r="J4069"/>
    </row>
    <row r="4070" spans="9:10" x14ac:dyDescent="0.45">
      <c r="I4070"/>
      <c r="J4070"/>
    </row>
    <row r="4071" spans="9:10" x14ac:dyDescent="0.45">
      <c r="I4071"/>
      <c r="J4071"/>
    </row>
    <row r="4072" spans="9:10" x14ac:dyDescent="0.45">
      <c r="I4072"/>
      <c r="J4072"/>
    </row>
    <row r="4073" spans="9:10" x14ac:dyDescent="0.45">
      <c r="I4073"/>
      <c r="J4073"/>
    </row>
    <row r="4074" spans="9:10" x14ac:dyDescent="0.45">
      <c r="I4074"/>
      <c r="J4074"/>
    </row>
    <row r="4075" spans="9:10" x14ac:dyDescent="0.45">
      <c r="I4075"/>
      <c r="J4075"/>
    </row>
    <row r="4076" spans="9:10" x14ac:dyDescent="0.45">
      <c r="I4076"/>
      <c r="J4076"/>
    </row>
    <row r="4077" spans="9:10" x14ac:dyDescent="0.45">
      <c r="I4077"/>
      <c r="J4077"/>
    </row>
    <row r="4078" spans="9:10" x14ac:dyDescent="0.45">
      <c r="I4078"/>
      <c r="J4078"/>
    </row>
    <row r="4079" spans="9:10" x14ac:dyDescent="0.45">
      <c r="I4079"/>
      <c r="J4079"/>
    </row>
    <row r="4080" spans="9:10" x14ac:dyDescent="0.45">
      <c r="I4080"/>
      <c r="J4080"/>
    </row>
    <row r="4081" spans="9:10" x14ac:dyDescent="0.45">
      <c r="I4081"/>
      <c r="J4081"/>
    </row>
    <row r="4082" spans="9:10" x14ac:dyDescent="0.45">
      <c r="I4082"/>
      <c r="J4082"/>
    </row>
    <row r="4083" spans="9:10" x14ac:dyDescent="0.45">
      <c r="I4083"/>
      <c r="J4083"/>
    </row>
    <row r="4084" spans="9:10" x14ac:dyDescent="0.45">
      <c r="I4084"/>
      <c r="J4084"/>
    </row>
    <row r="4085" spans="9:10" x14ac:dyDescent="0.45">
      <c r="I4085"/>
      <c r="J4085"/>
    </row>
    <row r="4086" spans="9:10" x14ac:dyDescent="0.45">
      <c r="I4086"/>
      <c r="J4086"/>
    </row>
    <row r="4087" spans="9:10" x14ac:dyDescent="0.45">
      <c r="I4087"/>
      <c r="J4087"/>
    </row>
    <row r="4088" spans="9:10" x14ac:dyDescent="0.45">
      <c r="I4088"/>
      <c r="J4088"/>
    </row>
    <row r="4089" spans="9:10" x14ac:dyDescent="0.45">
      <c r="I4089"/>
      <c r="J4089"/>
    </row>
    <row r="4090" spans="9:10" x14ac:dyDescent="0.45">
      <c r="I4090"/>
      <c r="J4090"/>
    </row>
    <row r="4091" spans="9:10" x14ac:dyDescent="0.45">
      <c r="I4091"/>
      <c r="J4091"/>
    </row>
    <row r="4092" spans="9:10" x14ac:dyDescent="0.45">
      <c r="I4092"/>
      <c r="J4092"/>
    </row>
    <row r="4093" spans="9:10" x14ac:dyDescent="0.45">
      <c r="I4093"/>
      <c r="J4093"/>
    </row>
    <row r="4094" spans="9:10" x14ac:dyDescent="0.45">
      <c r="I4094"/>
      <c r="J4094"/>
    </row>
    <row r="4095" spans="9:10" x14ac:dyDescent="0.45">
      <c r="I4095"/>
      <c r="J4095"/>
    </row>
    <row r="4096" spans="9:10" x14ac:dyDescent="0.45">
      <c r="I4096"/>
      <c r="J4096"/>
    </row>
    <row r="4097" spans="9:10" x14ac:dyDescent="0.45">
      <c r="I4097"/>
      <c r="J4097"/>
    </row>
    <row r="4098" spans="9:10" x14ac:dyDescent="0.45">
      <c r="I4098"/>
      <c r="J4098"/>
    </row>
    <row r="4099" spans="9:10" x14ac:dyDescent="0.45">
      <c r="I4099"/>
      <c r="J4099"/>
    </row>
    <row r="4100" spans="9:10" x14ac:dyDescent="0.45">
      <c r="I4100"/>
      <c r="J4100"/>
    </row>
    <row r="4101" spans="9:10" x14ac:dyDescent="0.45">
      <c r="I4101"/>
      <c r="J4101"/>
    </row>
    <row r="4102" spans="9:10" x14ac:dyDescent="0.45">
      <c r="I4102"/>
      <c r="J4102"/>
    </row>
    <row r="4103" spans="9:10" x14ac:dyDescent="0.45">
      <c r="I4103"/>
      <c r="J4103"/>
    </row>
    <row r="4104" spans="9:10" x14ac:dyDescent="0.45">
      <c r="I4104"/>
      <c r="J4104"/>
    </row>
    <row r="4105" spans="9:10" x14ac:dyDescent="0.45">
      <c r="I4105"/>
      <c r="J4105"/>
    </row>
    <row r="4106" spans="9:10" x14ac:dyDescent="0.45">
      <c r="I4106"/>
      <c r="J4106"/>
    </row>
    <row r="4107" spans="9:10" x14ac:dyDescent="0.45">
      <c r="I4107"/>
      <c r="J4107"/>
    </row>
    <row r="4108" spans="9:10" x14ac:dyDescent="0.45">
      <c r="I4108"/>
      <c r="J4108"/>
    </row>
    <row r="4109" spans="9:10" x14ac:dyDescent="0.45">
      <c r="I4109"/>
      <c r="J4109"/>
    </row>
    <row r="4110" spans="9:10" x14ac:dyDescent="0.45">
      <c r="I4110"/>
      <c r="J4110"/>
    </row>
    <row r="4111" spans="9:10" x14ac:dyDescent="0.45">
      <c r="I4111"/>
      <c r="J4111"/>
    </row>
    <row r="4112" spans="9:10" x14ac:dyDescent="0.45">
      <c r="I4112"/>
      <c r="J4112"/>
    </row>
    <row r="4113" spans="9:10" x14ac:dyDescent="0.45">
      <c r="I4113"/>
      <c r="J4113"/>
    </row>
    <row r="4114" spans="9:10" x14ac:dyDescent="0.45">
      <c r="I4114"/>
      <c r="J4114"/>
    </row>
    <row r="4115" spans="9:10" x14ac:dyDescent="0.45">
      <c r="I4115"/>
      <c r="J4115"/>
    </row>
    <row r="4116" spans="9:10" x14ac:dyDescent="0.45">
      <c r="I4116"/>
      <c r="J4116"/>
    </row>
    <row r="4117" spans="9:10" x14ac:dyDescent="0.45">
      <c r="I4117"/>
      <c r="J4117"/>
    </row>
    <row r="4118" spans="9:10" x14ac:dyDescent="0.45">
      <c r="I4118"/>
      <c r="J4118"/>
    </row>
    <row r="4119" spans="9:10" x14ac:dyDescent="0.45">
      <c r="I4119"/>
      <c r="J4119"/>
    </row>
    <row r="4120" spans="9:10" x14ac:dyDescent="0.45">
      <c r="I4120"/>
      <c r="J4120"/>
    </row>
    <row r="4121" spans="9:10" x14ac:dyDescent="0.45">
      <c r="I4121"/>
      <c r="J4121"/>
    </row>
    <row r="4122" spans="9:10" x14ac:dyDescent="0.45">
      <c r="I4122"/>
      <c r="J4122"/>
    </row>
    <row r="4123" spans="9:10" x14ac:dyDescent="0.45">
      <c r="I4123"/>
      <c r="J4123"/>
    </row>
    <row r="4124" spans="9:10" x14ac:dyDescent="0.45">
      <c r="I4124"/>
      <c r="J4124"/>
    </row>
    <row r="4125" spans="9:10" x14ac:dyDescent="0.45">
      <c r="I4125"/>
      <c r="J4125"/>
    </row>
    <row r="4126" spans="9:10" x14ac:dyDescent="0.45">
      <c r="I4126"/>
      <c r="J4126"/>
    </row>
    <row r="4127" spans="9:10" x14ac:dyDescent="0.45">
      <c r="I4127"/>
      <c r="J4127"/>
    </row>
    <row r="4128" spans="9:10" x14ac:dyDescent="0.45">
      <c r="I4128"/>
      <c r="J4128"/>
    </row>
    <row r="4129" spans="9:10" x14ac:dyDescent="0.45">
      <c r="I4129"/>
      <c r="J4129"/>
    </row>
    <row r="4130" spans="9:10" x14ac:dyDescent="0.45">
      <c r="I4130"/>
      <c r="J4130"/>
    </row>
    <row r="4131" spans="9:10" x14ac:dyDescent="0.45">
      <c r="I4131"/>
      <c r="J4131"/>
    </row>
    <row r="4132" spans="9:10" x14ac:dyDescent="0.45">
      <c r="I4132"/>
      <c r="J4132"/>
    </row>
    <row r="4133" spans="9:10" x14ac:dyDescent="0.45">
      <c r="I4133"/>
      <c r="J4133"/>
    </row>
    <row r="4134" spans="9:10" x14ac:dyDescent="0.45">
      <c r="I4134"/>
      <c r="J4134"/>
    </row>
    <row r="4135" spans="9:10" x14ac:dyDescent="0.45">
      <c r="I4135"/>
      <c r="J4135"/>
    </row>
    <row r="4136" spans="9:10" x14ac:dyDescent="0.45">
      <c r="I4136"/>
      <c r="J4136"/>
    </row>
    <row r="4137" spans="9:10" x14ac:dyDescent="0.45">
      <c r="I4137"/>
      <c r="J4137"/>
    </row>
    <row r="4138" spans="9:10" x14ac:dyDescent="0.45">
      <c r="I4138"/>
      <c r="J4138"/>
    </row>
    <row r="4139" spans="9:10" x14ac:dyDescent="0.45">
      <c r="I4139"/>
      <c r="J4139"/>
    </row>
    <row r="4140" spans="9:10" x14ac:dyDescent="0.45">
      <c r="I4140"/>
      <c r="J4140"/>
    </row>
    <row r="4141" spans="9:10" x14ac:dyDescent="0.45">
      <c r="I4141"/>
      <c r="J4141"/>
    </row>
    <row r="4142" spans="9:10" x14ac:dyDescent="0.45">
      <c r="I4142"/>
      <c r="J4142"/>
    </row>
    <row r="4143" spans="9:10" x14ac:dyDescent="0.45">
      <c r="I4143"/>
      <c r="J4143"/>
    </row>
    <row r="4144" spans="9:10" x14ac:dyDescent="0.45">
      <c r="I4144"/>
      <c r="J4144"/>
    </row>
    <row r="4145" spans="9:10" x14ac:dyDescent="0.45">
      <c r="I4145"/>
      <c r="J4145"/>
    </row>
    <row r="4146" spans="9:10" x14ac:dyDescent="0.45">
      <c r="I4146"/>
      <c r="J4146"/>
    </row>
    <row r="4147" spans="9:10" x14ac:dyDescent="0.45">
      <c r="I4147"/>
      <c r="J4147"/>
    </row>
    <row r="4148" spans="9:10" x14ac:dyDescent="0.45">
      <c r="I4148"/>
      <c r="J4148"/>
    </row>
    <row r="4149" spans="9:10" x14ac:dyDescent="0.45">
      <c r="I4149"/>
      <c r="J4149"/>
    </row>
    <row r="4150" spans="9:10" x14ac:dyDescent="0.45">
      <c r="I4150"/>
      <c r="J4150"/>
    </row>
    <row r="4151" spans="9:10" x14ac:dyDescent="0.45">
      <c r="I4151"/>
      <c r="J4151"/>
    </row>
    <row r="4152" spans="9:10" x14ac:dyDescent="0.45">
      <c r="I4152"/>
      <c r="J4152"/>
    </row>
    <row r="4153" spans="9:10" x14ac:dyDescent="0.45">
      <c r="I4153"/>
      <c r="J4153"/>
    </row>
    <row r="4154" spans="9:10" x14ac:dyDescent="0.45">
      <c r="I4154"/>
      <c r="J4154"/>
    </row>
    <row r="4155" spans="9:10" x14ac:dyDescent="0.45">
      <c r="I4155"/>
      <c r="J4155"/>
    </row>
    <row r="4156" spans="9:10" x14ac:dyDescent="0.45">
      <c r="I4156"/>
      <c r="J4156"/>
    </row>
    <row r="4157" spans="9:10" x14ac:dyDescent="0.45">
      <c r="I4157"/>
      <c r="J4157"/>
    </row>
    <row r="4158" spans="9:10" x14ac:dyDescent="0.45">
      <c r="I4158"/>
      <c r="J4158"/>
    </row>
    <row r="4159" spans="9:10" x14ac:dyDescent="0.45">
      <c r="I4159"/>
      <c r="J4159"/>
    </row>
    <row r="4160" spans="9:10" x14ac:dyDescent="0.45">
      <c r="I4160"/>
      <c r="J4160"/>
    </row>
    <row r="4161" spans="9:10" x14ac:dyDescent="0.45">
      <c r="I4161"/>
      <c r="J4161"/>
    </row>
    <row r="4162" spans="9:10" x14ac:dyDescent="0.45">
      <c r="I4162"/>
      <c r="J4162"/>
    </row>
    <row r="4163" spans="9:10" x14ac:dyDescent="0.45">
      <c r="I4163"/>
      <c r="J4163"/>
    </row>
    <row r="4164" spans="9:10" x14ac:dyDescent="0.45">
      <c r="I4164"/>
      <c r="J4164"/>
    </row>
    <row r="4165" spans="9:10" x14ac:dyDescent="0.45">
      <c r="I4165"/>
      <c r="J4165"/>
    </row>
    <row r="4166" spans="9:10" x14ac:dyDescent="0.45">
      <c r="I4166"/>
      <c r="J4166"/>
    </row>
    <row r="4167" spans="9:10" x14ac:dyDescent="0.45">
      <c r="I4167"/>
      <c r="J4167"/>
    </row>
    <row r="4168" spans="9:10" x14ac:dyDescent="0.45">
      <c r="I4168"/>
      <c r="J4168"/>
    </row>
    <row r="4169" spans="9:10" x14ac:dyDescent="0.45">
      <c r="I4169"/>
      <c r="J4169"/>
    </row>
    <row r="4170" spans="9:10" x14ac:dyDescent="0.45">
      <c r="I4170"/>
      <c r="J4170"/>
    </row>
    <row r="4171" spans="9:10" x14ac:dyDescent="0.45">
      <c r="I4171"/>
      <c r="J4171"/>
    </row>
    <row r="4172" spans="9:10" x14ac:dyDescent="0.45">
      <c r="I4172"/>
      <c r="J4172"/>
    </row>
    <row r="4173" spans="9:10" x14ac:dyDescent="0.45">
      <c r="I4173"/>
      <c r="J4173"/>
    </row>
    <row r="4174" spans="9:10" x14ac:dyDescent="0.45">
      <c r="I4174"/>
      <c r="J4174"/>
    </row>
    <row r="4175" spans="9:10" x14ac:dyDescent="0.45">
      <c r="I4175"/>
      <c r="J4175"/>
    </row>
    <row r="4176" spans="9:10" x14ac:dyDescent="0.45">
      <c r="I4176"/>
      <c r="J4176"/>
    </row>
    <row r="4177" spans="9:10" x14ac:dyDescent="0.45">
      <c r="I4177"/>
      <c r="J4177"/>
    </row>
    <row r="4178" spans="9:10" x14ac:dyDescent="0.45">
      <c r="I4178"/>
      <c r="J4178"/>
    </row>
    <row r="4179" spans="9:10" x14ac:dyDescent="0.45">
      <c r="I4179"/>
      <c r="J4179"/>
    </row>
    <row r="4180" spans="9:10" x14ac:dyDescent="0.45">
      <c r="I4180"/>
      <c r="J4180"/>
    </row>
    <row r="4181" spans="9:10" x14ac:dyDescent="0.45">
      <c r="I4181"/>
      <c r="J4181"/>
    </row>
    <row r="4182" spans="9:10" x14ac:dyDescent="0.45">
      <c r="I4182"/>
      <c r="J4182"/>
    </row>
    <row r="4183" spans="9:10" x14ac:dyDescent="0.45">
      <c r="I4183"/>
      <c r="J4183"/>
    </row>
    <row r="4184" spans="9:10" x14ac:dyDescent="0.45">
      <c r="I4184"/>
      <c r="J4184"/>
    </row>
    <row r="4185" spans="9:10" x14ac:dyDescent="0.45">
      <c r="I4185"/>
      <c r="J4185"/>
    </row>
    <row r="4186" spans="9:10" x14ac:dyDescent="0.45">
      <c r="I4186"/>
      <c r="J4186"/>
    </row>
    <row r="4187" spans="9:10" x14ac:dyDescent="0.45">
      <c r="I4187"/>
      <c r="J4187"/>
    </row>
    <row r="4188" spans="9:10" x14ac:dyDescent="0.45">
      <c r="I4188"/>
      <c r="J4188"/>
    </row>
    <row r="4189" spans="9:10" x14ac:dyDescent="0.45">
      <c r="I4189"/>
      <c r="J4189"/>
    </row>
    <row r="4190" spans="9:10" x14ac:dyDescent="0.45">
      <c r="I4190"/>
      <c r="J4190"/>
    </row>
    <row r="4191" spans="9:10" x14ac:dyDescent="0.45">
      <c r="I4191"/>
      <c r="J4191"/>
    </row>
    <row r="4192" spans="9:10" x14ac:dyDescent="0.45">
      <c r="I4192"/>
      <c r="J4192"/>
    </row>
    <row r="4193" spans="9:10" x14ac:dyDescent="0.45">
      <c r="I4193"/>
      <c r="J4193"/>
    </row>
    <row r="4194" spans="9:10" x14ac:dyDescent="0.45">
      <c r="I4194"/>
      <c r="J4194"/>
    </row>
    <row r="4195" spans="9:10" x14ac:dyDescent="0.45">
      <c r="I4195"/>
      <c r="J4195"/>
    </row>
    <row r="4196" spans="9:10" x14ac:dyDescent="0.45">
      <c r="I4196"/>
      <c r="J4196"/>
    </row>
    <row r="4197" spans="9:10" x14ac:dyDescent="0.45">
      <c r="I4197"/>
      <c r="J4197"/>
    </row>
    <row r="4198" spans="9:10" x14ac:dyDescent="0.45">
      <c r="I4198"/>
      <c r="J4198"/>
    </row>
    <row r="4199" spans="9:10" x14ac:dyDescent="0.45">
      <c r="I4199"/>
      <c r="J4199"/>
    </row>
    <row r="4200" spans="9:10" x14ac:dyDescent="0.45">
      <c r="I4200"/>
      <c r="J4200"/>
    </row>
    <row r="4201" spans="9:10" x14ac:dyDescent="0.45">
      <c r="I4201"/>
      <c r="J4201"/>
    </row>
    <row r="4202" spans="9:10" x14ac:dyDescent="0.45">
      <c r="I4202"/>
      <c r="J4202"/>
    </row>
    <row r="4203" spans="9:10" x14ac:dyDescent="0.45">
      <c r="I4203"/>
      <c r="J4203"/>
    </row>
    <row r="4204" spans="9:10" x14ac:dyDescent="0.45">
      <c r="I4204"/>
      <c r="J4204"/>
    </row>
    <row r="4205" spans="9:10" x14ac:dyDescent="0.45">
      <c r="I4205"/>
      <c r="J4205"/>
    </row>
    <row r="4206" spans="9:10" x14ac:dyDescent="0.45">
      <c r="I4206"/>
      <c r="J4206"/>
    </row>
    <row r="4207" spans="9:10" x14ac:dyDescent="0.45">
      <c r="I4207"/>
      <c r="J4207"/>
    </row>
    <row r="4208" spans="9:10" x14ac:dyDescent="0.45">
      <c r="I4208"/>
      <c r="J4208"/>
    </row>
    <row r="4209" spans="9:10" x14ac:dyDescent="0.45">
      <c r="I4209"/>
      <c r="J4209"/>
    </row>
    <row r="4210" spans="9:10" x14ac:dyDescent="0.45">
      <c r="I4210"/>
      <c r="J4210"/>
    </row>
    <row r="4211" spans="9:10" x14ac:dyDescent="0.45">
      <c r="I4211"/>
      <c r="J4211"/>
    </row>
    <row r="4212" spans="9:10" x14ac:dyDescent="0.45">
      <c r="I4212"/>
      <c r="J4212"/>
    </row>
    <row r="4213" spans="9:10" x14ac:dyDescent="0.45">
      <c r="I4213"/>
      <c r="J4213"/>
    </row>
    <row r="4214" spans="9:10" x14ac:dyDescent="0.45">
      <c r="I4214"/>
      <c r="J4214"/>
    </row>
    <row r="4215" spans="9:10" x14ac:dyDescent="0.45">
      <c r="I4215"/>
      <c r="J4215"/>
    </row>
    <row r="4216" spans="9:10" x14ac:dyDescent="0.45">
      <c r="I4216"/>
      <c r="J4216"/>
    </row>
    <row r="4217" spans="9:10" x14ac:dyDescent="0.45">
      <c r="I4217"/>
      <c r="J4217"/>
    </row>
    <row r="4218" spans="9:10" x14ac:dyDescent="0.45">
      <c r="I4218"/>
      <c r="J4218"/>
    </row>
    <row r="4219" spans="9:10" x14ac:dyDescent="0.45">
      <c r="I4219"/>
      <c r="J4219"/>
    </row>
    <row r="4220" spans="9:10" x14ac:dyDescent="0.45">
      <c r="I4220"/>
      <c r="J4220"/>
    </row>
    <row r="4221" spans="9:10" x14ac:dyDescent="0.45">
      <c r="I4221"/>
      <c r="J4221"/>
    </row>
    <row r="4222" spans="9:10" x14ac:dyDescent="0.45">
      <c r="I4222"/>
      <c r="J4222"/>
    </row>
    <row r="4223" spans="9:10" x14ac:dyDescent="0.45">
      <c r="I4223"/>
      <c r="J4223"/>
    </row>
    <row r="4224" spans="9:10" x14ac:dyDescent="0.45">
      <c r="I4224"/>
      <c r="J4224"/>
    </row>
    <row r="4225" spans="9:10" x14ac:dyDescent="0.45">
      <c r="I4225"/>
      <c r="J4225"/>
    </row>
    <row r="4226" spans="9:10" x14ac:dyDescent="0.45">
      <c r="I4226"/>
      <c r="J4226"/>
    </row>
    <row r="4227" spans="9:10" x14ac:dyDescent="0.45">
      <c r="I4227"/>
      <c r="J4227"/>
    </row>
    <row r="4228" spans="9:10" x14ac:dyDescent="0.45">
      <c r="I4228"/>
      <c r="J4228"/>
    </row>
    <row r="4229" spans="9:10" x14ac:dyDescent="0.45">
      <c r="I4229"/>
      <c r="J4229"/>
    </row>
    <row r="4230" spans="9:10" x14ac:dyDescent="0.45">
      <c r="I4230"/>
      <c r="J4230"/>
    </row>
    <row r="4231" spans="9:10" x14ac:dyDescent="0.45">
      <c r="I4231"/>
      <c r="J4231"/>
    </row>
    <row r="4232" spans="9:10" x14ac:dyDescent="0.45">
      <c r="I4232"/>
      <c r="J4232"/>
    </row>
    <row r="4233" spans="9:10" x14ac:dyDescent="0.45">
      <c r="I4233"/>
      <c r="J4233"/>
    </row>
    <row r="4234" spans="9:10" x14ac:dyDescent="0.45">
      <c r="I4234"/>
      <c r="J4234"/>
    </row>
    <row r="4235" spans="9:10" x14ac:dyDescent="0.45">
      <c r="I4235"/>
      <c r="J4235"/>
    </row>
    <row r="4236" spans="9:10" x14ac:dyDescent="0.45">
      <c r="I4236"/>
      <c r="J4236"/>
    </row>
    <row r="4237" spans="9:10" x14ac:dyDescent="0.45">
      <c r="I4237"/>
      <c r="J4237"/>
    </row>
    <row r="4238" spans="9:10" x14ac:dyDescent="0.45">
      <c r="I4238"/>
      <c r="J4238"/>
    </row>
    <row r="4239" spans="9:10" x14ac:dyDescent="0.45">
      <c r="I4239"/>
      <c r="J4239"/>
    </row>
    <row r="4240" spans="9:10" x14ac:dyDescent="0.45">
      <c r="I4240"/>
      <c r="J4240"/>
    </row>
    <row r="4241" spans="9:10" x14ac:dyDescent="0.45">
      <c r="I4241"/>
      <c r="J4241"/>
    </row>
    <row r="4242" spans="9:10" x14ac:dyDescent="0.45">
      <c r="I4242"/>
      <c r="J4242"/>
    </row>
    <row r="4243" spans="9:10" x14ac:dyDescent="0.45">
      <c r="I4243"/>
      <c r="J4243"/>
    </row>
    <row r="4244" spans="9:10" x14ac:dyDescent="0.45">
      <c r="I4244"/>
      <c r="J4244"/>
    </row>
    <row r="4245" spans="9:10" x14ac:dyDescent="0.45">
      <c r="I4245"/>
      <c r="J4245"/>
    </row>
    <row r="4246" spans="9:10" x14ac:dyDescent="0.45">
      <c r="I4246"/>
      <c r="J4246"/>
    </row>
    <row r="4247" spans="9:10" x14ac:dyDescent="0.45">
      <c r="I4247"/>
      <c r="J4247"/>
    </row>
    <row r="4248" spans="9:10" x14ac:dyDescent="0.45">
      <c r="I4248"/>
      <c r="J4248"/>
    </row>
    <row r="4249" spans="9:10" x14ac:dyDescent="0.45">
      <c r="I4249"/>
      <c r="J4249"/>
    </row>
    <row r="4250" spans="9:10" x14ac:dyDescent="0.45">
      <c r="I4250"/>
      <c r="J4250"/>
    </row>
    <row r="4251" spans="9:10" x14ac:dyDescent="0.45">
      <c r="I4251"/>
      <c r="J4251"/>
    </row>
    <row r="4252" spans="9:10" x14ac:dyDescent="0.45">
      <c r="I4252"/>
      <c r="J4252"/>
    </row>
    <row r="4253" spans="9:10" x14ac:dyDescent="0.45">
      <c r="I4253"/>
      <c r="J4253"/>
    </row>
    <row r="4254" spans="9:10" x14ac:dyDescent="0.45">
      <c r="I4254"/>
      <c r="J4254"/>
    </row>
    <row r="4255" spans="9:10" x14ac:dyDescent="0.45">
      <c r="I4255"/>
      <c r="J4255"/>
    </row>
    <row r="4256" spans="9:10" x14ac:dyDescent="0.45">
      <c r="I4256"/>
      <c r="J4256"/>
    </row>
    <row r="4257" spans="9:10" x14ac:dyDescent="0.45">
      <c r="I4257"/>
      <c r="J4257"/>
    </row>
    <row r="4258" spans="9:10" x14ac:dyDescent="0.45">
      <c r="I4258"/>
      <c r="J4258"/>
    </row>
    <row r="4259" spans="9:10" x14ac:dyDescent="0.45">
      <c r="I4259"/>
      <c r="J4259"/>
    </row>
    <row r="4260" spans="9:10" x14ac:dyDescent="0.45">
      <c r="I4260"/>
      <c r="J4260"/>
    </row>
    <row r="4261" spans="9:10" x14ac:dyDescent="0.45">
      <c r="I4261"/>
      <c r="J4261"/>
    </row>
    <row r="4262" spans="9:10" x14ac:dyDescent="0.45">
      <c r="I4262"/>
      <c r="J4262"/>
    </row>
    <row r="4263" spans="9:10" x14ac:dyDescent="0.45">
      <c r="I4263"/>
      <c r="J4263"/>
    </row>
    <row r="4264" spans="9:10" x14ac:dyDescent="0.45">
      <c r="I4264"/>
      <c r="J4264"/>
    </row>
    <row r="4265" spans="9:10" x14ac:dyDescent="0.45">
      <c r="I4265"/>
      <c r="J4265"/>
    </row>
    <row r="4266" spans="9:10" x14ac:dyDescent="0.45">
      <c r="I4266"/>
      <c r="J4266"/>
    </row>
    <row r="4267" spans="9:10" x14ac:dyDescent="0.45">
      <c r="I4267"/>
      <c r="J4267"/>
    </row>
    <row r="4268" spans="9:10" x14ac:dyDescent="0.45">
      <c r="I4268"/>
      <c r="J4268"/>
    </row>
    <row r="4269" spans="9:10" x14ac:dyDescent="0.45">
      <c r="I4269"/>
      <c r="J4269"/>
    </row>
    <row r="4270" spans="9:10" x14ac:dyDescent="0.45">
      <c r="I4270"/>
      <c r="J4270"/>
    </row>
    <row r="4271" spans="9:10" x14ac:dyDescent="0.45">
      <c r="I4271"/>
      <c r="J4271"/>
    </row>
    <row r="4272" spans="9:10" x14ac:dyDescent="0.45">
      <c r="I4272"/>
      <c r="J4272"/>
    </row>
    <row r="4273" spans="9:10" x14ac:dyDescent="0.45">
      <c r="I4273"/>
      <c r="J4273"/>
    </row>
    <row r="4274" spans="9:10" x14ac:dyDescent="0.45">
      <c r="I4274"/>
      <c r="J4274"/>
    </row>
    <row r="4275" spans="9:10" x14ac:dyDescent="0.45">
      <c r="I4275"/>
      <c r="J4275"/>
    </row>
    <row r="4276" spans="9:10" x14ac:dyDescent="0.45">
      <c r="I4276"/>
      <c r="J4276"/>
    </row>
    <row r="4277" spans="9:10" x14ac:dyDescent="0.45">
      <c r="I4277"/>
      <c r="J4277"/>
    </row>
    <row r="4278" spans="9:10" x14ac:dyDescent="0.45">
      <c r="I4278"/>
      <c r="J4278"/>
    </row>
    <row r="4279" spans="9:10" x14ac:dyDescent="0.45">
      <c r="I4279"/>
      <c r="J4279"/>
    </row>
    <row r="4280" spans="9:10" x14ac:dyDescent="0.45">
      <c r="I4280"/>
      <c r="J4280"/>
    </row>
    <row r="4281" spans="9:10" x14ac:dyDescent="0.45">
      <c r="I4281"/>
      <c r="J4281"/>
    </row>
    <row r="4282" spans="9:10" x14ac:dyDescent="0.45">
      <c r="I4282"/>
      <c r="J4282"/>
    </row>
    <row r="4283" spans="9:10" x14ac:dyDescent="0.45">
      <c r="I4283"/>
      <c r="J4283"/>
    </row>
    <row r="4284" spans="9:10" x14ac:dyDescent="0.45">
      <c r="I4284"/>
      <c r="J4284"/>
    </row>
    <row r="4285" spans="9:10" x14ac:dyDescent="0.45">
      <c r="I4285"/>
      <c r="J4285"/>
    </row>
    <row r="4286" spans="9:10" x14ac:dyDescent="0.45">
      <c r="I4286"/>
      <c r="J4286"/>
    </row>
    <row r="4287" spans="9:10" x14ac:dyDescent="0.45">
      <c r="I4287"/>
      <c r="J4287"/>
    </row>
    <row r="4288" spans="9:10" x14ac:dyDescent="0.45">
      <c r="I4288"/>
      <c r="J4288"/>
    </row>
    <row r="4289" spans="9:10" x14ac:dyDescent="0.45">
      <c r="I4289"/>
      <c r="J4289"/>
    </row>
    <row r="4290" spans="9:10" x14ac:dyDescent="0.45">
      <c r="I4290"/>
      <c r="J4290"/>
    </row>
    <row r="4291" spans="9:10" x14ac:dyDescent="0.45">
      <c r="I4291"/>
      <c r="J4291"/>
    </row>
    <row r="4292" spans="9:10" x14ac:dyDescent="0.45">
      <c r="I4292"/>
      <c r="J4292"/>
    </row>
    <row r="4293" spans="9:10" x14ac:dyDescent="0.45">
      <c r="I4293"/>
      <c r="J4293"/>
    </row>
    <row r="4294" spans="9:10" x14ac:dyDescent="0.45">
      <c r="I4294"/>
      <c r="J4294"/>
    </row>
    <row r="4295" spans="9:10" x14ac:dyDescent="0.45">
      <c r="I4295"/>
      <c r="J4295"/>
    </row>
    <row r="4296" spans="9:10" x14ac:dyDescent="0.45">
      <c r="I4296"/>
      <c r="J4296"/>
    </row>
    <row r="4297" spans="9:10" x14ac:dyDescent="0.45">
      <c r="I4297"/>
      <c r="J4297"/>
    </row>
    <row r="4298" spans="9:10" x14ac:dyDescent="0.45">
      <c r="I4298"/>
      <c r="J4298"/>
    </row>
    <row r="4299" spans="9:10" x14ac:dyDescent="0.45">
      <c r="I4299"/>
      <c r="J4299"/>
    </row>
    <row r="4300" spans="9:10" x14ac:dyDescent="0.45">
      <c r="I4300"/>
      <c r="J4300"/>
    </row>
    <row r="4301" spans="9:10" x14ac:dyDescent="0.45">
      <c r="I4301"/>
      <c r="J4301"/>
    </row>
    <row r="4302" spans="9:10" x14ac:dyDescent="0.45">
      <c r="I4302"/>
      <c r="J4302"/>
    </row>
    <row r="4303" spans="9:10" x14ac:dyDescent="0.45">
      <c r="I4303"/>
      <c r="J4303"/>
    </row>
    <row r="4304" spans="9:10" x14ac:dyDescent="0.45">
      <c r="I4304"/>
      <c r="J4304"/>
    </row>
    <row r="4305" spans="9:10" x14ac:dyDescent="0.45">
      <c r="I4305"/>
      <c r="J4305"/>
    </row>
    <row r="4306" spans="9:10" x14ac:dyDescent="0.45">
      <c r="I4306"/>
      <c r="J4306"/>
    </row>
    <row r="4307" spans="9:10" x14ac:dyDescent="0.45">
      <c r="I4307"/>
      <c r="J4307"/>
    </row>
    <row r="4308" spans="9:10" x14ac:dyDescent="0.45">
      <c r="I4308"/>
      <c r="J4308"/>
    </row>
    <row r="4309" spans="9:10" x14ac:dyDescent="0.45">
      <c r="I4309"/>
      <c r="J4309"/>
    </row>
    <row r="4310" spans="9:10" x14ac:dyDescent="0.45">
      <c r="I4310"/>
      <c r="J4310"/>
    </row>
    <row r="4311" spans="9:10" x14ac:dyDescent="0.45">
      <c r="I4311"/>
      <c r="J4311"/>
    </row>
    <row r="4312" spans="9:10" x14ac:dyDescent="0.45">
      <c r="I4312"/>
      <c r="J4312"/>
    </row>
    <row r="4313" spans="9:10" x14ac:dyDescent="0.45">
      <c r="I4313"/>
      <c r="J4313"/>
    </row>
    <row r="4314" spans="9:10" x14ac:dyDescent="0.45">
      <c r="I4314"/>
      <c r="J4314"/>
    </row>
    <row r="4315" spans="9:10" x14ac:dyDescent="0.45">
      <c r="I4315"/>
      <c r="J4315"/>
    </row>
    <row r="4316" spans="9:10" x14ac:dyDescent="0.45">
      <c r="I4316"/>
      <c r="J4316"/>
    </row>
    <row r="4317" spans="9:10" x14ac:dyDescent="0.45">
      <c r="I4317"/>
      <c r="J4317"/>
    </row>
    <row r="4318" spans="9:10" x14ac:dyDescent="0.45">
      <c r="I4318"/>
      <c r="J4318"/>
    </row>
    <row r="4319" spans="9:10" x14ac:dyDescent="0.45">
      <c r="I4319"/>
      <c r="J4319"/>
    </row>
    <row r="4320" spans="9:10" x14ac:dyDescent="0.45">
      <c r="I4320"/>
      <c r="J4320"/>
    </row>
    <row r="4321" spans="9:10" x14ac:dyDescent="0.45">
      <c r="I4321"/>
      <c r="J4321"/>
    </row>
    <row r="4322" spans="9:10" x14ac:dyDescent="0.45">
      <c r="I4322"/>
      <c r="J4322"/>
    </row>
    <row r="4323" spans="9:10" x14ac:dyDescent="0.45">
      <c r="I4323"/>
      <c r="J4323"/>
    </row>
    <row r="4324" spans="9:10" x14ac:dyDescent="0.45">
      <c r="I4324"/>
      <c r="J4324"/>
    </row>
    <row r="4325" spans="9:10" x14ac:dyDescent="0.45">
      <c r="I4325"/>
      <c r="J4325"/>
    </row>
    <row r="4326" spans="9:10" x14ac:dyDescent="0.45">
      <c r="I4326"/>
      <c r="J4326"/>
    </row>
    <row r="4327" spans="9:10" x14ac:dyDescent="0.45">
      <c r="I4327"/>
      <c r="J4327"/>
    </row>
    <row r="4328" spans="9:10" x14ac:dyDescent="0.45">
      <c r="I4328"/>
      <c r="J4328"/>
    </row>
    <row r="4329" spans="9:10" x14ac:dyDescent="0.45">
      <c r="I4329"/>
      <c r="J4329"/>
    </row>
    <row r="4330" spans="9:10" x14ac:dyDescent="0.45">
      <c r="I4330"/>
      <c r="J4330"/>
    </row>
    <row r="4331" spans="9:10" x14ac:dyDescent="0.45">
      <c r="I4331"/>
      <c r="J4331"/>
    </row>
    <row r="4332" spans="9:10" x14ac:dyDescent="0.45">
      <c r="I4332"/>
      <c r="J4332"/>
    </row>
    <row r="4333" spans="9:10" x14ac:dyDescent="0.45">
      <c r="I4333"/>
      <c r="J4333"/>
    </row>
    <row r="4334" spans="9:10" x14ac:dyDescent="0.45">
      <c r="I4334"/>
      <c r="J4334"/>
    </row>
    <row r="4335" spans="9:10" x14ac:dyDescent="0.45">
      <c r="I4335"/>
      <c r="J4335"/>
    </row>
    <row r="4336" spans="9:10" x14ac:dyDescent="0.45">
      <c r="I4336"/>
      <c r="J4336"/>
    </row>
    <row r="4337" spans="9:10" x14ac:dyDescent="0.45">
      <c r="I4337"/>
      <c r="J4337"/>
    </row>
    <row r="4338" spans="9:10" x14ac:dyDescent="0.45">
      <c r="I4338"/>
      <c r="J4338"/>
    </row>
    <row r="4339" spans="9:10" x14ac:dyDescent="0.45">
      <c r="I4339"/>
      <c r="J4339"/>
    </row>
    <row r="4340" spans="9:10" x14ac:dyDescent="0.45">
      <c r="I4340"/>
      <c r="J4340"/>
    </row>
    <row r="4341" spans="9:10" x14ac:dyDescent="0.45">
      <c r="I4341"/>
      <c r="J4341"/>
    </row>
    <row r="4342" spans="9:10" x14ac:dyDescent="0.45">
      <c r="I4342"/>
      <c r="J4342"/>
    </row>
    <row r="4343" spans="9:10" x14ac:dyDescent="0.45">
      <c r="I4343"/>
      <c r="J4343"/>
    </row>
    <row r="4344" spans="9:10" x14ac:dyDescent="0.45">
      <c r="I4344"/>
      <c r="J4344"/>
    </row>
    <row r="4345" spans="9:10" x14ac:dyDescent="0.45">
      <c r="I4345"/>
      <c r="J4345"/>
    </row>
    <row r="4346" spans="9:10" x14ac:dyDescent="0.45">
      <c r="I4346"/>
      <c r="J4346"/>
    </row>
    <row r="4347" spans="9:10" x14ac:dyDescent="0.45">
      <c r="I4347"/>
      <c r="J4347"/>
    </row>
    <row r="4348" spans="9:10" x14ac:dyDescent="0.45">
      <c r="I4348"/>
      <c r="J4348"/>
    </row>
    <row r="4349" spans="9:10" x14ac:dyDescent="0.45">
      <c r="I4349"/>
      <c r="J4349"/>
    </row>
    <row r="4350" spans="9:10" x14ac:dyDescent="0.45">
      <c r="I4350"/>
      <c r="J4350"/>
    </row>
    <row r="4351" spans="9:10" x14ac:dyDescent="0.45">
      <c r="I4351"/>
      <c r="J4351"/>
    </row>
    <row r="4352" spans="9:10" x14ac:dyDescent="0.45">
      <c r="I4352"/>
      <c r="J4352"/>
    </row>
    <row r="4353" spans="9:10" x14ac:dyDescent="0.45">
      <c r="I4353"/>
      <c r="J4353"/>
    </row>
    <row r="4354" spans="9:10" x14ac:dyDescent="0.45">
      <c r="I4354"/>
      <c r="J4354"/>
    </row>
    <row r="4355" spans="9:10" x14ac:dyDescent="0.45">
      <c r="I4355"/>
      <c r="J4355"/>
    </row>
    <row r="4356" spans="9:10" x14ac:dyDescent="0.45">
      <c r="I4356"/>
      <c r="J4356"/>
    </row>
    <row r="4357" spans="9:10" x14ac:dyDescent="0.45">
      <c r="I4357"/>
      <c r="J4357"/>
    </row>
    <row r="4358" spans="9:10" x14ac:dyDescent="0.45">
      <c r="I4358"/>
      <c r="J4358"/>
    </row>
    <row r="4359" spans="9:10" x14ac:dyDescent="0.45">
      <c r="I4359"/>
      <c r="J4359"/>
    </row>
    <row r="4360" spans="9:10" x14ac:dyDescent="0.45">
      <c r="I4360"/>
      <c r="J4360"/>
    </row>
    <row r="4361" spans="9:10" x14ac:dyDescent="0.45">
      <c r="I4361"/>
      <c r="J4361"/>
    </row>
    <row r="4362" spans="9:10" x14ac:dyDescent="0.45">
      <c r="I4362"/>
      <c r="J4362"/>
    </row>
    <row r="4363" spans="9:10" x14ac:dyDescent="0.45">
      <c r="I4363"/>
      <c r="J4363"/>
    </row>
    <row r="4364" spans="9:10" x14ac:dyDescent="0.45">
      <c r="I4364"/>
      <c r="J4364"/>
    </row>
    <row r="4365" spans="9:10" x14ac:dyDescent="0.45">
      <c r="I4365"/>
      <c r="J4365"/>
    </row>
    <row r="4366" spans="9:10" x14ac:dyDescent="0.45">
      <c r="I4366"/>
      <c r="J4366"/>
    </row>
    <row r="4367" spans="9:10" x14ac:dyDescent="0.45">
      <c r="I4367"/>
      <c r="J4367"/>
    </row>
    <row r="4368" spans="9:10" x14ac:dyDescent="0.45">
      <c r="I4368"/>
      <c r="J4368"/>
    </row>
    <row r="4369" spans="9:10" x14ac:dyDescent="0.45">
      <c r="I4369"/>
      <c r="J4369"/>
    </row>
    <row r="4370" spans="9:10" x14ac:dyDescent="0.45">
      <c r="I4370"/>
      <c r="J4370"/>
    </row>
    <row r="4371" spans="9:10" x14ac:dyDescent="0.45">
      <c r="I4371"/>
      <c r="J4371"/>
    </row>
    <row r="4372" spans="9:10" x14ac:dyDescent="0.45">
      <c r="I4372"/>
      <c r="J4372"/>
    </row>
    <row r="4373" spans="9:10" x14ac:dyDescent="0.45">
      <c r="I4373"/>
      <c r="J4373"/>
    </row>
    <row r="4374" spans="9:10" x14ac:dyDescent="0.45">
      <c r="I4374"/>
      <c r="J4374"/>
    </row>
    <row r="4375" spans="9:10" x14ac:dyDescent="0.45">
      <c r="I4375"/>
      <c r="J4375"/>
    </row>
    <row r="4376" spans="9:10" x14ac:dyDescent="0.45">
      <c r="I4376"/>
      <c r="J4376"/>
    </row>
    <row r="4377" spans="9:10" x14ac:dyDescent="0.45">
      <c r="I4377"/>
      <c r="J4377"/>
    </row>
    <row r="4378" spans="9:10" x14ac:dyDescent="0.45">
      <c r="I4378"/>
      <c r="J4378"/>
    </row>
    <row r="4379" spans="9:10" x14ac:dyDescent="0.45">
      <c r="I4379"/>
      <c r="J4379"/>
    </row>
    <row r="4380" spans="9:10" x14ac:dyDescent="0.45">
      <c r="I4380"/>
      <c r="J4380"/>
    </row>
    <row r="4381" spans="9:10" x14ac:dyDescent="0.45">
      <c r="I4381"/>
      <c r="J4381"/>
    </row>
    <row r="4382" spans="9:10" x14ac:dyDescent="0.45">
      <c r="I4382"/>
      <c r="J4382"/>
    </row>
    <row r="4383" spans="9:10" x14ac:dyDescent="0.45">
      <c r="I4383"/>
      <c r="J4383"/>
    </row>
    <row r="4384" spans="9:10" x14ac:dyDescent="0.45">
      <c r="I4384"/>
      <c r="J4384"/>
    </row>
    <row r="4385" spans="9:10" x14ac:dyDescent="0.45">
      <c r="I4385"/>
      <c r="J4385"/>
    </row>
    <row r="4386" spans="9:10" x14ac:dyDescent="0.45">
      <c r="I4386"/>
      <c r="J4386"/>
    </row>
    <row r="4387" spans="9:10" x14ac:dyDescent="0.45">
      <c r="I4387"/>
      <c r="J4387"/>
    </row>
    <row r="4388" spans="9:10" x14ac:dyDescent="0.45">
      <c r="I4388"/>
      <c r="J4388"/>
    </row>
    <row r="4389" spans="9:10" x14ac:dyDescent="0.45">
      <c r="I4389"/>
      <c r="J4389"/>
    </row>
    <row r="4390" spans="9:10" x14ac:dyDescent="0.45">
      <c r="I4390"/>
      <c r="J4390"/>
    </row>
    <row r="4391" spans="9:10" x14ac:dyDescent="0.45">
      <c r="I4391"/>
      <c r="J4391"/>
    </row>
    <row r="4392" spans="9:10" x14ac:dyDescent="0.45">
      <c r="I4392"/>
      <c r="J4392"/>
    </row>
    <row r="4393" spans="9:10" x14ac:dyDescent="0.45">
      <c r="I4393"/>
      <c r="J4393"/>
    </row>
    <row r="4394" spans="9:10" x14ac:dyDescent="0.45">
      <c r="I4394"/>
      <c r="J4394"/>
    </row>
    <row r="4395" spans="9:10" x14ac:dyDescent="0.45">
      <c r="I4395"/>
      <c r="J4395"/>
    </row>
    <row r="4396" spans="9:10" x14ac:dyDescent="0.45">
      <c r="I4396"/>
      <c r="J4396"/>
    </row>
    <row r="4397" spans="9:10" x14ac:dyDescent="0.45">
      <c r="I4397"/>
      <c r="J4397"/>
    </row>
    <row r="4398" spans="9:10" x14ac:dyDescent="0.45">
      <c r="I4398"/>
      <c r="J4398"/>
    </row>
    <row r="4399" spans="9:10" x14ac:dyDescent="0.45">
      <c r="I4399"/>
      <c r="J4399"/>
    </row>
    <row r="4400" spans="9:10" x14ac:dyDescent="0.45">
      <c r="I4400"/>
      <c r="J4400"/>
    </row>
    <row r="4401" spans="9:10" x14ac:dyDescent="0.45">
      <c r="I4401"/>
      <c r="J4401"/>
    </row>
    <row r="4402" spans="9:10" x14ac:dyDescent="0.45">
      <c r="I4402"/>
      <c r="J4402"/>
    </row>
    <row r="4403" spans="9:10" x14ac:dyDescent="0.45">
      <c r="I4403"/>
      <c r="J4403"/>
    </row>
    <row r="4404" spans="9:10" x14ac:dyDescent="0.45">
      <c r="I4404"/>
      <c r="J4404"/>
    </row>
    <row r="4405" spans="9:10" x14ac:dyDescent="0.45">
      <c r="I4405"/>
      <c r="J4405"/>
    </row>
    <row r="4406" spans="9:10" x14ac:dyDescent="0.45">
      <c r="I4406"/>
      <c r="J4406"/>
    </row>
    <row r="4407" spans="9:10" x14ac:dyDescent="0.45">
      <c r="I4407"/>
      <c r="J4407"/>
    </row>
    <row r="4408" spans="9:10" x14ac:dyDescent="0.45">
      <c r="I4408"/>
      <c r="J4408"/>
    </row>
    <row r="4409" spans="9:10" x14ac:dyDescent="0.45">
      <c r="I4409"/>
      <c r="J4409"/>
    </row>
    <row r="4410" spans="9:10" x14ac:dyDescent="0.45">
      <c r="I4410"/>
      <c r="J4410"/>
    </row>
    <row r="4411" spans="9:10" x14ac:dyDescent="0.45">
      <c r="I4411"/>
      <c r="J4411"/>
    </row>
    <row r="4412" spans="9:10" x14ac:dyDescent="0.45">
      <c r="I4412"/>
      <c r="J4412"/>
    </row>
    <row r="4413" spans="9:10" x14ac:dyDescent="0.45">
      <c r="I4413"/>
      <c r="J4413"/>
    </row>
    <row r="4414" spans="9:10" x14ac:dyDescent="0.45">
      <c r="I4414"/>
      <c r="J4414"/>
    </row>
    <row r="4415" spans="9:10" x14ac:dyDescent="0.45">
      <c r="I4415"/>
      <c r="J4415"/>
    </row>
    <row r="4416" spans="9:10" x14ac:dyDescent="0.45">
      <c r="I4416"/>
      <c r="J4416"/>
    </row>
    <row r="4417" spans="9:10" x14ac:dyDescent="0.45">
      <c r="I4417"/>
      <c r="J4417"/>
    </row>
    <row r="4418" spans="9:10" x14ac:dyDescent="0.45">
      <c r="I4418"/>
      <c r="J4418"/>
    </row>
    <row r="4419" spans="9:10" x14ac:dyDescent="0.45">
      <c r="I4419"/>
      <c r="J4419"/>
    </row>
    <row r="4420" spans="9:10" x14ac:dyDescent="0.45">
      <c r="I4420"/>
      <c r="J4420"/>
    </row>
    <row r="4421" spans="9:10" x14ac:dyDescent="0.45">
      <c r="I4421"/>
      <c r="J4421"/>
    </row>
    <row r="4422" spans="9:10" x14ac:dyDescent="0.45">
      <c r="I4422"/>
      <c r="J4422"/>
    </row>
    <row r="4423" spans="9:10" x14ac:dyDescent="0.45">
      <c r="I4423"/>
      <c r="J4423"/>
    </row>
    <row r="4424" spans="9:10" x14ac:dyDescent="0.45">
      <c r="I4424"/>
      <c r="J4424"/>
    </row>
    <row r="4425" spans="9:10" x14ac:dyDescent="0.45">
      <c r="I4425"/>
      <c r="J4425"/>
    </row>
    <row r="4426" spans="9:10" x14ac:dyDescent="0.45">
      <c r="I4426"/>
      <c r="J4426"/>
    </row>
    <row r="4427" spans="9:10" x14ac:dyDescent="0.45">
      <c r="I4427"/>
      <c r="J4427"/>
    </row>
    <row r="4428" spans="9:10" x14ac:dyDescent="0.45">
      <c r="I4428"/>
      <c r="J4428"/>
    </row>
    <row r="4429" spans="9:10" x14ac:dyDescent="0.45">
      <c r="I4429"/>
      <c r="J4429"/>
    </row>
    <row r="4430" spans="9:10" x14ac:dyDescent="0.45">
      <c r="I4430"/>
      <c r="J4430"/>
    </row>
    <row r="4431" spans="9:10" x14ac:dyDescent="0.45">
      <c r="I4431"/>
      <c r="J4431"/>
    </row>
    <row r="4432" spans="9:10" x14ac:dyDescent="0.45">
      <c r="I4432"/>
      <c r="J4432"/>
    </row>
    <row r="4433" spans="9:10" x14ac:dyDescent="0.45">
      <c r="I4433"/>
      <c r="J4433"/>
    </row>
    <row r="4434" spans="9:10" x14ac:dyDescent="0.45">
      <c r="I4434"/>
      <c r="J4434"/>
    </row>
    <row r="4435" spans="9:10" x14ac:dyDescent="0.45">
      <c r="I4435"/>
      <c r="J4435"/>
    </row>
    <row r="4436" spans="9:10" x14ac:dyDescent="0.45">
      <c r="I4436"/>
      <c r="J4436"/>
    </row>
    <row r="4437" spans="9:10" x14ac:dyDescent="0.45">
      <c r="I4437"/>
      <c r="J4437"/>
    </row>
    <row r="4438" spans="9:10" x14ac:dyDescent="0.45">
      <c r="I4438"/>
      <c r="J4438"/>
    </row>
    <row r="4439" spans="9:10" x14ac:dyDescent="0.45">
      <c r="I4439"/>
      <c r="J4439"/>
    </row>
    <row r="4440" spans="9:10" x14ac:dyDescent="0.45">
      <c r="I4440"/>
      <c r="J4440"/>
    </row>
    <row r="4441" spans="9:10" x14ac:dyDescent="0.45">
      <c r="I4441"/>
      <c r="J4441"/>
    </row>
    <row r="4442" spans="9:10" x14ac:dyDescent="0.45">
      <c r="I4442"/>
      <c r="J4442"/>
    </row>
    <row r="4443" spans="9:10" x14ac:dyDescent="0.45">
      <c r="I4443"/>
      <c r="J4443"/>
    </row>
    <row r="4444" spans="9:10" x14ac:dyDescent="0.45">
      <c r="I4444"/>
      <c r="J4444"/>
    </row>
    <row r="4445" spans="9:10" x14ac:dyDescent="0.45">
      <c r="I4445"/>
      <c r="J4445"/>
    </row>
    <row r="4446" spans="9:10" x14ac:dyDescent="0.45">
      <c r="I4446"/>
      <c r="J4446"/>
    </row>
    <row r="4447" spans="9:10" x14ac:dyDescent="0.45">
      <c r="I4447"/>
      <c r="J4447"/>
    </row>
    <row r="4448" spans="9:10" x14ac:dyDescent="0.45">
      <c r="I4448"/>
      <c r="J4448"/>
    </row>
    <row r="4449" spans="9:10" x14ac:dyDescent="0.45">
      <c r="I4449"/>
      <c r="J4449"/>
    </row>
    <row r="4450" spans="9:10" x14ac:dyDescent="0.45">
      <c r="I4450"/>
      <c r="J4450"/>
    </row>
    <row r="4451" spans="9:10" x14ac:dyDescent="0.45">
      <c r="I4451"/>
      <c r="J4451"/>
    </row>
    <row r="4452" spans="9:10" x14ac:dyDescent="0.45">
      <c r="I4452"/>
      <c r="J4452"/>
    </row>
    <row r="4453" spans="9:10" x14ac:dyDescent="0.45">
      <c r="I4453"/>
      <c r="J4453"/>
    </row>
    <row r="4454" spans="9:10" x14ac:dyDescent="0.45">
      <c r="I4454"/>
      <c r="J4454"/>
    </row>
    <row r="4455" spans="9:10" x14ac:dyDescent="0.45">
      <c r="I4455"/>
      <c r="J4455"/>
    </row>
    <row r="4456" spans="9:10" x14ac:dyDescent="0.45">
      <c r="I4456"/>
      <c r="J4456"/>
    </row>
    <row r="4457" spans="9:10" x14ac:dyDescent="0.45">
      <c r="I4457"/>
      <c r="J4457"/>
    </row>
    <row r="4458" spans="9:10" x14ac:dyDescent="0.45">
      <c r="I4458"/>
      <c r="J4458"/>
    </row>
    <row r="4459" spans="9:10" x14ac:dyDescent="0.45">
      <c r="I4459"/>
      <c r="J4459"/>
    </row>
    <row r="4460" spans="9:10" x14ac:dyDescent="0.45">
      <c r="I4460"/>
      <c r="J4460"/>
    </row>
    <row r="4461" spans="9:10" x14ac:dyDescent="0.45">
      <c r="I4461"/>
      <c r="J4461"/>
    </row>
    <row r="4462" spans="9:10" x14ac:dyDescent="0.45">
      <c r="I4462"/>
      <c r="J4462"/>
    </row>
    <row r="4463" spans="9:10" x14ac:dyDescent="0.45">
      <c r="I4463"/>
      <c r="J4463"/>
    </row>
    <row r="4464" spans="9:10" x14ac:dyDescent="0.45">
      <c r="I4464"/>
      <c r="J4464"/>
    </row>
    <row r="4465" spans="9:10" x14ac:dyDescent="0.45">
      <c r="I4465"/>
      <c r="J4465"/>
    </row>
    <row r="4466" spans="9:10" x14ac:dyDescent="0.45">
      <c r="I4466"/>
      <c r="J4466"/>
    </row>
    <row r="4467" spans="9:10" x14ac:dyDescent="0.45">
      <c r="I4467"/>
      <c r="J4467"/>
    </row>
    <row r="4468" spans="9:10" x14ac:dyDescent="0.45">
      <c r="I4468"/>
      <c r="J4468"/>
    </row>
    <row r="4469" spans="9:10" x14ac:dyDescent="0.45">
      <c r="I4469"/>
      <c r="J4469"/>
    </row>
    <row r="4470" spans="9:10" x14ac:dyDescent="0.45">
      <c r="I4470"/>
      <c r="J4470"/>
    </row>
    <row r="4471" spans="9:10" x14ac:dyDescent="0.45">
      <c r="I4471"/>
      <c r="J4471"/>
    </row>
    <row r="4472" spans="9:10" x14ac:dyDescent="0.45">
      <c r="I4472"/>
      <c r="J4472"/>
    </row>
    <row r="4473" spans="9:10" x14ac:dyDescent="0.45">
      <c r="I4473"/>
      <c r="J4473"/>
    </row>
    <row r="4474" spans="9:10" x14ac:dyDescent="0.45">
      <c r="I4474"/>
      <c r="J4474"/>
    </row>
    <row r="4475" spans="9:10" x14ac:dyDescent="0.45">
      <c r="I4475"/>
      <c r="J4475"/>
    </row>
    <row r="4476" spans="9:10" x14ac:dyDescent="0.45">
      <c r="I4476"/>
      <c r="J4476"/>
    </row>
    <row r="4477" spans="9:10" x14ac:dyDescent="0.45">
      <c r="I4477"/>
      <c r="J4477"/>
    </row>
    <row r="4478" spans="9:10" x14ac:dyDescent="0.45">
      <c r="I4478"/>
      <c r="J4478"/>
    </row>
    <row r="4479" spans="9:10" x14ac:dyDescent="0.45">
      <c r="I4479"/>
      <c r="J4479"/>
    </row>
    <row r="4480" spans="9:10" x14ac:dyDescent="0.45">
      <c r="I4480"/>
      <c r="J4480"/>
    </row>
    <row r="4481" spans="9:10" x14ac:dyDescent="0.45">
      <c r="I4481"/>
      <c r="J4481"/>
    </row>
    <row r="4482" spans="9:10" x14ac:dyDescent="0.45">
      <c r="I4482"/>
      <c r="J4482"/>
    </row>
    <row r="4483" spans="9:10" x14ac:dyDescent="0.45">
      <c r="I4483"/>
      <c r="J4483"/>
    </row>
    <row r="4484" spans="9:10" x14ac:dyDescent="0.45">
      <c r="I4484"/>
      <c r="J4484"/>
    </row>
    <row r="4485" spans="9:10" x14ac:dyDescent="0.45">
      <c r="I4485"/>
      <c r="J4485"/>
    </row>
    <row r="4486" spans="9:10" x14ac:dyDescent="0.45">
      <c r="I4486"/>
      <c r="J4486"/>
    </row>
    <row r="4487" spans="9:10" x14ac:dyDescent="0.45">
      <c r="I4487"/>
      <c r="J4487"/>
    </row>
    <row r="4488" spans="9:10" x14ac:dyDescent="0.45">
      <c r="I4488"/>
      <c r="J4488"/>
    </row>
    <row r="4489" spans="9:10" x14ac:dyDescent="0.45">
      <c r="I4489"/>
      <c r="J4489"/>
    </row>
    <row r="4490" spans="9:10" x14ac:dyDescent="0.45">
      <c r="I4490"/>
      <c r="J4490"/>
    </row>
    <row r="4491" spans="9:10" x14ac:dyDescent="0.45">
      <c r="I4491"/>
      <c r="J4491"/>
    </row>
    <row r="4492" spans="9:10" x14ac:dyDescent="0.45">
      <c r="I4492"/>
      <c r="J4492"/>
    </row>
    <row r="4493" spans="9:10" x14ac:dyDescent="0.45">
      <c r="I4493"/>
      <c r="J4493"/>
    </row>
    <row r="4494" spans="9:10" x14ac:dyDescent="0.45">
      <c r="I4494"/>
      <c r="J4494"/>
    </row>
    <row r="4495" spans="9:10" x14ac:dyDescent="0.45">
      <c r="I4495"/>
      <c r="J4495"/>
    </row>
    <row r="4496" spans="9:10" x14ac:dyDescent="0.45">
      <c r="I4496"/>
      <c r="J4496"/>
    </row>
    <row r="4497" spans="9:10" x14ac:dyDescent="0.45">
      <c r="I4497"/>
      <c r="J4497"/>
    </row>
    <row r="4498" spans="9:10" x14ac:dyDescent="0.45">
      <c r="I4498"/>
      <c r="J4498"/>
    </row>
    <row r="4499" spans="9:10" x14ac:dyDescent="0.45">
      <c r="I4499"/>
      <c r="J4499"/>
    </row>
    <row r="4500" spans="9:10" x14ac:dyDescent="0.45">
      <c r="I4500"/>
      <c r="J4500"/>
    </row>
    <row r="4501" spans="9:10" x14ac:dyDescent="0.45">
      <c r="I4501"/>
      <c r="J4501"/>
    </row>
    <row r="4502" spans="9:10" x14ac:dyDescent="0.45">
      <c r="I4502"/>
      <c r="J4502"/>
    </row>
    <row r="4503" spans="9:10" x14ac:dyDescent="0.45">
      <c r="I4503"/>
      <c r="J4503"/>
    </row>
    <row r="4504" spans="9:10" x14ac:dyDescent="0.45">
      <c r="I4504"/>
      <c r="J4504"/>
    </row>
    <row r="4505" spans="9:10" x14ac:dyDescent="0.45">
      <c r="I4505"/>
      <c r="J4505"/>
    </row>
    <row r="4506" spans="9:10" x14ac:dyDescent="0.45">
      <c r="I4506"/>
      <c r="J4506"/>
    </row>
    <row r="4507" spans="9:10" x14ac:dyDescent="0.45">
      <c r="I4507"/>
      <c r="J4507"/>
    </row>
    <row r="4508" spans="9:10" x14ac:dyDescent="0.45">
      <c r="I4508"/>
      <c r="J4508"/>
    </row>
    <row r="4509" spans="9:10" x14ac:dyDescent="0.45">
      <c r="I4509"/>
      <c r="J4509"/>
    </row>
    <row r="4510" spans="9:10" x14ac:dyDescent="0.45">
      <c r="I4510"/>
      <c r="J4510"/>
    </row>
    <row r="4511" spans="9:10" x14ac:dyDescent="0.45">
      <c r="I4511"/>
      <c r="J4511"/>
    </row>
    <row r="4512" spans="9:10" x14ac:dyDescent="0.45">
      <c r="I4512"/>
      <c r="J4512"/>
    </row>
    <row r="4513" spans="9:10" x14ac:dyDescent="0.45">
      <c r="I4513"/>
      <c r="J4513"/>
    </row>
    <row r="4514" spans="9:10" x14ac:dyDescent="0.45">
      <c r="I4514"/>
      <c r="J4514"/>
    </row>
    <row r="4515" spans="9:10" x14ac:dyDescent="0.45">
      <c r="I4515"/>
      <c r="J4515"/>
    </row>
    <row r="4516" spans="9:10" x14ac:dyDescent="0.45">
      <c r="I4516"/>
      <c r="J4516"/>
    </row>
    <row r="4517" spans="9:10" x14ac:dyDescent="0.45">
      <c r="I4517"/>
      <c r="J4517"/>
    </row>
    <row r="4518" spans="9:10" x14ac:dyDescent="0.45">
      <c r="I4518"/>
      <c r="J4518"/>
    </row>
    <row r="4519" spans="9:10" x14ac:dyDescent="0.45">
      <c r="I4519"/>
      <c r="J4519"/>
    </row>
    <row r="4520" spans="9:10" x14ac:dyDescent="0.45">
      <c r="I4520"/>
      <c r="J4520"/>
    </row>
    <row r="4521" spans="9:10" x14ac:dyDescent="0.45">
      <c r="I4521"/>
      <c r="J4521"/>
    </row>
    <row r="4522" spans="9:10" x14ac:dyDescent="0.45">
      <c r="I4522"/>
      <c r="J4522"/>
    </row>
    <row r="4523" spans="9:10" x14ac:dyDescent="0.45">
      <c r="I4523"/>
      <c r="J4523"/>
    </row>
    <row r="4524" spans="9:10" x14ac:dyDescent="0.45">
      <c r="I4524"/>
      <c r="J4524"/>
    </row>
    <row r="4525" spans="9:10" x14ac:dyDescent="0.45">
      <c r="I4525"/>
      <c r="J4525"/>
    </row>
    <row r="4526" spans="9:10" x14ac:dyDescent="0.45">
      <c r="I4526"/>
      <c r="J4526"/>
    </row>
    <row r="4527" spans="9:10" x14ac:dyDescent="0.45">
      <c r="I4527"/>
      <c r="J4527"/>
    </row>
    <row r="4528" spans="9:10" x14ac:dyDescent="0.45">
      <c r="I4528"/>
      <c r="J4528"/>
    </row>
    <row r="4529" spans="9:10" x14ac:dyDescent="0.45">
      <c r="I4529"/>
      <c r="J4529"/>
    </row>
    <row r="4530" spans="9:10" x14ac:dyDescent="0.45">
      <c r="I4530"/>
      <c r="J4530"/>
    </row>
    <row r="4531" spans="9:10" x14ac:dyDescent="0.45">
      <c r="I4531"/>
      <c r="J4531"/>
    </row>
    <row r="4532" spans="9:10" x14ac:dyDescent="0.45">
      <c r="I4532"/>
      <c r="J4532"/>
    </row>
    <row r="4533" spans="9:10" x14ac:dyDescent="0.45">
      <c r="I4533"/>
      <c r="J4533"/>
    </row>
    <row r="4534" spans="9:10" x14ac:dyDescent="0.45">
      <c r="I4534"/>
      <c r="J4534"/>
    </row>
    <row r="4535" spans="9:10" x14ac:dyDescent="0.45">
      <c r="I4535"/>
      <c r="J4535"/>
    </row>
    <row r="4536" spans="9:10" x14ac:dyDescent="0.45">
      <c r="I4536"/>
      <c r="J4536"/>
    </row>
    <row r="4537" spans="9:10" x14ac:dyDescent="0.45">
      <c r="I4537"/>
      <c r="J4537"/>
    </row>
    <row r="4538" spans="9:10" x14ac:dyDescent="0.45">
      <c r="I4538"/>
      <c r="J4538"/>
    </row>
    <row r="4539" spans="9:10" x14ac:dyDescent="0.45">
      <c r="I4539"/>
      <c r="J4539"/>
    </row>
    <row r="4540" spans="9:10" x14ac:dyDescent="0.45">
      <c r="I4540"/>
      <c r="J4540"/>
    </row>
    <row r="4541" spans="9:10" x14ac:dyDescent="0.45">
      <c r="I4541"/>
      <c r="J4541"/>
    </row>
    <row r="4542" spans="9:10" x14ac:dyDescent="0.45">
      <c r="I4542"/>
      <c r="J4542"/>
    </row>
    <row r="4543" spans="9:10" x14ac:dyDescent="0.45">
      <c r="I4543"/>
      <c r="J4543"/>
    </row>
    <row r="4544" spans="9:10" x14ac:dyDescent="0.45">
      <c r="I4544"/>
      <c r="J4544"/>
    </row>
    <row r="4545" spans="9:10" x14ac:dyDescent="0.45">
      <c r="I4545"/>
      <c r="J4545"/>
    </row>
    <row r="4546" spans="9:10" x14ac:dyDescent="0.45">
      <c r="I4546"/>
      <c r="J4546"/>
    </row>
    <row r="4547" spans="9:10" x14ac:dyDescent="0.45">
      <c r="I4547"/>
      <c r="J4547"/>
    </row>
    <row r="4548" spans="9:10" x14ac:dyDescent="0.45">
      <c r="I4548"/>
      <c r="J4548"/>
    </row>
    <row r="4549" spans="9:10" x14ac:dyDescent="0.45">
      <c r="I4549"/>
      <c r="J4549"/>
    </row>
    <row r="4550" spans="9:10" x14ac:dyDescent="0.45">
      <c r="I4550"/>
      <c r="J4550"/>
    </row>
    <row r="4551" spans="9:10" x14ac:dyDescent="0.45">
      <c r="I4551"/>
      <c r="J4551"/>
    </row>
    <row r="4552" spans="9:10" x14ac:dyDescent="0.45">
      <c r="I4552"/>
      <c r="J4552"/>
    </row>
    <row r="4553" spans="9:10" x14ac:dyDescent="0.45">
      <c r="I4553"/>
      <c r="J4553"/>
    </row>
    <row r="4554" spans="9:10" x14ac:dyDescent="0.45">
      <c r="I4554"/>
      <c r="J4554"/>
    </row>
    <row r="4555" spans="9:10" x14ac:dyDescent="0.45">
      <c r="I4555"/>
      <c r="J4555"/>
    </row>
    <row r="4556" spans="9:10" x14ac:dyDescent="0.45">
      <c r="I4556"/>
      <c r="J4556"/>
    </row>
    <row r="4557" spans="9:10" x14ac:dyDescent="0.45">
      <c r="I4557"/>
      <c r="J4557"/>
    </row>
    <row r="4558" spans="9:10" x14ac:dyDescent="0.45">
      <c r="I4558"/>
      <c r="J4558"/>
    </row>
    <row r="4559" spans="9:10" x14ac:dyDescent="0.45">
      <c r="I4559"/>
      <c r="J4559"/>
    </row>
    <row r="4560" spans="9:10" x14ac:dyDescent="0.45">
      <c r="I4560"/>
      <c r="J4560"/>
    </row>
    <row r="4561" spans="9:10" x14ac:dyDescent="0.45">
      <c r="I4561"/>
      <c r="J4561"/>
    </row>
    <row r="4562" spans="9:10" x14ac:dyDescent="0.45">
      <c r="I4562"/>
      <c r="J4562"/>
    </row>
    <row r="4563" spans="9:10" x14ac:dyDescent="0.45">
      <c r="I4563"/>
      <c r="J4563"/>
    </row>
    <row r="4564" spans="9:10" x14ac:dyDescent="0.45">
      <c r="I4564"/>
      <c r="J4564"/>
    </row>
    <row r="4565" spans="9:10" x14ac:dyDescent="0.45">
      <c r="I4565"/>
      <c r="J4565"/>
    </row>
    <row r="4566" spans="9:10" x14ac:dyDescent="0.45">
      <c r="I4566"/>
      <c r="J4566"/>
    </row>
    <row r="4567" spans="9:10" x14ac:dyDescent="0.45">
      <c r="I4567"/>
      <c r="J4567"/>
    </row>
    <row r="4568" spans="9:10" x14ac:dyDescent="0.45">
      <c r="I4568"/>
      <c r="J4568"/>
    </row>
    <row r="4569" spans="9:10" x14ac:dyDescent="0.45">
      <c r="I4569"/>
      <c r="J4569"/>
    </row>
    <row r="4570" spans="9:10" x14ac:dyDescent="0.45">
      <c r="I4570"/>
      <c r="J4570"/>
    </row>
    <row r="4571" spans="9:10" x14ac:dyDescent="0.45">
      <c r="I4571"/>
      <c r="J4571"/>
    </row>
    <row r="4572" spans="9:10" x14ac:dyDescent="0.45">
      <c r="I4572"/>
      <c r="J4572"/>
    </row>
    <row r="4573" spans="9:10" x14ac:dyDescent="0.45">
      <c r="I4573"/>
      <c r="J4573"/>
    </row>
    <row r="4574" spans="9:10" x14ac:dyDescent="0.45">
      <c r="I4574"/>
      <c r="J4574"/>
    </row>
    <row r="4575" spans="9:10" x14ac:dyDescent="0.45">
      <c r="I4575"/>
      <c r="J4575"/>
    </row>
    <row r="4576" spans="9:10" x14ac:dyDescent="0.45">
      <c r="I4576"/>
      <c r="J4576"/>
    </row>
    <row r="4577" spans="9:10" x14ac:dyDescent="0.45">
      <c r="I4577"/>
      <c r="J4577"/>
    </row>
    <row r="4578" spans="9:10" x14ac:dyDescent="0.45">
      <c r="I4578"/>
      <c r="J4578"/>
    </row>
    <row r="4579" spans="9:10" x14ac:dyDescent="0.45">
      <c r="I4579"/>
      <c r="J4579"/>
    </row>
    <row r="4580" spans="9:10" x14ac:dyDescent="0.45">
      <c r="I4580"/>
      <c r="J4580"/>
    </row>
    <row r="4581" spans="9:10" x14ac:dyDescent="0.45">
      <c r="I4581"/>
      <c r="J4581"/>
    </row>
    <row r="4582" spans="9:10" x14ac:dyDescent="0.45">
      <c r="I4582"/>
      <c r="J4582"/>
    </row>
    <row r="4583" spans="9:10" x14ac:dyDescent="0.45">
      <c r="I4583"/>
      <c r="J4583"/>
    </row>
    <row r="4584" spans="9:10" x14ac:dyDescent="0.45">
      <c r="I4584"/>
      <c r="J4584"/>
    </row>
    <row r="4585" spans="9:10" x14ac:dyDescent="0.45">
      <c r="I4585"/>
      <c r="J4585"/>
    </row>
    <row r="4586" spans="9:10" x14ac:dyDescent="0.45">
      <c r="I4586"/>
      <c r="J4586"/>
    </row>
    <row r="4587" spans="9:10" x14ac:dyDescent="0.45">
      <c r="I4587"/>
      <c r="J4587"/>
    </row>
    <row r="4588" spans="9:10" x14ac:dyDescent="0.45">
      <c r="I4588"/>
      <c r="J4588"/>
    </row>
    <row r="4589" spans="9:10" x14ac:dyDescent="0.45">
      <c r="I4589"/>
      <c r="J4589"/>
    </row>
    <row r="4590" spans="9:10" x14ac:dyDescent="0.45">
      <c r="I4590"/>
      <c r="J4590"/>
    </row>
    <row r="4591" spans="9:10" x14ac:dyDescent="0.45">
      <c r="I4591"/>
      <c r="J4591"/>
    </row>
    <row r="4592" spans="9:10" x14ac:dyDescent="0.45">
      <c r="I4592"/>
      <c r="J4592"/>
    </row>
    <row r="4593" spans="9:10" x14ac:dyDescent="0.45">
      <c r="I4593"/>
      <c r="J4593"/>
    </row>
    <row r="4594" spans="9:10" x14ac:dyDescent="0.45">
      <c r="I4594"/>
      <c r="J4594"/>
    </row>
    <row r="4595" spans="9:10" x14ac:dyDescent="0.45">
      <c r="I4595"/>
      <c r="J4595"/>
    </row>
    <row r="4596" spans="9:10" x14ac:dyDescent="0.45">
      <c r="I4596"/>
      <c r="J4596"/>
    </row>
    <row r="4597" spans="9:10" x14ac:dyDescent="0.45">
      <c r="I4597"/>
      <c r="J4597"/>
    </row>
    <row r="4598" spans="9:10" x14ac:dyDescent="0.45">
      <c r="I4598"/>
      <c r="J4598"/>
    </row>
    <row r="4599" spans="9:10" x14ac:dyDescent="0.45">
      <c r="I4599"/>
      <c r="J4599"/>
    </row>
    <row r="4600" spans="9:10" x14ac:dyDescent="0.45">
      <c r="I4600"/>
      <c r="J4600"/>
    </row>
    <row r="4601" spans="9:10" x14ac:dyDescent="0.45">
      <c r="I4601"/>
      <c r="J4601"/>
    </row>
    <row r="4602" spans="9:10" x14ac:dyDescent="0.45">
      <c r="I4602"/>
      <c r="J4602"/>
    </row>
    <row r="4603" spans="9:10" x14ac:dyDescent="0.45">
      <c r="I4603"/>
      <c r="J4603"/>
    </row>
    <row r="4604" spans="9:10" x14ac:dyDescent="0.45">
      <c r="I4604"/>
      <c r="J4604"/>
    </row>
    <row r="4605" spans="9:10" x14ac:dyDescent="0.45">
      <c r="I4605"/>
      <c r="J4605"/>
    </row>
    <row r="4606" spans="9:10" x14ac:dyDescent="0.45">
      <c r="I4606"/>
      <c r="J4606"/>
    </row>
    <row r="4607" spans="9:10" x14ac:dyDescent="0.45">
      <c r="I4607"/>
      <c r="J4607"/>
    </row>
    <row r="4608" spans="9:10" x14ac:dyDescent="0.45">
      <c r="I4608"/>
      <c r="J4608"/>
    </row>
    <row r="4609" spans="9:10" x14ac:dyDescent="0.45">
      <c r="I4609"/>
      <c r="J4609"/>
    </row>
    <row r="4610" spans="9:10" x14ac:dyDescent="0.45">
      <c r="I4610"/>
      <c r="J4610"/>
    </row>
    <row r="4611" spans="9:10" x14ac:dyDescent="0.45">
      <c r="I4611"/>
      <c r="J4611"/>
    </row>
    <row r="4612" spans="9:10" x14ac:dyDescent="0.45">
      <c r="I4612"/>
      <c r="J4612"/>
    </row>
    <row r="4613" spans="9:10" x14ac:dyDescent="0.45">
      <c r="I4613"/>
      <c r="J4613"/>
    </row>
    <row r="4614" spans="9:10" x14ac:dyDescent="0.45">
      <c r="I4614"/>
      <c r="J4614"/>
    </row>
    <row r="4615" spans="9:10" x14ac:dyDescent="0.45">
      <c r="I4615"/>
      <c r="J4615"/>
    </row>
    <row r="4616" spans="9:10" x14ac:dyDescent="0.45">
      <c r="I4616"/>
      <c r="J4616"/>
    </row>
    <row r="4617" spans="9:10" x14ac:dyDescent="0.45">
      <c r="I4617"/>
      <c r="J4617"/>
    </row>
    <row r="4618" spans="9:10" x14ac:dyDescent="0.45">
      <c r="I4618"/>
      <c r="J4618"/>
    </row>
    <row r="4619" spans="9:10" x14ac:dyDescent="0.45">
      <c r="I4619"/>
      <c r="J4619"/>
    </row>
    <row r="4620" spans="9:10" x14ac:dyDescent="0.45">
      <c r="I4620"/>
      <c r="J4620"/>
    </row>
    <row r="4621" spans="9:10" x14ac:dyDescent="0.45">
      <c r="I4621"/>
      <c r="J4621"/>
    </row>
    <row r="4622" spans="9:10" x14ac:dyDescent="0.45">
      <c r="I4622"/>
      <c r="J4622"/>
    </row>
    <row r="4623" spans="9:10" x14ac:dyDescent="0.45">
      <c r="I4623"/>
      <c r="J4623"/>
    </row>
    <row r="4624" spans="9:10" x14ac:dyDescent="0.45">
      <c r="I4624"/>
      <c r="J4624"/>
    </row>
    <row r="4625" spans="9:10" x14ac:dyDescent="0.45">
      <c r="I4625"/>
      <c r="J4625"/>
    </row>
    <row r="4626" spans="9:10" x14ac:dyDescent="0.45">
      <c r="I4626"/>
      <c r="J4626"/>
    </row>
    <row r="4627" spans="9:10" x14ac:dyDescent="0.45">
      <c r="I4627"/>
      <c r="J4627"/>
    </row>
    <row r="4628" spans="9:10" x14ac:dyDescent="0.45">
      <c r="I4628"/>
      <c r="J4628"/>
    </row>
    <row r="4629" spans="9:10" x14ac:dyDescent="0.45">
      <c r="I4629"/>
      <c r="J4629"/>
    </row>
    <row r="4630" spans="9:10" x14ac:dyDescent="0.45">
      <c r="I4630"/>
      <c r="J4630"/>
    </row>
    <row r="4631" spans="9:10" x14ac:dyDescent="0.45">
      <c r="I4631"/>
      <c r="J4631"/>
    </row>
    <row r="4632" spans="9:10" x14ac:dyDescent="0.45">
      <c r="I4632"/>
      <c r="J4632"/>
    </row>
    <row r="4633" spans="9:10" x14ac:dyDescent="0.45">
      <c r="I4633"/>
      <c r="J4633"/>
    </row>
    <row r="4634" spans="9:10" x14ac:dyDescent="0.45">
      <c r="I4634"/>
      <c r="J4634"/>
    </row>
    <row r="4635" spans="9:10" x14ac:dyDescent="0.45">
      <c r="I4635"/>
      <c r="J4635"/>
    </row>
    <row r="4636" spans="9:10" x14ac:dyDescent="0.45">
      <c r="I4636"/>
      <c r="J4636"/>
    </row>
    <row r="4637" spans="9:10" x14ac:dyDescent="0.45">
      <c r="I4637"/>
      <c r="J4637"/>
    </row>
    <row r="4638" spans="9:10" x14ac:dyDescent="0.45">
      <c r="I4638"/>
      <c r="J4638"/>
    </row>
    <row r="4639" spans="9:10" x14ac:dyDescent="0.45">
      <c r="I4639"/>
      <c r="J4639"/>
    </row>
    <row r="4640" spans="9:10" x14ac:dyDescent="0.45">
      <c r="I4640"/>
      <c r="J4640"/>
    </row>
    <row r="4641" spans="9:10" x14ac:dyDescent="0.45">
      <c r="I4641"/>
      <c r="J4641"/>
    </row>
    <row r="4642" spans="9:10" x14ac:dyDescent="0.45">
      <c r="I4642"/>
      <c r="J4642"/>
    </row>
    <row r="4643" spans="9:10" x14ac:dyDescent="0.45">
      <c r="I4643"/>
      <c r="J4643"/>
    </row>
    <row r="4644" spans="9:10" x14ac:dyDescent="0.45">
      <c r="I4644"/>
      <c r="J4644"/>
    </row>
    <row r="4645" spans="9:10" x14ac:dyDescent="0.45">
      <c r="I4645"/>
      <c r="J4645"/>
    </row>
    <row r="4646" spans="9:10" x14ac:dyDescent="0.45">
      <c r="I4646"/>
      <c r="J4646"/>
    </row>
    <row r="4647" spans="9:10" x14ac:dyDescent="0.45">
      <c r="I4647"/>
      <c r="J4647"/>
    </row>
    <row r="4648" spans="9:10" x14ac:dyDescent="0.45">
      <c r="I4648"/>
      <c r="J4648"/>
    </row>
    <row r="4649" spans="9:10" x14ac:dyDescent="0.45">
      <c r="I4649"/>
      <c r="J4649"/>
    </row>
    <row r="4650" spans="9:10" x14ac:dyDescent="0.45">
      <c r="I4650"/>
      <c r="J4650"/>
    </row>
    <row r="4651" spans="9:10" x14ac:dyDescent="0.45">
      <c r="I4651"/>
      <c r="J4651"/>
    </row>
    <row r="4652" spans="9:10" x14ac:dyDescent="0.45">
      <c r="I4652"/>
      <c r="J4652"/>
    </row>
    <row r="4653" spans="9:10" x14ac:dyDescent="0.45">
      <c r="I4653"/>
      <c r="J4653"/>
    </row>
    <row r="4654" spans="9:10" x14ac:dyDescent="0.45">
      <c r="I4654"/>
      <c r="J4654"/>
    </row>
    <row r="4655" spans="9:10" x14ac:dyDescent="0.45">
      <c r="I4655"/>
      <c r="J4655"/>
    </row>
    <row r="4656" spans="9:10" x14ac:dyDescent="0.45">
      <c r="I4656"/>
      <c r="J4656"/>
    </row>
    <row r="4657" spans="9:10" x14ac:dyDescent="0.45">
      <c r="I4657"/>
      <c r="J4657"/>
    </row>
    <row r="4658" spans="9:10" x14ac:dyDescent="0.45">
      <c r="I4658"/>
      <c r="J4658"/>
    </row>
    <row r="4659" spans="9:10" x14ac:dyDescent="0.45">
      <c r="I4659"/>
      <c r="J4659"/>
    </row>
    <row r="4660" spans="9:10" x14ac:dyDescent="0.45">
      <c r="I4660"/>
      <c r="J4660"/>
    </row>
    <row r="4661" spans="9:10" x14ac:dyDescent="0.45">
      <c r="I4661"/>
      <c r="J4661"/>
    </row>
    <row r="4662" spans="9:10" x14ac:dyDescent="0.45">
      <c r="I4662"/>
      <c r="J4662"/>
    </row>
    <row r="4663" spans="9:10" x14ac:dyDescent="0.45">
      <c r="I4663"/>
      <c r="J4663"/>
    </row>
    <row r="4664" spans="9:10" x14ac:dyDescent="0.45">
      <c r="I4664"/>
      <c r="J4664"/>
    </row>
    <row r="4665" spans="9:10" x14ac:dyDescent="0.45">
      <c r="I4665"/>
      <c r="J4665"/>
    </row>
    <row r="4666" spans="9:10" x14ac:dyDescent="0.45">
      <c r="I4666"/>
      <c r="J4666"/>
    </row>
    <row r="4667" spans="9:10" x14ac:dyDescent="0.45">
      <c r="I4667"/>
      <c r="J4667"/>
    </row>
    <row r="4668" spans="9:10" x14ac:dyDescent="0.45">
      <c r="I4668"/>
      <c r="J4668"/>
    </row>
    <row r="4669" spans="9:10" x14ac:dyDescent="0.45">
      <c r="I4669"/>
      <c r="J4669"/>
    </row>
    <row r="4670" spans="9:10" x14ac:dyDescent="0.45">
      <c r="I4670"/>
      <c r="J4670"/>
    </row>
    <row r="4671" spans="9:10" x14ac:dyDescent="0.45">
      <c r="I4671"/>
      <c r="J4671"/>
    </row>
    <row r="4672" spans="9:10" x14ac:dyDescent="0.45">
      <c r="I4672"/>
      <c r="J4672"/>
    </row>
    <row r="4673" spans="9:10" x14ac:dyDescent="0.45">
      <c r="I4673"/>
      <c r="J4673"/>
    </row>
    <row r="4674" spans="9:10" x14ac:dyDescent="0.45">
      <c r="I4674"/>
      <c r="J4674"/>
    </row>
    <row r="4675" spans="9:10" x14ac:dyDescent="0.45">
      <c r="I4675"/>
      <c r="J4675"/>
    </row>
    <row r="4676" spans="9:10" x14ac:dyDescent="0.45">
      <c r="I4676"/>
      <c r="J4676"/>
    </row>
    <row r="4677" spans="9:10" x14ac:dyDescent="0.45">
      <c r="I4677"/>
      <c r="J4677"/>
    </row>
    <row r="4678" spans="9:10" x14ac:dyDescent="0.45">
      <c r="I4678"/>
      <c r="J4678"/>
    </row>
    <row r="4679" spans="9:10" x14ac:dyDescent="0.45">
      <c r="I4679"/>
      <c r="J4679"/>
    </row>
    <row r="4680" spans="9:10" x14ac:dyDescent="0.45">
      <c r="I4680"/>
      <c r="J4680"/>
    </row>
    <row r="4681" spans="9:10" x14ac:dyDescent="0.45">
      <c r="I4681"/>
      <c r="J4681"/>
    </row>
    <row r="4682" spans="9:10" x14ac:dyDescent="0.45">
      <c r="I4682"/>
      <c r="J4682"/>
    </row>
    <row r="4683" spans="9:10" x14ac:dyDescent="0.45">
      <c r="I4683"/>
      <c r="J4683"/>
    </row>
    <row r="4684" spans="9:10" x14ac:dyDescent="0.45">
      <c r="I4684"/>
      <c r="J4684"/>
    </row>
    <row r="4685" spans="9:10" x14ac:dyDescent="0.45">
      <c r="I4685"/>
      <c r="J4685"/>
    </row>
    <row r="4686" spans="9:10" x14ac:dyDescent="0.45">
      <c r="I4686"/>
      <c r="J4686"/>
    </row>
    <row r="4687" spans="9:10" x14ac:dyDescent="0.45">
      <c r="I4687"/>
      <c r="J4687"/>
    </row>
    <row r="4688" spans="9:10" x14ac:dyDescent="0.45">
      <c r="I4688"/>
      <c r="J4688"/>
    </row>
    <row r="4689" spans="9:10" x14ac:dyDescent="0.45">
      <c r="I4689"/>
      <c r="J4689"/>
    </row>
    <row r="4690" spans="9:10" x14ac:dyDescent="0.45">
      <c r="I4690"/>
      <c r="J4690"/>
    </row>
    <row r="4691" spans="9:10" x14ac:dyDescent="0.45">
      <c r="I4691"/>
      <c r="J4691"/>
    </row>
    <row r="4692" spans="9:10" x14ac:dyDescent="0.45">
      <c r="I4692"/>
      <c r="J4692"/>
    </row>
    <row r="4693" spans="9:10" x14ac:dyDescent="0.45">
      <c r="I4693"/>
      <c r="J4693"/>
    </row>
    <row r="4694" spans="9:10" x14ac:dyDescent="0.45">
      <c r="I4694"/>
      <c r="J4694"/>
    </row>
    <row r="4695" spans="9:10" x14ac:dyDescent="0.45">
      <c r="I4695"/>
      <c r="J4695"/>
    </row>
    <row r="4696" spans="9:10" x14ac:dyDescent="0.45">
      <c r="I4696"/>
      <c r="J4696"/>
    </row>
    <row r="4697" spans="9:10" x14ac:dyDescent="0.45">
      <c r="I4697"/>
      <c r="J4697"/>
    </row>
    <row r="4698" spans="9:10" x14ac:dyDescent="0.45">
      <c r="I4698"/>
      <c r="J4698"/>
    </row>
    <row r="4699" spans="9:10" x14ac:dyDescent="0.45">
      <c r="I4699"/>
      <c r="J4699"/>
    </row>
    <row r="4700" spans="9:10" x14ac:dyDescent="0.45">
      <c r="I4700"/>
      <c r="J4700"/>
    </row>
    <row r="4701" spans="9:10" x14ac:dyDescent="0.45">
      <c r="I4701"/>
      <c r="J4701"/>
    </row>
    <row r="4702" spans="9:10" x14ac:dyDescent="0.45">
      <c r="I4702"/>
      <c r="J4702"/>
    </row>
    <row r="4703" spans="9:10" x14ac:dyDescent="0.45">
      <c r="I4703"/>
      <c r="J4703"/>
    </row>
    <row r="4704" spans="9:10" x14ac:dyDescent="0.45">
      <c r="I4704"/>
      <c r="J4704"/>
    </row>
    <row r="4705" spans="9:10" x14ac:dyDescent="0.45">
      <c r="I4705"/>
      <c r="J4705"/>
    </row>
    <row r="4706" spans="9:10" x14ac:dyDescent="0.45">
      <c r="I4706"/>
      <c r="J4706"/>
    </row>
    <row r="4707" spans="9:10" x14ac:dyDescent="0.45">
      <c r="I4707"/>
      <c r="J4707"/>
    </row>
    <row r="4708" spans="9:10" x14ac:dyDescent="0.45">
      <c r="I4708"/>
      <c r="J4708"/>
    </row>
    <row r="4709" spans="9:10" x14ac:dyDescent="0.45">
      <c r="I4709"/>
      <c r="J4709"/>
    </row>
    <row r="4710" spans="9:10" x14ac:dyDescent="0.45">
      <c r="I4710"/>
      <c r="J4710"/>
    </row>
    <row r="4711" spans="9:10" x14ac:dyDescent="0.45">
      <c r="I4711"/>
      <c r="J4711"/>
    </row>
    <row r="4712" spans="9:10" x14ac:dyDescent="0.45">
      <c r="I4712"/>
      <c r="J4712"/>
    </row>
    <row r="4713" spans="9:10" x14ac:dyDescent="0.45">
      <c r="I4713"/>
      <c r="J4713"/>
    </row>
    <row r="4714" spans="9:10" x14ac:dyDescent="0.45">
      <c r="I4714"/>
      <c r="J4714"/>
    </row>
    <row r="4715" spans="9:10" x14ac:dyDescent="0.45">
      <c r="I4715"/>
      <c r="J4715"/>
    </row>
    <row r="4716" spans="9:10" x14ac:dyDescent="0.45">
      <c r="I4716"/>
      <c r="J4716"/>
    </row>
    <row r="4717" spans="9:10" x14ac:dyDescent="0.45">
      <c r="I4717"/>
      <c r="J4717"/>
    </row>
    <row r="4718" spans="9:10" x14ac:dyDescent="0.45">
      <c r="I4718"/>
      <c r="J4718"/>
    </row>
    <row r="4719" spans="9:10" x14ac:dyDescent="0.45">
      <c r="I4719"/>
      <c r="J4719"/>
    </row>
    <row r="4720" spans="9:10" x14ac:dyDescent="0.45">
      <c r="I4720"/>
      <c r="J4720"/>
    </row>
    <row r="4721" spans="9:10" x14ac:dyDescent="0.45">
      <c r="I4721"/>
      <c r="J4721"/>
    </row>
    <row r="4722" spans="9:10" x14ac:dyDescent="0.45">
      <c r="I4722"/>
      <c r="J4722"/>
    </row>
    <row r="4723" spans="9:10" x14ac:dyDescent="0.45">
      <c r="I4723"/>
      <c r="J4723"/>
    </row>
    <row r="4724" spans="9:10" x14ac:dyDescent="0.45">
      <c r="I4724"/>
      <c r="J4724"/>
    </row>
    <row r="4725" spans="9:10" x14ac:dyDescent="0.45">
      <c r="I4725"/>
      <c r="J4725"/>
    </row>
    <row r="4726" spans="9:10" x14ac:dyDescent="0.45">
      <c r="I4726"/>
      <c r="J4726"/>
    </row>
    <row r="4727" spans="9:10" x14ac:dyDescent="0.45">
      <c r="I4727"/>
      <c r="J4727"/>
    </row>
    <row r="4728" spans="9:10" x14ac:dyDescent="0.45">
      <c r="I4728"/>
      <c r="J4728"/>
    </row>
    <row r="4729" spans="9:10" x14ac:dyDescent="0.45">
      <c r="I4729"/>
      <c r="J4729"/>
    </row>
    <row r="4730" spans="9:10" x14ac:dyDescent="0.45">
      <c r="I4730"/>
      <c r="J4730"/>
    </row>
    <row r="4731" spans="9:10" x14ac:dyDescent="0.45">
      <c r="I4731"/>
      <c r="J4731"/>
    </row>
    <row r="4732" spans="9:10" x14ac:dyDescent="0.45">
      <c r="I4732"/>
      <c r="J4732"/>
    </row>
    <row r="4733" spans="9:10" x14ac:dyDescent="0.45">
      <c r="I4733"/>
      <c r="J4733"/>
    </row>
    <row r="4734" spans="9:10" x14ac:dyDescent="0.45">
      <c r="I4734"/>
      <c r="J4734"/>
    </row>
    <row r="4735" spans="9:10" x14ac:dyDescent="0.45">
      <c r="I4735"/>
      <c r="J4735"/>
    </row>
    <row r="4736" spans="9:10" x14ac:dyDescent="0.45">
      <c r="I4736"/>
      <c r="J4736"/>
    </row>
    <row r="4737" spans="9:10" x14ac:dyDescent="0.45">
      <c r="I4737"/>
      <c r="J4737"/>
    </row>
    <row r="4738" spans="9:10" x14ac:dyDescent="0.45">
      <c r="I4738"/>
      <c r="J4738"/>
    </row>
    <row r="4739" spans="9:10" x14ac:dyDescent="0.45">
      <c r="I4739"/>
      <c r="J4739"/>
    </row>
    <row r="4740" spans="9:10" x14ac:dyDescent="0.45">
      <c r="I4740"/>
      <c r="J4740"/>
    </row>
    <row r="4741" spans="9:10" x14ac:dyDescent="0.45">
      <c r="I4741"/>
      <c r="J4741"/>
    </row>
    <row r="4742" spans="9:10" x14ac:dyDescent="0.45">
      <c r="I4742"/>
      <c r="J4742"/>
    </row>
    <row r="4743" spans="9:10" x14ac:dyDescent="0.45">
      <c r="I4743"/>
      <c r="J4743"/>
    </row>
    <row r="4744" spans="9:10" x14ac:dyDescent="0.45">
      <c r="I4744"/>
      <c r="J4744"/>
    </row>
    <row r="4745" spans="9:10" x14ac:dyDescent="0.45">
      <c r="I4745"/>
      <c r="J4745"/>
    </row>
    <row r="4746" spans="9:10" x14ac:dyDescent="0.45">
      <c r="I4746"/>
      <c r="J4746"/>
    </row>
    <row r="4747" spans="9:10" x14ac:dyDescent="0.45">
      <c r="I4747"/>
      <c r="J4747"/>
    </row>
    <row r="4748" spans="9:10" x14ac:dyDescent="0.45">
      <c r="I4748"/>
      <c r="J4748"/>
    </row>
    <row r="4749" spans="9:10" x14ac:dyDescent="0.45">
      <c r="I4749"/>
      <c r="J4749"/>
    </row>
    <row r="4750" spans="9:10" x14ac:dyDescent="0.45">
      <c r="I4750"/>
      <c r="J4750"/>
    </row>
    <row r="4751" spans="9:10" x14ac:dyDescent="0.45">
      <c r="I4751"/>
      <c r="J4751"/>
    </row>
    <row r="4752" spans="9:10" x14ac:dyDescent="0.45">
      <c r="I4752"/>
      <c r="J4752"/>
    </row>
    <row r="4753" spans="9:10" x14ac:dyDescent="0.45">
      <c r="I4753"/>
      <c r="J4753"/>
    </row>
    <row r="4754" spans="9:10" x14ac:dyDescent="0.45">
      <c r="I4754"/>
      <c r="J4754"/>
    </row>
    <row r="4755" spans="9:10" x14ac:dyDescent="0.45">
      <c r="I4755"/>
      <c r="J4755"/>
    </row>
    <row r="4756" spans="9:10" x14ac:dyDescent="0.45">
      <c r="I4756"/>
      <c r="J4756"/>
    </row>
    <row r="4757" spans="9:10" x14ac:dyDescent="0.45">
      <c r="I4757"/>
      <c r="J4757"/>
    </row>
    <row r="4758" spans="9:10" x14ac:dyDescent="0.45">
      <c r="I4758"/>
      <c r="J4758"/>
    </row>
    <row r="4759" spans="9:10" x14ac:dyDescent="0.45">
      <c r="I4759"/>
      <c r="J4759"/>
    </row>
    <row r="4760" spans="9:10" x14ac:dyDescent="0.45">
      <c r="I4760"/>
      <c r="J4760"/>
    </row>
    <row r="4761" spans="9:10" x14ac:dyDescent="0.45">
      <c r="I4761"/>
      <c r="J4761"/>
    </row>
    <row r="4762" spans="9:10" x14ac:dyDescent="0.45">
      <c r="I4762"/>
      <c r="J4762"/>
    </row>
    <row r="4763" spans="9:10" x14ac:dyDescent="0.45">
      <c r="I4763"/>
      <c r="J4763"/>
    </row>
    <row r="4764" spans="9:10" x14ac:dyDescent="0.45">
      <c r="I4764"/>
      <c r="J4764"/>
    </row>
    <row r="4765" spans="9:10" x14ac:dyDescent="0.45">
      <c r="I4765"/>
      <c r="J4765"/>
    </row>
    <row r="4766" spans="9:10" x14ac:dyDescent="0.45">
      <c r="I4766"/>
      <c r="J4766"/>
    </row>
    <row r="4767" spans="9:10" x14ac:dyDescent="0.45">
      <c r="I4767"/>
      <c r="J4767"/>
    </row>
    <row r="4768" spans="9:10" x14ac:dyDescent="0.45">
      <c r="I4768"/>
      <c r="J4768"/>
    </row>
    <row r="4769" spans="9:10" x14ac:dyDescent="0.45">
      <c r="I4769"/>
      <c r="J4769"/>
    </row>
    <row r="4770" spans="9:10" x14ac:dyDescent="0.45">
      <c r="I4770"/>
      <c r="J4770"/>
    </row>
    <row r="4771" spans="9:10" x14ac:dyDescent="0.45">
      <c r="I4771"/>
      <c r="J4771"/>
    </row>
    <row r="4772" spans="9:10" x14ac:dyDescent="0.45">
      <c r="I4772"/>
      <c r="J4772"/>
    </row>
    <row r="4773" spans="9:10" x14ac:dyDescent="0.45">
      <c r="I4773"/>
      <c r="J4773"/>
    </row>
    <row r="4774" spans="9:10" x14ac:dyDescent="0.45">
      <c r="I4774"/>
      <c r="J4774"/>
    </row>
    <row r="4775" spans="9:10" x14ac:dyDescent="0.45">
      <c r="I4775"/>
      <c r="J4775"/>
    </row>
    <row r="4776" spans="9:10" x14ac:dyDescent="0.45">
      <c r="I4776"/>
      <c r="J4776"/>
    </row>
    <row r="4777" spans="9:10" x14ac:dyDescent="0.45">
      <c r="I4777"/>
      <c r="J4777"/>
    </row>
    <row r="4778" spans="9:10" x14ac:dyDescent="0.45">
      <c r="I4778"/>
      <c r="J4778"/>
    </row>
    <row r="4779" spans="9:10" x14ac:dyDescent="0.45">
      <c r="I4779"/>
      <c r="J4779"/>
    </row>
    <row r="4780" spans="9:10" x14ac:dyDescent="0.45">
      <c r="I4780"/>
      <c r="J4780"/>
    </row>
    <row r="4781" spans="9:10" x14ac:dyDescent="0.45">
      <c r="I4781"/>
      <c r="J4781"/>
    </row>
    <row r="4782" spans="9:10" x14ac:dyDescent="0.45">
      <c r="I4782"/>
      <c r="J4782"/>
    </row>
    <row r="4783" spans="9:10" x14ac:dyDescent="0.45">
      <c r="I4783"/>
      <c r="J4783"/>
    </row>
    <row r="4784" spans="9:10" x14ac:dyDescent="0.45">
      <c r="I4784"/>
      <c r="J4784"/>
    </row>
    <row r="4785" spans="9:10" x14ac:dyDescent="0.45">
      <c r="I4785"/>
      <c r="J4785"/>
    </row>
    <row r="4786" spans="9:10" x14ac:dyDescent="0.45">
      <c r="I4786"/>
      <c r="J4786"/>
    </row>
    <row r="4787" spans="9:10" x14ac:dyDescent="0.45">
      <c r="I4787"/>
      <c r="J4787"/>
    </row>
    <row r="4788" spans="9:10" x14ac:dyDescent="0.45">
      <c r="I4788"/>
      <c r="J4788"/>
    </row>
    <row r="4789" spans="9:10" x14ac:dyDescent="0.45">
      <c r="I4789"/>
      <c r="J4789"/>
    </row>
    <row r="4790" spans="9:10" x14ac:dyDescent="0.45">
      <c r="I4790"/>
      <c r="J4790"/>
    </row>
    <row r="4791" spans="9:10" x14ac:dyDescent="0.45">
      <c r="I4791"/>
      <c r="J4791"/>
    </row>
    <row r="4792" spans="9:10" x14ac:dyDescent="0.45">
      <c r="I4792"/>
      <c r="J4792"/>
    </row>
    <row r="4793" spans="9:10" x14ac:dyDescent="0.45">
      <c r="I4793"/>
      <c r="J4793"/>
    </row>
    <row r="4794" spans="9:10" x14ac:dyDescent="0.45">
      <c r="I4794"/>
      <c r="J4794"/>
    </row>
    <row r="4795" spans="9:10" x14ac:dyDescent="0.45">
      <c r="I4795"/>
      <c r="J4795"/>
    </row>
    <row r="4796" spans="9:10" x14ac:dyDescent="0.45">
      <c r="I4796"/>
      <c r="J4796"/>
    </row>
    <row r="4797" spans="9:10" x14ac:dyDescent="0.45">
      <c r="I4797"/>
      <c r="J4797"/>
    </row>
    <row r="4798" spans="9:10" x14ac:dyDescent="0.45">
      <c r="I4798"/>
      <c r="J4798"/>
    </row>
    <row r="4799" spans="9:10" x14ac:dyDescent="0.45">
      <c r="I4799"/>
      <c r="J4799"/>
    </row>
    <row r="4800" spans="9:10" x14ac:dyDescent="0.45">
      <c r="I4800"/>
      <c r="J4800"/>
    </row>
    <row r="4801" spans="9:10" x14ac:dyDescent="0.45">
      <c r="I4801"/>
      <c r="J4801"/>
    </row>
    <row r="4802" spans="9:10" x14ac:dyDescent="0.45">
      <c r="I4802"/>
      <c r="J4802"/>
    </row>
    <row r="4803" spans="9:10" x14ac:dyDescent="0.45">
      <c r="I4803"/>
      <c r="J4803"/>
    </row>
    <row r="4804" spans="9:10" x14ac:dyDescent="0.45">
      <c r="I4804"/>
      <c r="J4804"/>
    </row>
    <row r="4805" spans="9:10" x14ac:dyDescent="0.45">
      <c r="I4805"/>
      <c r="J4805"/>
    </row>
    <row r="4806" spans="9:10" x14ac:dyDescent="0.45">
      <c r="I4806"/>
      <c r="J4806"/>
    </row>
    <row r="4807" spans="9:10" x14ac:dyDescent="0.45">
      <c r="I4807"/>
      <c r="J4807"/>
    </row>
    <row r="4808" spans="9:10" x14ac:dyDescent="0.45">
      <c r="I4808"/>
      <c r="J4808"/>
    </row>
    <row r="4809" spans="9:10" x14ac:dyDescent="0.45">
      <c r="I4809"/>
      <c r="J4809"/>
    </row>
    <row r="4810" spans="9:10" x14ac:dyDescent="0.45">
      <c r="I4810"/>
      <c r="J4810"/>
    </row>
    <row r="4811" spans="9:10" x14ac:dyDescent="0.45">
      <c r="I4811"/>
      <c r="J4811"/>
    </row>
    <row r="4812" spans="9:10" x14ac:dyDescent="0.45">
      <c r="I4812"/>
      <c r="J4812"/>
    </row>
    <row r="4813" spans="9:10" x14ac:dyDescent="0.45">
      <c r="I4813"/>
      <c r="J4813"/>
    </row>
    <row r="4814" spans="9:10" x14ac:dyDescent="0.45">
      <c r="I4814"/>
      <c r="J4814"/>
    </row>
    <row r="4815" spans="9:10" x14ac:dyDescent="0.45">
      <c r="I4815"/>
      <c r="J4815"/>
    </row>
    <row r="4816" spans="9:10" x14ac:dyDescent="0.45">
      <c r="I4816"/>
      <c r="J4816"/>
    </row>
    <row r="4817" spans="9:10" x14ac:dyDescent="0.45">
      <c r="I4817"/>
      <c r="J4817"/>
    </row>
    <row r="4818" spans="9:10" x14ac:dyDescent="0.45">
      <c r="I4818"/>
      <c r="J4818"/>
    </row>
    <row r="4819" spans="9:10" x14ac:dyDescent="0.45">
      <c r="I4819"/>
      <c r="J4819"/>
    </row>
    <row r="4820" spans="9:10" x14ac:dyDescent="0.45">
      <c r="I4820"/>
      <c r="J4820"/>
    </row>
    <row r="4821" spans="9:10" x14ac:dyDescent="0.45">
      <c r="I4821"/>
      <c r="J4821"/>
    </row>
    <row r="4822" spans="9:10" x14ac:dyDescent="0.45">
      <c r="I4822"/>
      <c r="J4822"/>
    </row>
    <row r="4823" spans="9:10" x14ac:dyDescent="0.45">
      <c r="I4823"/>
      <c r="J4823"/>
    </row>
    <row r="4824" spans="9:10" x14ac:dyDescent="0.45">
      <c r="I4824"/>
      <c r="J4824"/>
    </row>
    <row r="4825" spans="9:10" x14ac:dyDescent="0.45">
      <c r="I4825"/>
      <c r="J4825"/>
    </row>
    <row r="4826" spans="9:10" x14ac:dyDescent="0.45">
      <c r="I4826"/>
      <c r="J4826"/>
    </row>
    <row r="4827" spans="9:10" x14ac:dyDescent="0.45">
      <c r="I4827"/>
      <c r="J4827"/>
    </row>
    <row r="4828" spans="9:10" x14ac:dyDescent="0.45">
      <c r="I4828"/>
      <c r="J4828"/>
    </row>
    <row r="4829" spans="9:10" x14ac:dyDescent="0.45">
      <c r="I4829"/>
      <c r="J4829"/>
    </row>
    <row r="4830" spans="9:10" x14ac:dyDescent="0.45">
      <c r="I4830"/>
      <c r="J4830"/>
    </row>
    <row r="4831" spans="9:10" x14ac:dyDescent="0.45">
      <c r="I4831"/>
      <c r="J4831"/>
    </row>
    <row r="4832" spans="9:10" x14ac:dyDescent="0.45">
      <c r="I4832"/>
      <c r="J4832"/>
    </row>
    <row r="4833" spans="9:10" x14ac:dyDescent="0.45">
      <c r="I4833"/>
      <c r="J4833"/>
    </row>
    <row r="4834" spans="9:10" x14ac:dyDescent="0.45">
      <c r="I4834"/>
      <c r="J4834"/>
    </row>
    <row r="4835" spans="9:10" x14ac:dyDescent="0.45">
      <c r="I4835"/>
      <c r="J4835"/>
    </row>
    <row r="4836" spans="9:10" x14ac:dyDescent="0.45">
      <c r="I4836"/>
      <c r="J4836"/>
    </row>
    <row r="4837" spans="9:10" x14ac:dyDescent="0.45">
      <c r="I4837"/>
      <c r="J4837"/>
    </row>
    <row r="4838" spans="9:10" x14ac:dyDescent="0.45">
      <c r="I4838"/>
      <c r="J4838"/>
    </row>
    <row r="4839" spans="9:10" x14ac:dyDescent="0.45">
      <c r="I4839"/>
      <c r="J4839"/>
    </row>
    <row r="4840" spans="9:10" x14ac:dyDescent="0.45">
      <c r="I4840"/>
      <c r="J4840"/>
    </row>
    <row r="4841" spans="9:10" x14ac:dyDescent="0.45">
      <c r="I4841"/>
      <c r="J4841"/>
    </row>
    <row r="4842" spans="9:10" x14ac:dyDescent="0.45">
      <c r="I4842"/>
      <c r="J4842"/>
    </row>
    <row r="4843" spans="9:10" x14ac:dyDescent="0.45">
      <c r="I4843"/>
      <c r="J4843"/>
    </row>
    <row r="4844" spans="9:10" x14ac:dyDescent="0.45">
      <c r="I4844"/>
      <c r="J4844"/>
    </row>
    <row r="4845" spans="9:10" x14ac:dyDescent="0.45">
      <c r="I4845"/>
      <c r="J4845"/>
    </row>
    <row r="4846" spans="9:10" x14ac:dyDescent="0.45">
      <c r="I4846"/>
      <c r="J4846"/>
    </row>
    <row r="4847" spans="9:10" x14ac:dyDescent="0.45">
      <c r="I4847"/>
      <c r="J4847"/>
    </row>
    <row r="4848" spans="9:10" x14ac:dyDescent="0.45">
      <c r="I4848"/>
      <c r="J4848"/>
    </row>
    <row r="4849" spans="9:10" x14ac:dyDescent="0.45">
      <c r="I4849"/>
      <c r="J4849"/>
    </row>
    <row r="4850" spans="9:10" x14ac:dyDescent="0.45">
      <c r="I4850"/>
      <c r="J4850"/>
    </row>
    <row r="4851" spans="9:10" x14ac:dyDescent="0.45">
      <c r="I4851"/>
      <c r="J4851"/>
    </row>
    <row r="4852" spans="9:10" x14ac:dyDescent="0.45">
      <c r="I4852"/>
      <c r="J4852"/>
    </row>
    <row r="4853" spans="9:10" x14ac:dyDescent="0.45">
      <c r="I4853"/>
      <c r="J4853"/>
    </row>
    <row r="4854" spans="9:10" x14ac:dyDescent="0.45">
      <c r="I4854"/>
      <c r="J4854"/>
    </row>
    <row r="4855" spans="9:10" x14ac:dyDescent="0.45">
      <c r="I4855"/>
      <c r="J4855"/>
    </row>
    <row r="4856" spans="9:10" x14ac:dyDescent="0.45">
      <c r="I4856"/>
      <c r="J4856"/>
    </row>
    <row r="4857" spans="9:10" x14ac:dyDescent="0.45">
      <c r="I4857"/>
      <c r="J4857"/>
    </row>
    <row r="4858" spans="9:10" x14ac:dyDescent="0.45">
      <c r="I4858"/>
      <c r="J4858"/>
    </row>
    <row r="4859" spans="9:10" x14ac:dyDescent="0.45">
      <c r="I4859"/>
      <c r="J4859"/>
    </row>
    <row r="4860" spans="9:10" x14ac:dyDescent="0.45">
      <c r="I4860"/>
      <c r="J4860"/>
    </row>
    <row r="4861" spans="9:10" x14ac:dyDescent="0.45">
      <c r="I4861"/>
      <c r="J4861"/>
    </row>
    <row r="4862" spans="9:10" x14ac:dyDescent="0.45">
      <c r="I4862"/>
      <c r="J4862"/>
    </row>
    <row r="4863" spans="9:10" x14ac:dyDescent="0.45">
      <c r="I4863"/>
      <c r="J4863"/>
    </row>
    <row r="4864" spans="9:10" x14ac:dyDescent="0.45">
      <c r="I4864"/>
      <c r="J4864"/>
    </row>
    <row r="4865" spans="9:10" x14ac:dyDescent="0.45">
      <c r="I4865"/>
      <c r="J4865"/>
    </row>
    <row r="4866" spans="9:10" x14ac:dyDescent="0.45">
      <c r="I4866"/>
      <c r="J4866"/>
    </row>
    <row r="4867" spans="9:10" x14ac:dyDescent="0.45">
      <c r="I4867"/>
      <c r="J4867"/>
    </row>
    <row r="4868" spans="9:10" x14ac:dyDescent="0.45">
      <c r="I4868"/>
      <c r="J4868"/>
    </row>
    <row r="4869" spans="9:10" x14ac:dyDescent="0.45">
      <c r="I4869"/>
      <c r="J4869"/>
    </row>
    <row r="4870" spans="9:10" x14ac:dyDescent="0.45">
      <c r="I4870"/>
      <c r="J4870"/>
    </row>
    <row r="4871" spans="9:10" x14ac:dyDescent="0.45">
      <c r="I4871"/>
      <c r="J4871"/>
    </row>
    <row r="4872" spans="9:10" x14ac:dyDescent="0.45">
      <c r="I4872"/>
      <c r="J4872"/>
    </row>
    <row r="4873" spans="9:10" x14ac:dyDescent="0.45">
      <c r="I4873"/>
      <c r="J4873"/>
    </row>
    <row r="4874" spans="9:10" x14ac:dyDescent="0.45">
      <c r="I4874"/>
      <c r="J4874"/>
    </row>
    <row r="4875" spans="9:10" x14ac:dyDescent="0.45">
      <c r="I4875"/>
      <c r="J4875"/>
    </row>
    <row r="4876" spans="9:10" x14ac:dyDescent="0.45">
      <c r="I4876"/>
      <c r="J4876"/>
    </row>
    <row r="4877" spans="9:10" x14ac:dyDescent="0.45">
      <c r="I4877"/>
      <c r="J4877"/>
    </row>
    <row r="4878" spans="9:10" x14ac:dyDescent="0.45">
      <c r="I4878"/>
      <c r="J4878"/>
    </row>
    <row r="4879" spans="9:10" x14ac:dyDescent="0.45">
      <c r="I4879"/>
      <c r="J4879"/>
    </row>
    <row r="4880" spans="9:10" x14ac:dyDescent="0.45">
      <c r="I4880"/>
      <c r="J4880"/>
    </row>
    <row r="4881" spans="9:10" x14ac:dyDescent="0.45">
      <c r="I4881"/>
      <c r="J4881"/>
    </row>
    <row r="4882" spans="9:10" x14ac:dyDescent="0.45">
      <c r="I4882"/>
      <c r="J4882"/>
    </row>
    <row r="4883" spans="9:10" x14ac:dyDescent="0.45">
      <c r="I4883"/>
      <c r="J4883"/>
    </row>
    <row r="4884" spans="9:10" x14ac:dyDescent="0.45">
      <c r="I4884"/>
      <c r="J4884"/>
    </row>
    <row r="4885" spans="9:10" x14ac:dyDescent="0.45">
      <c r="I4885"/>
      <c r="J4885"/>
    </row>
    <row r="4886" spans="9:10" x14ac:dyDescent="0.45">
      <c r="I4886"/>
      <c r="J4886"/>
    </row>
    <row r="4887" spans="9:10" x14ac:dyDescent="0.45">
      <c r="I4887"/>
      <c r="J4887"/>
    </row>
    <row r="4888" spans="9:10" x14ac:dyDescent="0.45">
      <c r="I4888"/>
      <c r="J4888"/>
    </row>
    <row r="4889" spans="9:10" x14ac:dyDescent="0.45">
      <c r="I4889"/>
      <c r="J4889"/>
    </row>
    <row r="4890" spans="9:10" x14ac:dyDescent="0.45">
      <c r="I4890"/>
      <c r="J4890"/>
    </row>
    <row r="4891" spans="9:10" x14ac:dyDescent="0.45">
      <c r="I4891"/>
      <c r="J4891"/>
    </row>
    <row r="4892" spans="9:10" x14ac:dyDescent="0.45">
      <c r="I4892"/>
      <c r="J4892"/>
    </row>
    <row r="4893" spans="9:10" x14ac:dyDescent="0.45">
      <c r="I4893"/>
      <c r="J4893"/>
    </row>
    <row r="4894" spans="9:10" x14ac:dyDescent="0.45">
      <c r="I4894"/>
      <c r="J4894"/>
    </row>
    <row r="4895" spans="9:10" x14ac:dyDescent="0.45">
      <c r="I4895"/>
      <c r="J4895"/>
    </row>
    <row r="4896" spans="9:10" x14ac:dyDescent="0.45">
      <c r="I4896"/>
      <c r="J4896"/>
    </row>
    <row r="4897" spans="9:10" x14ac:dyDescent="0.45">
      <c r="I4897"/>
      <c r="J4897"/>
    </row>
    <row r="4898" spans="9:10" x14ac:dyDescent="0.45">
      <c r="I4898"/>
      <c r="J4898"/>
    </row>
    <row r="4899" spans="9:10" x14ac:dyDescent="0.45">
      <c r="I4899"/>
      <c r="J4899"/>
    </row>
    <row r="4900" spans="9:10" x14ac:dyDescent="0.45">
      <c r="I4900"/>
      <c r="J4900"/>
    </row>
    <row r="4901" spans="9:10" x14ac:dyDescent="0.45">
      <c r="I4901"/>
      <c r="J4901"/>
    </row>
    <row r="4902" spans="9:10" x14ac:dyDescent="0.45">
      <c r="I4902"/>
      <c r="J4902"/>
    </row>
    <row r="4903" spans="9:10" x14ac:dyDescent="0.45">
      <c r="I4903"/>
      <c r="J4903"/>
    </row>
    <row r="4904" spans="9:10" x14ac:dyDescent="0.45">
      <c r="I4904"/>
      <c r="J4904"/>
    </row>
    <row r="4905" spans="9:10" x14ac:dyDescent="0.45">
      <c r="I4905"/>
      <c r="J4905"/>
    </row>
    <row r="4906" spans="9:10" x14ac:dyDescent="0.45">
      <c r="I4906"/>
      <c r="J4906"/>
    </row>
    <row r="4907" spans="9:10" x14ac:dyDescent="0.45">
      <c r="I4907"/>
      <c r="J4907"/>
    </row>
    <row r="4908" spans="9:10" x14ac:dyDescent="0.45">
      <c r="I4908"/>
      <c r="J4908"/>
    </row>
    <row r="4909" spans="9:10" x14ac:dyDescent="0.45">
      <c r="I4909"/>
      <c r="J4909"/>
    </row>
    <row r="4910" spans="9:10" x14ac:dyDescent="0.45">
      <c r="I4910"/>
      <c r="J4910"/>
    </row>
    <row r="4911" spans="9:10" x14ac:dyDescent="0.45">
      <c r="I4911"/>
      <c r="J4911"/>
    </row>
    <row r="4912" spans="9:10" x14ac:dyDescent="0.45">
      <c r="I4912"/>
      <c r="J4912"/>
    </row>
    <row r="4913" spans="9:10" x14ac:dyDescent="0.45">
      <c r="I4913"/>
      <c r="J4913"/>
    </row>
    <row r="4914" spans="9:10" x14ac:dyDescent="0.45">
      <c r="I4914"/>
      <c r="J4914"/>
    </row>
    <row r="4915" spans="9:10" x14ac:dyDescent="0.45">
      <c r="I4915"/>
      <c r="J4915"/>
    </row>
    <row r="4916" spans="9:10" x14ac:dyDescent="0.45">
      <c r="I4916"/>
      <c r="J4916"/>
    </row>
    <row r="4917" spans="9:10" x14ac:dyDescent="0.45">
      <c r="I4917"/>
      <c r="J4917"/>
    </row>
    <row r="4918" spans="9:10" x14ac:dyDescent="0.45">
      <c r="I4918"/>
      <c r="J4918"/>
    </row>
    <row r="4919" spans="9:10" x14ac:dyDescent="0.45">
      <c r="I4919"/>
      <c r="J4919"/>
    </row>
    <row r="4920" spans="9:10" x14ac:dyDescent="0.45">
      <c r="I4920"/>
      <c r="J4920"/>
    </row>
    <row r="4921" spans="9:10" x14ac:dyDescent="0.45">
      <c r="I4921"/>
      <c r="J4921"/>
    </row>
    <row r="4922" spans="9:10" x14ac:dyDescent="0.45">
      <c r="I4922"/>
      <c r="J4922"/>
    </row>
    <row r="4923" spans="9:10" x14ac:dyDescent="0.45">
      <c r="I4923"/>
      <c r="J4923"/>
    </row>
    <row r="4924" spans="9:10" x14ac:dyDescent="0.45">
      <c r="I4924"/>
      <c r="J4924"/>
    </row>
    <row r="4925" spans="9:10" x14ac:dyDescent="0.45">
      <c r="I4925"/>
      <c r="J4925"/>
    </row>
    <row r="4926" spans="9:10" x14ac:dyDescent="0.45">
      <c r="I4926"/>
      <c r="J4926"/>
    </row>
    <row r="4927" spans="9:10" x14ac:dyDescent="0.45">
      <c r="I4927"/>
      <c r="J4927"/>
    </row>
    <row r="4928" spans="9:10" x14ac:dyDescent="0.45">
      <c r="I4928"/>
      <c r="J4928"/>
    </row>
    <row r="4929" spans="9:10" x14ac:dyDescent="0.45">
      <c r="I4929"/>
      <c r="J4929"/>
    </row>
    <row r="4930" spans="9:10" x14ac:dyDescent="0.45">
      <c r="I4930"/>
      <c r="J4930"/>
    </row>
    <row r="4931" spans="9:10" x14ac:dyDescent="0.45">
      <c r="I4931"/>
      <c r="J4931"/>
    </row>
    <row r="4932" spans="9:10" x14ac:dyDescent="0.45">
      <c r="I4932"/>
      <c r="J4932"/>
    </row>
    <row r="4933" spans="9:10" x14ac:dyDescent="0.45">
      <c r="I4933"/>
      <c r="J4933"/>
    </row>
    <row r="4934" spans="9:10" x14ac:dyDescent="0.45">
      <c r="I4934"/>
      <c r="J4934"/>
    </row>
    <row r="4935" spans="9:10" x14ac:dyDescent="0.45">
      <c r="I4935"/>
      <c r="J4935"/>
    </row>
    <row r="4936" spans="9:10" x14ac:dyDescent="0.45">
      <c r="I4936"/>
      <c r="J4936"/>
    </row>
    <row r="4937" spans="9:10" x14ac:dyDescent="0.45">
      <c r="I4937"/>
      <c r="J4937"/>
    </row>
    <row r="4938" spans="9:10" x14ac:dyDescent="0.45">
      <c r="I4938"/>
      <c r="J4938"/>
    </row>
    <row r="4939" spans="9:10" x14ac:dyDescent="0.45">
      <c r="I4939"/>
      <c r="J4939"/>
    </row>
    <row r="4940" spans="9:10" x14ac:dyDescent="0.45">
      <c r="I4940"/>
      <c r="J4940"/>
    </row>
    <row r="4941" spans="9:10" x14ac:dyDescent="0.45">
      <c r="I4941"/>
      <c r="J4941"/>
    </row>
    <row r="4942" spans="9:10" x14ac:dyDescent="0.45">
      <c r="I4942"/>
      <c r="J4942"/>
    </row>
    <row r="4943" spans="9:10" x14ac:dyDescent="0.45">
      <c r="I4943"/>
      <c r="J4943"/>
    </row>
    <row r="4944" spans="9:10" x14ac:dyDescent="0.45">
      <c r="I4944"/>
      <c r="J4944"/>
    </row>
    <row r="4945" spans="9:10" x14ac:dyDescent="0.45">
      <c r="I4945"/>
      <c r="J4945"/>
    </row>
    <row r="4946" spans="9:10" x14ac:dyDescent="0.45">
      <c r="I4946"/>
      <c r="J4946"/>
    </row>
    <row r="4947" spans="9:10" x14ac:dyDescent="0.45">
      <c r="I4947"/>
      <c r="J4947"/>
    </row>
    <row r="4948" spans="9:10" x14ac:dyDescent="0.45">
      <c r="I4948"/>
      <c r="J4948"/>
    </row>
    <row r="4949" spans="9:10" x14ac:dyDescent="0.45">
      <c r="I4949"/>
      <c r="J4949"/>
    </row>
    <row r="4950" spans="9:10" x14ac:dyDescent="0.45">
      <c r="I4950"/>
      <c r="J4950"/>
    </row>
    <row r="4951" spans="9:10" x14ac:dyDescent="0.45">
      <c r="I4951"/>
      <c r="J4951"/>
    </row>
    <row r="4952" spans="9:10" x14ac:dyDescent="0.45">
      <c r="I4952"/>
      <c r="J4952"/>
    </row>
    <row r="4953" spans="9:10" x14ac:dyDescent="0.45">
      <c r="I4953"/>
      <c r="J4953"/>
    </row>
    <row r="4954" spans="9:10" x14ac:dyDescent="0.45">
      <c r="I4954"/>
      <c r="J4954"/>
    </row>
    <row r="4955" spans="9:10" x14ac:dyDescent="0.45">
      <c r="I4955"/>
      <c r="J4955"/>
    </row>
    <row r="4956" spans="9:10" x14ac:dyDescent="0.45">
      <c r="I4956"/>
      <c r="J4956"/>
    </row>
    <row r="4957" spans="9:10" x14ac:dyDescent="0.45">
      <c r="I4957"/>
      <c r="J4957"/>
    </row>
    <row r="4958" spans="9:10" x14ac:dyDescent="0.45">
      <c r="I4958"/>
      <c r="J4958"/>
    </row>
    <row r="4959" spans="9:10" x14ac:dyDescent="0.45">
      <c r="I4959"/>
      <c r="J4959"/>
    </row>
    <row r="4960" spans="9:10" x14ac:dyDescent="0.45">
      <c r="I4960"/>
      <c r="J4960"/>
    </row>
    <row r="4961" spans="9:10" x14ac:dyDescent="0.45">
      <c r="I4961"/>
      <c r="J4961"/>
    </row>
    <row r="4962" spans="9:10" x14ac:dyDescent="0.45">
      <c r="I4962"/>
      <c r="J4962"/>
    </row>
    <row r="4963" spans="9:10" x14ac:dyDescent="0.45">
      <c r="I4963"/>
      <c r="J4963"/>
    </row>
    <row r="4964" spans="9:10" x14ac:dyDescent="0.45">
      <c r="I4964"/>
      <c r="J4964"/>
    </row>
    <row r="4965" spans="9:10" x14ac:dyDescent="0.45">
      <c r="I4965"/>
      <c r="J4965"/>
    </row>
    <row r="4966" spans="9:10" x14ac:dyDescent="0.45">
      <c r="I4966"/>
      <c r="J4966"/>
    </row>
    <row r="4967" spans="9:10" x14ac:dyDescent="0.45">
      <c r="I4967"/>
      <c r="J4967"/>
    </row>
    <row r="4968" spans="9:10" x14ac:dyDescent="0.45">
      <c r="I4968"/>
      <c r="J4968"/>
    </row>
    <row r="4969" spans="9:10" x14ac:dyDescent="0.45">
      <c r="I4969"/>
      <c r="J4969"/>
    </row>
    <row r="4970" spans="9:10" x14ac:dyDescent="0.45">
      <c r="I4970"/>
      <c r="J4970"/>
    </row>
    <row r="4971" spans="9:10" x14ac:dyDescent="0.45">
      <c r="I4971"/>
      <c r="J4971"/>
    </row>
    <row r="4972" spans="9:10" x14ac:dyDescent="0.45">
      <c r="I4972"/>
      <c r="J4972"/>
    </row>
    <row r="4973" spans="9:10" x14ac:dyDescent="0.45">
      <c r="I4973"/>
      <c r="J4973"/>
    </row>
    <row r="4974" spans="9:10" x14ac:dyDescent="0.45">
      <c r="I4974"/>
      <c r="J4974"/>
    </row>
    <row r="4975" spans="9:10" x14ac:dyDescent="0.45">
      <c r="I4975"/>
      <c r="J4975"/>
    </row>
    <row r="4976" spans="9:10" x14ac:dyDescent="0.45">
      <c r="I4976"/>
      <c r="J4976"/>
    </row>
    <row r="4977" spans="9:10" x14ac:dyDescent="0.45">
      <c r="I4977"/>
      <c r="J4977"/>
    </row>
    <row r="4978" spans="9:10" x14ac:dyDescent="0.45">
      <c r="I4978"/>
      <c r="J4978"/>
    </row>
    <row r="4979" spans="9:10" x14ac:dyDescent="0.45">
      <c r="I4979"/>
      <c r="J4979"/>
    </row>
    <row r="4980" spans="9:10" x14ac:dyDescent="0.45">
      <c r="I4980"/>
      <c r="J4980"/>
    </row>
    <row r="4981" spans="9:10" x14ac:dyDescent="0.45">
      <c r="I4981"/>
      <c r="J4981"/>
    </row>
    <row r="4982" spans="9:10" x14ac:dyDescent="0.45">
      <c r="I4982"/>
      <c r="J4982"/>
    </row>
    <row r="4983" spans="9:10" x14ac:dyDescent="0.45">
      <c r="I4983"/>
      <c r="J4983"/>
    </row>
    <row r="4984" spans="9:10" x14ac:dyDescent="0.45">
      <c r="I4984"/>
      <c r="J4984"/>
    </row>
    <row r="4985" spans="9:10" x14ac:dyDescent="0.45">
      <c r="I4985"/>
      <c r="J4985"/>
    </row>
    <row r="4986" spans="9:10" x14ac:dyDescent="0.45">
      <c r="I4986"/>
      <c r="J4986"/>
    </row>
    <row r="4987" spans="9:10" x14ac:dyDescent="0.45">
      <c r="I4987"/>
      <c r="J4987"/>
    </row>
    <row r="4988" spans="9:10" x14ac:dyDescent="0.45">
      <c r="I4988"/>
      <c r="J4988"/>
    </row>
    <row r="4989" spans="9:10" x14ac:dyDescent="0.45">
      <c r="I4989"/>
      <c r="J4989"/>
    </row>
    <row r="4990" spans="9:10" x14ac:dyDescent="0.45">
      <c r="I4990"/>
      <c r="J4990"/>
    </row>
    <row r="4991" spans="9:10" x14ac:dyDescent="0.45">
      <c r="I4991"/>
      <c r="J4991"/>
    </row>
    <row r="4992" spans="9:10" x14ac:dyDescent="0.45">
      <c r="I4992"/>
      <c r="J4992"/>
    </row>
    <row r="4993" spans="9:10" x14ac:dyDescent="0.45">
      <c r="I4993"/>
      <c r="J4993"/>
    </row>
    <row r="4994" spans="9:10" x14ac:dyDescent="0.45">
      <c r="I4994"/>
      <c r="J4994"/>
    </row>
    <row r="4995" spans="9:10" x14ac:dyDescent="0.45">
      <c r="I4995"/>
      <c r="J4995"/>
    </row>
    <row r="4996" spans="9:10" x14ac:dyDescent="0.45">
      <c r="I4996"/>
      <c r="J4996"/>
    </row>
    <row r="4997" spans="9:10" x14ac:dyDescent="0.45">
      <c r="I4997"/>
      <c r="J4997"/>
    </row>
    <row r="4998" spans="9:10" x14ac:dyDescent="0.45">
      <c r="I4998"/>
      <c r="J4998"/>
    </row>
    <row r="4999" spans="9:10" x14ac:dyDescent="0.45">
      <c r="I4999"/>
      <c r="J4999"/>
    </row>
    <row r="5000" spans="9:10" x14ac:dyDescent="0.45">
      <c r="I5000"/>
      <c r="J5000"/>
    </row>
    <row r="5001" spans="9:10" x14ac:dyDescent="0.45">
      <c r="I5001"/>
      <c r="J5001"/>
    </row>
    <row r="5002" spans="9:10" x14ac:dyDescent="0.45">
      <c r="I5002"/>
      <c r="J5002"/>
    </row>
    <row r="5003" spans="9:10" x14ac:dyDescent="0.45">
      <c r="I5003"/>
      <c r="J5003"/>
    </row>
    <row r="5004" spans="9:10" x14ac:dyDescent="0.45">
      <c r="I5004"/>
      <c r="J5004"/>
    </row>
    <row r="5005" spans="9:10" x14ac:dyDescent="0.45">
      <c r="I5005"/>
      <c r="J5005"/>
    </row>
    <row r="5006" spans="9:10" x14ac:dyDescent="0.45">
      <c r="I5006"/>
      <c r="J5006"/>
    </row>
    <row r="5007" spans="9:10" x14ac:dyDescent="0.45">
      <c r="I5007"/>
      <c r="J5007"/>
    </row>
    <row r="5008" spans="9:10" x14ac:dyDescent="0.45">
      <c r="I5008"/>
      <c r="J5008"/>
    </row>
    <row r="5009" spans="9:10" x14ac:dyDescent="0.45">
      <c r="I5009"/>
      <c r="J5009"/>
    </row>
    <row r="5010" spans="9:10" x14ac:dyDescent="0.45">
      <c r="I5010"/>
      <c r="J5010"/>
    </row>
    <row r="5011" spans="9:10" x14ac:dyDescent="0.45">
      <c r="I5011"/>
      <c r="J5011"/>
    </row>
    <row r="5012" spans="9:10" x14ac:dyDescent="0.45">
      <c r="I5012"/>
      <c r="J5012"/>
    </row>
    <row r="5013" spans="9:10" x14ac:dyDescent="0.45">
      <c r="I5013"/>
      <c r="J5013"/>
    </row>
    <row r="5014" spans="9:10" x14ac:dyDescent="0.45">
      <c r="I5014"/>
      <c r="J5014"/>
    </row>
    <row r="5015" spans="9:10" x14ac:dyDescent="0.45">
      <c r="I5015"/>
      <c r="J5015"/>
    </row>
    <row r="5016" spans="9:10" x14ac:dyDescent="0.45">
      <c r="I5016"/>
      <c r="J5016"/>
    </row>
    <row r="5017" spans="9:10" x14ac:dyDescent="0.45">
      <c r="I5017"/>
      <c r="J5017"/>
    </row>
    <row r="5018" spans="9:10" x14ac:dyDescent="0.45">
      <c r="I5018"/>
      <c r="J5018"/>
    </row>
    <row r="5019" spans="9:10" x14ac:dyDescent="0.45">
      <c r="I5019"/>
      <c r="J5019"/>
    </row>
    <row r="5020" spans="9:10" x14ac:dyDescent="0.45">
      <c r="I5020"/>
      <c r="J5020"/>
    </row>
    <row r="5021" spans="9:10" x14ac:dyDescent="0.45">
      <c r="I5021"/>
      <c r="J5021"/>
    </row>
    <row r="5022" spans="9:10" x14ac:dyDescent="0.45">
      <c r="I5022"/>
      <c r="J5022"/>
    </row>
    <row r="5023" spans="9:10" x14ac:dyDescent="0.45">
      <c r="I5023"/>
      <c r="J5023"/>
    </row>
    <row r="5024" spans="9:10" x14ac:dyDescent="0.45">
      <c r="I5024"/>
      <c r="J5024"/>
    </row>
    <row r="5025" spans="9:10" x14ac:dyDescent="0.45">
      <c r="I5025"/>
      <c r="J5025"/>
    </row>
    <row r="5026" spans="9:10" x14ac:dyDescent="0.45">
      <c r="I5026"/>
      <c r="J5026"/>
    </row>
    <row r="5027" spans="9:10" x14ac:dyDescent="0.45">
      <c r="I5027"/>
      <c r="J5027"/>
    </row>
    <row r="5028" spans="9:10" x14ac:dyDescent="0.45">
      <c r="I5028"/>
      <c r="J5028"/>
    </row>
    <row r="5029" spans="9:10" x14ac:dyDescent="0.45">
      <c r="I5029"/>
      <c r="J5029"/>
    </row>
    <row r="5030" spans="9:10" x14ac:dyDescent="0.45">
      <c r="I5030"/>
      <c r="J5030"/>
    </row>
    <row r="5031" spans="9:10" x14ac:dyDescent="0.45">
      <c r="I5031"/>
      <c r="J5031"/>
    </row>
    <row r="5032" spans="9:10" x14ac:dyDescent="0.45">
      <c r="I5032"/>
      <c r="J5032"/>
    </row>
    <row r="5033" spans="9:10" x14ac:dyDescent="0.45">
      <c r="I5033"/>
      <c r="J5033"/>
    </row>
    <row r="5034" spans="9:10" x14ac:dyDescent="0.45">
      <c r="I5034"/>
      <c r="J5034"/>
    </row>
    <row r="5035" spans="9:10" x14ac:dyDescent="0.45">
      <c r="I5035"/>
      <c r="J5035"/>
    </row>
    <row r="5036" spans="9:10" x14ac:dyDescent="0.45">
      <c r="I5036"/>
      <c r="J5036"/>
    </row>
    <row r="5037" spans="9:10" x14ac:dyDescent="0.45">
      <c r="I5037"/>
      <c r="J5037"/>
    </row>
    <row r="5038" spans="9:10" x14ac:dyDescent="0.45">
      <c r="I5038"/>
      <c r="J5038"/>
    </row>
    <row r="5039" spans="9:10" x14ac:dyDescent="0.45">
      <c r="I5039"/>
      <c r="J5039"/>
    </row>
    <row r="5040" spans="9:10" x14ac:dyDescent="0.45">
      <c r="I5040"/>
      <c r="J5040"/>
    </row>
    <row r="5041" spans="9:10" x14ac:dyDescent="0.45">
      <c r="I5041"/>
      <c r="J5041"/>
    </row>
    <row r="5042" spans="9:10" x14ac:dyDescent="0.45">
      <c r="I5042"/>
      <c r="J5042"/>
    </row>
    <row r="5043" spans="9:10" x14ac:dyDescent="0.45">
      <c r="I5043"/>
      <c r="J5043"/>
    </row>
    <row r="5044" spans="9:10" x14ac:dyDescent="0.45">
      <c r="I5044"/>
      <c r="J5044"/>
    </row>
    <row r="5045" spans="9:10" x14ac:dyDescent="0.45">
      <c r="I5045"/>
      <c r="J5045"/>
    </row>
    <row r="5046" spans="9:10" x14ac:dyDescent="0.45">
      <c r="I5046"/>
      <c r="J5046"/>
    </row>
    <row r="5047" spans="9:10" x14ac:dyDescent="0.45">
      <c r="I5047"/>
      <c r="J5047"/>
    </row>
    <row r="5048" spans="9:10" x14ac:dyDescent="0.45">
      <c r="I5048"/>
      <c r="J5048"/>
    </row>
    <row r="5049" spans="9:10" x14ac:dyDescent="0.45">
      <c r="I5049"/>
      <c r="J5049"/>
    </row>
    <row r="5050" spans="9:10" x14ac:dyDescent="0.45">
      <c r="I5050"/>
      <c r="J5050"/>
    </row>
    <row r="5051" spans="9:10" x14ac:dyDescent="0.45">
      <c r="I5051"/>
      <c r="J5051"/>
    </row>
    <row r="5052" spans="9:10" x14ac:dyDescent="0.45">
      <c r="I5052"/>
      <c r="J5052"/>
    </row>
    <row r="5053" spans="9:10" x14ac:dyDescent="0.45">
      <c r="I5053"/>
      <c r="J5053"/>
    </row>
    <row r="5054" spans="9:10" x14ac:dyDescent="0.45">
      <c r="I5054"/>
      <c r="J5054"/>
    </row>
    <row r="5055" spans="9:10" x14ac:dyDescent="0.45">
      <c r="I5055"/>
      <c r="J5055"/>
    </row>
    <row r="5056" spans="9:10" x14ac:dyDescent="0.45">
      <c r="I5056"/>
      <c r="J5056"/>
    </row>
    <row r="5057" spans="9:10" x14ac:dyDescent="0.45">
      <c r="I5057"/>
      <c r="J5057"/>
    </row>
    <row r="5058" spans="9:10" x14ac:dyDescent="0.45">
      <c r="I5058"/>
      <c r="J5058"/>
    </row>
    <row r="5059" spans="9:10" x14ac:dyDescent="0.45">
      <c r="I5059"/>
      <c r="J5059"/>
    </row>
    <row r="5060" spans="9:10" x14ac:dyDescent="0.45">
      <c r="I5060"/>
      <c r="J5060"/>
    </row>
    <row r="5061" spans="9:10" x14ac:dyDescent="0.45">
      <c r="I5061"/>
      <c r="J5061"/>
    </row>
    <row r="5062" spans="9:10" x14ac:dyDescent="0.45">
      <c r="I5062"/>
      <c r="J5062"/>
    </row>
    <row r="5063" spans="9:10" x14ac:dyDescent="0.45">
      <c r="I5063"/>
      <c r="J5063"/>
    </row>
    <row r="5064" spans="9:10" x14ac:dyDescent="0.45">
      <c r="I5064"/>
      <c r="J5064"/>
    </row>
    <row r="5065" spans="9:10" x14ac:dyDescent="0.45">
      <c r="I5065"/>
      <c r="J5065"/>
    </row>
    <row r="5066" spans="9:10" x14ac:dyDescent="0.45">
      <c r="I5066"/>
      <c r="J5066"/>
    </row>
    <row r="5067" spans="9:10" x14ac:dyDescent="0.45">
      <c r="I5067"/>
      <c r="J5067"/>
    </row>
    <row r="5068" spans="9:10" x14ac:dyDescent="0.45">
      <c r="I5068"/>
      <c r="J5068"/>
    </row>
    <row r="5069" spans="9:10" x14ac:dyDescent="0.45">
      <c r="I5069"/>
      <c r="J5069"/>
    </row>
    <row r="5070" spans="9:10" x14ac:dyDescent="0.45">
      <c r="I5070"/>
      <c r="J5070"/>
    </row>
    <row r="5071" spans="9:10" x14ac:dyDescent="0.45">
      <c r="I5071"/>
      <c r="J5071"/>
    </row>
    <row r="5072" spans="9:10" x14ac:dyDescent="0.45">
      <c r="I5072"/>
      <c r="J5072"/>
    </row>
    <row r="5073" spans="9:10" x14ac:dyDescent="0.45">
      <c r="I5073"/>
      <c r="J5073"/>
    </row>
    <row r="5074" spans="9:10" x14ac:dyDescent="0.45">
      <c r="I5074"/>
      <c r="J5074"/>
    </row>
    <row r="5075" spans="9:10" x14ac:dyDescent="0.45">
      <c r="I5075"/>
      <c r="J5075"/>
    </row>
    <row r="5076" spans="9:10" x14ac:dyDescent="0.45">
      <c r="I5076"/>
      <c r="J5076"/>
    </row>
    <row r="5077" spans="9:10" x14ac:dyDescent="0.45">
      <c r="I5077"/>
      <c r="J5077"/>
    </row>
    <row r="5078" spans="9:10" x14ac:dyDescent="0.45">
      <c r="I5078"/>
      <c r="J5078"/>
    </row>
    <row r="5079" spans="9:10" x14ac:dyDescent="0.45">
      <c r="I5079"/>
      <c r="J5079"/>
    </row>
    <row r="5080" spans="9:10" x14ac:dyDescent="0.45">
      <c r="I5080"/>
      <c r="J5080"/>
    </row>
    <row r="5081" spans="9:10" x14ac:dyDescent="0.45">
      <c r="I5081"/>
      <c r="J5081"/>
    </row>
    <row r="5082" spans="9:10" x14ac:dyDescent="0.45">
      <c r="I5082"/>
      <c r="J5082"/>
    </row>
    <row r="5083" spans="9:10" x14ac:dyDescent="0.45">
      <c r="I5083"/>
      <c r="J5083"/>
    </row>
    <row r="5084" spans="9:10" x14ac:dyDescent="0.45">
      <c r="I5084"/>
      <c r="J5084"/>
    </row>
    <row r="5085" spans="9:10" x14ac:dyDescent="0.45">
      <c r="I5085"/>
      <c r="J5085"/>
    </row>
    <row r="5086" spans="9:10" x14ac:dyDescent="0.45">
      <c r="I5086"/>
      <c r="J5086"/>
    </row>
    <row r="5087" spans="9:10" x14ac:dyDescent="0.45">
      <c r="I5087"/>
      <c r="J5087"/>
    </row>
    <row r="5088" spans="9:10" x14ac:dyDescent="0.45">
      <c r="I5088"/>
      <c r="J5088"/>
    </row>
    <row r="5089" spans="9:10" x14ac:dyDescent="0.45">
      <c r="I5089"/>
      <c r="J5089"/>
    </row>
    <row r="5090" spans="9:10" x14ac:dyDescent="0.45">
      <c r="I5090"/>
      <c r="J5090"/>
    </row>
    <row r="5091" spans="9:10" x14ac:dyDescent="0.45">
      <c r="I5091"/>
      <c r="J5091"/>
    </row>
    <row r="5092" spans="9:10" x14ac:dyDescent="0.45">
      <c r="I5092"/>
      <c r="J5092"/>
    </row>
    <row r="5093" spans="9:10" x14ac:dyDescent="0.45">
      <c r="I5093"/>
      <c r="J5093"/>
    </row>
    <row r="5094" spans="9:10" x14ac:dyDescent="0.45">
      <c r="I5094"/>
      <c r="J5094"/>
    </row>
    <row r="5095" spans="9:10" x14ac:dyDescent="0.45">
      <c r="I5095"/>
      <c r="J5095"/>
    </row>
    <row r="5096" spans="9:10" x14ac:dyDescent="0.45">
      <c r="I5096"/>
      <c r="J5096"/>
    </row>
    <row r="5097" spans="9:10" x14ac:dyDescent="0.45">
      <c r="I5097"/>
      <c r="J5097"/>
    </row>
    <row r="5098" spans="9:10" x14ac:dyDescent="0.45">
      <c r="I5098"/>
      <c r="J5098"/>
    </row>
    <row r="5099" spans="9:10" x14ac:dyDescent="0.45">
      <c r="I5099"/>
      <c r="J5099"/>
    </row>
    <row r="5100" spans="9:10" x14ac:dyDescent="0.45">
      <c r="I5100"/>
      <c r="J5100"/>
    </row>
    <row r="5101" spans="9:10" x14ac:dyDescent="0.45">
      <c r="I5101"/>
      <c r="J5101"/>
    </row>
    <row r="5102" spans="9:10" x14ac:dyDescent="0.45">
      <c r="I5102"/>
      <c r="J5102"/>
    </row>
    <row r="5103" spans="9:10" x14ac:dyDescent="0.45">
      <c r="I5103"/>
      <c r="J5103"/>
    </row>
    <row r="5104" spans="9:10" x14ac:dyDescent="0.45">
      <c r="I5104"/>
      <c r="J5104"/>
    </row>
    <row r="5105" spans="9:10" x14ac:dyDescent="0.45">
      <c r="I5105"/>
      <c r="J5105"/>
    </row>
    <row r="5106" spans="9:10" x14ac:dyDescent="0.45">
      <c r="I5106"/>
      <c r="J5106"/>
    </row>
    <row r="5107" spans="9:10" x14ac:dyDescent="0.45">
      <c r="I5107"/>
      <c r="J5107"/>
    </row>
    <row r="5108" spans="9:10" x14ac:dyDescent="0.45">
      <c r="I5108"/>
      <c r="J5108"/>
    </row>
    <row r="5109" spans="9:10" x14ac:dyDescent="0.45">
      <c r="I5109"/>
      <c r="J5109"/>
    </row>
    <row r="5110" spans="9:10" x14ac:dyDescent="0.45">
      <c r="I5110"/>
      <c r="J5110"/>
    </row>
    <row r="5111" spans="9:10" x14ac:dyDescent="0.45">
      <c r="I5111"/>
      <c r="J5111"/>
    </row>
    <row r="5112" spans="9:10" x14ac:dyDescent="0.45">
      <c r="I5112"/>
      <c r="J5112"/>
    </row>
    <row r="5113" spans="9:10" x14ac:dyDescent="0.45">
      <c r="I5113"/>
      <c r="J5113"/>
    </row>
    <row r="5114" spans="9:10" x14ac:dyDescent="0.45">
      <c r="I5114"/>
      <c r="J5114"/>
    </row>
    <row r="5115" spans="9:10" x14ac:dyDescent="0.45">
      <c r="I5115"/>
      <c r="J5115"/>
    </row>
    <row r="5116" spans="9:10" x14ac:dyDescent="0.45">
      <c r="I5116"/>
      <c r="J5116"/>
    </row>
    <row r="5117" spans="9:10" x14ac:dyDescent="0.45">
      <c r="I5117"/>
      <c r="J5117"/>
    </row>
    <row r="5118" spans="9:10" x14ac:dyDescent="0.45">
      <c r="I5118"/>
      <c r="J5118"/>
    </row>
    <row r="5119" spans="9:10" x14ac:dyDescent="0.45">
      <c r="I5119"/>
      <c r="J5119"/>
    </row>
    <row r="5120" spans="9:10" x14ac:dyDescent="0.45">
      <c r="I5120"/>
      <c r="J5120"/>
    </row>
    <row r="5121" spans="9:10" x14ac:dyDescent="0.45">
      <c r="I5121"/>
      <c r="J5121"/>
    </row>
    <row r="5122" spans="9:10" x14ac:dyDescent="0.45">
      <c r="I5122"/>
      <c r="J5122"/>
    </row>
    <row r="5123" spans="9:10" x14ac:dyDescent="0.45">
      <c r="I5123"/>
      <c r="J5123"/>
    </row>
    <row r="5124" spans="9:10" x14ac:dyDescent="0.45">
      <c r="I5124"/>
      <c r="J5124"/>
    </row>
    <row r="5125" spans="9:10" x14ac:dyDescent="0.45">
      <c r="I5125"/>
      <c r="J5125"/>
    </row>
    <row r="5126" spans="9:10" x14ac:dyDescent="0.45">
      <c r="I5126"/>
      <c r="J5126"/>
    </row>
    <row r="5127" spans="9:10" x14ac:dyDescent="0.45">
      <c r="I5127"/>
      <c r="J5127"/>
    </row>
    <row r="5128" spans="9:10" x14ac:dyDescent="0.45">
      <c r="I5128"/>
      <c r="J5128"/>
    </row>
    <row r="5129" spans="9:10" x14ac:dyDescent="0.45">
      <c r="I5129"/>
      <c r="J5129"/>
    </row>
    <row r="5130" spans="9:10" x14ac:dyDescent="0.45">
      <c r="I5130"/>
      <c r="J5130"/>
    </row>
    <row r="5131" spans="9:10" x14ac:dyDescent="0.45">
      <c r="I5131"/>
      <c r="J5131"/>
    </row>
    <row r="5132" spans="9:10" x14ac:dyDescent="0.45">
      <c r="I5132"/>
      <c r="J5132"/>
    </row>
    <row r="5133" spans="9:10" x14ac:dyDescent="0.45">
      <c r="I5133"/>
      <c r="J5133"/>
    </row>
    <row r="5134" spans="9:10" x14ac:dyDescent="0.45">
      <c r="I5134"/>
      <c r="J5134"/>
    </row>
    <row r="5135" spans="9:10" x14ac:dyDescent="0.45">
      <c r="I5135"/>
      <c r="J5135"/>
    </row>
    <row r="5136" spans="9:10" x14ac:dyDescent="0.45">
      <c r="I5136"/>
      <c r="J5136"/>
    </row>
    <row r="5137" spans="9:10" x14ac:dyDescent="0.45">
      <c r="I5137"/>
      <c r="J5137"/>
    </row>
    <row r="5138" spans="9:10" x14ac:dyDescent="0.45">
      <c r="I5138"/>
      <c r="J5138"/>
    </row>
    <row r="5139" spans="9:10" x14ac:dyDescent="0.45">
      <c r="I5139"/>
      <c r="J5139"/>
    </row>
    <row r="5140" spans="9:10" x14ac:dyDescent="0.45">
      <c r="I5140"/>
      <c r="J5140"/>
    </row>
    <row r="5141" spans="9:10" x14ac:dyDescent="0.45">
      <c r="I5141"/>
      <c r="J5141"/>
    </row>
    <row r="5142" spans="9:10" x14ac:dyDescent="0.45">
      <c r="I5142"/>
      <c r="J5142"/>
    </row>
    <row r="5143" spans="9:10" x14ac:dyDescent="0.45">
      <c r="I5143"/>
      <c r="J5143"/>
    </row>
    <row r="5144" spans="9:10" x14ac:dyDescent="0.45">
      <c r="I5144"/>
      <c r="J5144"/>
    </row>
    <row r="5145" spans="9:10" x14ac:dyDescent="0.45">
      <c r="I5145"/>
      <c r="J5145"/>
    </row>
    <row r="5146" spans="9:10" x14ac:dyDescent="0.45">
      <c r="I5146"/>
      <c r="J5146"/>
    </row>
    <row r="5147" spans="9:10" x14ac:dyDescent="0.45">
      <c r="I5147"/>
      <c r="J5147"/>
    </row>
    <row r="5148" spans="9:10" x14ac:dyDescent="0.45">
      <c r="I5148"/>
      <c r="J5148"/>
    </row>
    <row r="5149" spans="9:10" x14ac:dyDescent="0.45">
      <c r="I5149"/>
      <c r="J5149"/>
    </row>
    <row r="5150" spans="9:10" x14ac:dyDescent="0.45">
      <c r="I5150"/>
      <c r="J5150"/>
    </row>
    <row r="5151" spans="9:10" x14ac:dyDescent="0.45">
      <c r="I5151"/>
      <c r="J5151"/>
    </row>
    <row r="5152" spans="9:10" x14ac:dyDescent="0.45">
      <c r="I5152"/>
      <c r="J5152"/>
    </row>
    <row r="5153" spans="9:10" x14ac:dyDescent="0.45">
      <c r="I5153"/>
      <c r="J5153"/>
    </row>
    <row r="5154" spans="9:10" x14ac:dyDescent="0.45">
      <c r="I5154"/>
      <c r="J5154"/>
    </row>
    <row r="5155" spans="9:10" x14ac:dyDescent="0.45">
      <c r="I5155"/>
      <c r="J5155"/>
    </row>
    <row r="5156" spans="9:10" x14ac:dyDescent="0.45">
      <c r="I5156"/>
      <c r="J5156"/>
    </row>
    <row r="5157" spans="9:10" x14ac:dyDescent="0.45">
      <c r="I5157"/>
      <c r="J5157"/>
    </row>
    <row r="5158" spans="9:10" x14ac:dyDescent="0.45">
      <c r="I5158"/>
      <c r="J5158"/>
    </row>
    <row r="5159" spans="9:10" x14ac:dyDescent="0.45">
      <c r="I5159"/>
      <c r="J5159"/>
    </row>
    <row r="5160" spans="9:10" x14ac:dyDescent="0.45">
      <c r="I5160"/>
      <c r="J5160"/>
    </row>
    <row r="5161" spans="9:10" x14ac:dyDescent="0.45">
      <c r="I5161"/>
      <c r="J5161"/>
    </row>
    <row r="5162" spans="9:10" x14ac:dyDescent="0.45">
      <c r="I5162"/>
      <c r="J5162"/>
    </row>
    <row r="5163" spans="9:10" x14ac:dyDescent="0.45">
      <c r="I5163"/>
      <c r="J5163"/>
    </row>
    <row r="5164" spans="9:10" x14ac:dyDescent="0.45">
      <c r="I5164"/>
      <c r="J5164"/>
    </row>
    <row r="5165" spans="9:10" x14ac:dyDescent="0.45">
      <c r="I5165"/>
      <c r="J5165"/>
    </row>
    <row r="5166" spans="9:10" x14ac:dyDescent="0.45">
      <c r="I5166"/>
      <c r="J5166"/>
    </row>
    <row r="5167" spans="9:10" x14ac:dyDescent="0.45">
      <c r="I5167"/>
      <c r="J5167"/>
    </row>
    <row r="5168" spans="9:10" x14ac:dyDescent="0.45">
      <c r="I5168"/>
      <c r="J5168"/>
    </row>
    <row r="5169" spans="9:10" x14ac:dyDescent="0.45">
      <c r="I5169"/>
      <c r="J5169"/>
    </row>
    <row r="5170" spans="9:10" x14ac:dyDescent="0.45">
      <c r="I5170"/>
      <c r="J5170"/>
    </row>
    <row r="5171" spans="9:10" x14ac:dyDescent="0.45">
      <c r="I5171"/>
      <c r="J5171"/>
    </row>
    <row r="5172" spans="9:10" x14ac:dyDescent="0.45">
      <c r="I5172"/>
      <c r="J5172"/>
    </row>
    <row r="5173" spans="9:10" x14ac:dyDescent="0.45">
      <c r="I5173"/>
      <c r="J5173"/>
    </row>
    <row r="5174" spans="9:10" x14ac:dyDescent="0.45">
      <c r="I5174"/>
      <c r="J5174"/>
    </row>
    <row r="5175" spans="9:10" x14ac:dyDescent="0.45">
      <c r="I5175"/>
      <c r="J5175"/>
    </row>
    <row r="5176" spans="9:10" x14ac:dyDescent="0.45">
      <c r="I5176"/>
      <c r="J5176"/>
    </row>
    <row r="5177" spans="9:10" x14ac:dyDescent="0.45">
      <c r="I5177"/>
      <c r="J5177"/>
    </row>
    <row r="5178" spans="9:10" x14ac:dyDescent="0.45">
      <c r="I5178"/>
      <c r="J5178"/>
    </row>
    <row r="5179" spans="9:10" x14ac:dyDescent="0.45">
      <c r="I5179"/>
      <c r="J5179"/>
    </row>
    <row r="5180" spans="9:10" x14ac:dyDescent="0.45">
      <c r="I5180"/>
      <c r="J5180"/>
    </row>
    <row r="5181" spans="9:10" x14ac:dyDescent="0.45">
      <c r="I5181"/>
      <c r="J5181"/>
    </row>
    <row r="5182" spans="9:10" x14ac:dyDescent="0.45">
      <c r="I5182"/>
      <c r="J5182"/>
    </row>
    <row r="5183" spans="9:10" x14ac:dyDescent="0.45">
      <c r="I5183"/>
      <c r="J5183"/>
    </row>
    <row r="5184" spans="9:10" x14ac:dyDescent="0.45">
      <c r="I5184"/>
      <c r="J5184"/>
    </row>
    <row r="5185" spans="9:10" x14ac:dyDescent="0.45">
      <c r="I5185"/>
      <c r="J5185"/>
    </row>
    <row r="5186" spans="9:10" x14ac:dyDescent="0.45">
      <c r="I5186"/>
      <c r="J5186"/>
    </row>
    <row r="5187" spans="9:10" x14ac:dyDescent="0.45">
      <c r="I5187"/>
      <c r="J5187"/>
    </row>
    <row r="5188" spans="9:10" x14ac:dyDescent="0.45">
      <c r="I5188"/>
      <c r="J5188"/>
    </row>
    <row r="5189" spans="9:10" x14ac:dyDescent="0.45">
      <c r="I5189"/>
      <c r="J5189"/>
    </row>
    <row r="5190" spans="9:10" x14ac:dyDescent="0.45">
      <c r="I5190"/>
      <c r="J5190"/>
    </row>
    <row r="5191" spans="9:10" x14ac:dyDescent="0.45">
      <c r="I5191"/>
      <c r="J5191"/>
    </row>
    <row r="5192" spans="9:10" x14ac:dyDescent="0.45">
      <c r="I5192"/>
      <c r="J5192"/>
    </row>
    <row r="5193" spans="9:10" x14ac:dyDescent="0.45">
      <c r="I5193"/>
      <c r="J5193"/>
    </row>
    <row r="5194" spans="9:10" x14ac:dyDescent="0.45">
      <c r="I5194"/>
      <c r="J5194"/>
    </row>
    <row r="5195" spans="9:10" x14ac:dyDescent="0.45">
      <c r="I5195"/>
      <c r="J5195"/>
    </row>
    <row r="5196" spans="9:10" x14ac:dyDescent="0.45">
      <c r="I5196"/>
      <c r="J5196"/>
    </row>
    <row r="5197" spans="9:10" x14ac:dyDescent="0.45">
      <c r="I5197"/>
      <c r="J5197"/>
    </row>
    <row r="5198" spans="9:10" x14ac:dyDescent="0.45">
      <c r="I5198"/>
      <c r="J5198"/>
    </row>
    <row r="5199" spans="9:10" x14ac:dyDescent="0.45">
      <c r="I5199"/>
      <c r="J5199"/>
    </row>
    <row r="5200" spans="9:10" x14ac:dyDescent="0.45">
      <c r="I5200"/>
      <c r="J5200"/>
    </row>
    <row r="5201" spans="9:10" x14ac:dyDescent="0.45">
      <c r="I5201"/>
      <c r="J5201"/>
    </row>
    <row r="5202" spans="9:10" x14ac:dyDescent="0.45">
      <c r="I5202"/>
      <c r="J5202"/>
    </row>
    <row r="5203" spans="9:10" x14ac:dyDescent="0.45">
      <c r="I5203"/>
      <c r="J5203"/>
    </row>
    <row r="5204" spans="9:10" x14ac:dyDescent="0.45">
      <c r="I5204"/>
      <c r="J5204"/>
    </row>
    <row r="5205" spans="9:10" x14ac:dyDescent="0.45">
      <c r="I5205"/>
      <c r="J5205"/>
    </row>
    <row r="5206" spans="9:10" x14ac:dyDescent="0.45">
      <c r="I5206"/>
      <c r="J5206"/>
    </row>
    <row r="5207" spans="9:10" x14ac:dyDescent="0.45">
      <c r="I5207"/>
      <c r="J5207"/>
    </row>
    <row r="5208" spans="9:10" x14ac:dyDescent="0.45">
      <c r="I5208"/>
      <c r="J5208"/>
    </row>
    <row r="5209" spans="9:10" x14ac:dyDescent="0.45">
      <c r="I5209"/>
      <c r="J5209"/>
    </row>
    <row r="5210" spans="9:10" x14ac:dyDescent="0.45">
      <c r="I5210"/>
      <c r="J5210"/>
    </row>
    <row r="5211" spans="9:10" x14ac:dyDescent="0.45">
      <c r="I5211"/>
      <c r="J5211"/>
    </row>
    <row r="5212" spans="9:10" x14ac:dyDescent="0.45">
      <c r="I5212"/>
      <c r="J5212"/>
    </row>
    <row r="5213" spans="9:10" x14ac:dyDescent="0.45">
      <c r="I5213"/>
      <c r="J5213"/>
    </row>
    <row r="5214" spans="9:10" x14ac:dyDescent="0.45">
      <c r="I5214"/>
      <c r="J5214"/>
    </row>
    <row r="5215" spans="9:10" x14ac:dyDescent="0.45">
      <c r="I5215"/>
      <c r="J5215"/>
    </row>
    <row r="5216" spans="9:10" x14ac:dyDescent="0.45">
      <c r="I5216"/>
      <c r="J5216"/>
    </row>
    <row r="5217" spans="9:10" x14ac:dyDescent="0.45">
      <c r="I5217"/>
      <c r="J5217"/>
    </row>
    <row r="5218" spans="9:10" x14ac:dyDescent="0.45">
      <c r="I5218"/>
      <c r="J5218"/>
    </row>
    <row r="5219" spans="9:10" x14ac:dyDescent="0.45">
      <c r="I5219"/>
      <c r="J5219"/>
    </row>
    <row r="5220" spans="9:10" x14ac:dyDescent="0.45">
      <c r="I5220"/>
      <c r="J5220"/>
    </row>
    <row r="5221" spans="9:10" x14ac:dyDescent="0.45">
      <c r="I5221"/>
      <c r="J5221"/>
    </row>
    <row r="5222" spans="9:10" x14ac:dyDescent="0.45">
      <c r="I5222"/>
      <c r="J5222"/>
    </row>
    <row r="5223" spans="9:10" x14ac:dyDescent="0.45">
      <c r="I5223"/>
      <c r="J5223"/>
    </row>
    <row r="5224" spans="9:10" x14ac:dyDescent="0.45">
      <c r="I5224"/>
      <c r="J5224"/>
    </row>
    <row r="5225" spans="9:10" x14ac:dyDescent="0.45">
      <c r="I5225"/>
      <c r="J5225"/>
    </row>
    <row r="5226" spans="9:10" x14ac:dyDescent="0.45">
      <c r="I5226"/>
      <c r="J5226"/>
    </row>
    <row r="5227" spans="9:10" x14ac:dyDescent="0.45">
      <c r="I5227"/>
      <c r="J5227"/>
    </row>
    <row r="5228" spans="9:10" x14ac:dyDescent="0.45">
      <c r="I5228"/>
      <c r="J5228"/>
    </row>
    <row r="5229" spans="9:10" x14ac:dyDescent="0.45">
      <c r="I5229"/>
      <c r="J5229"/>
    </row>
    <row r="5230" spans="9:10" x14ac:dyDescent="0.45">
      <c r="I5230"/>
      <c r="J5230"/>
    </row>
    <row r="5231" spans="9:10" x14ac:dyDescent="0.45">
      <c r="I5231"/>
      <c r="J5231"/>
    </row>
    <row r="5232" spans="9:10" x14ac:dyDescent="0.45">
      <c r="I5232"/>
      <c r="J5232"/>
    </row>
    <row r="5233" spans="9:10" x14ac:dyDescent="0.45">
      <c r="I5233"/>
      <c r="J5233"/>
    </row>
    <row r="5234" spans="9:10" x14ac:dyDescent="0.45">
      <c r="I5234"/>
      <c r="J5234"/>
    </row>
    <row r="5235" spans="9:10" x14ac:dyDescent="0.45">
      <c r="I5235"/>
      <c r="J5235"/>
    </row>
    <row r="5236" spans="9:10" x14ac:dyDescent="0.45">
      <c r="I5236"/>
      <c r="J5236"/>
    </row>
    <row r="5237" spans="9:10" x14ac:dyDescent="0.45">
      <c r="I5237"/>
      <c r="J5237"/>
    </row>
    <row r="5238" spans="9:10" x14ac:dyDescent="0.45">
      <c r="I5238"/>
      <c r="J5238"/>
    </row>
    <row r="5239" spans="9:10" x14ac:dyDescent="0.45">
      <c r="I5239"/>
      <c r="J5239"/>
    </row>
    <row r="5240" spans="9:10" x14ac:dyDescent="0.45">
      <c r="I5240"/>
      <c r="J5240"/>
    </row>
    <row r="5241" spans="9:10" x14ac:dyDescent="0.45">
      <c r="I5241"/>
      <c r="J5241"/>
    </row>
    <row r="5242" spans="9:10" x14ac:dyDescent="0.45">
      <c r="I5242"/>
      <c r="J5242"/>
    </row>
    <row r="5243" spans="9:10" x14ac:dyDescent="0.45">
      <c r="I5243"/>
      <c r="J5243"/>
    </row>
    <row r="5244" spans="9:10" x14ac:dyDescent="0.45">
      <c r="I5244"/>
      <c r="J5244"/>
    </row>
    <row r="5245" spans="9:10" x14ac:dyDescent="0.45">
      <c r="I5245"/>
      <c r="J5245"/>
    </row>
    <row r="5246" spans="9:10" x14ac:dyDescent="0.45">
      <c r="I5246"/>
      <c r="J5246"/>
    </row>
    <row r="5247" spans="9:10" x14ac:dyDescent="0.45">
      <c r="I5247"/>
      <c r="J5247"/>
    </row>
    <row r="5248" spans="9:10" x14ac:dyDescent="0.45">
      <c r="I5248"/>
      <c r="J5248"/>
    </row>
    <row r="5249" spans="9:10" x14ac:dyDescent="0.45">
      <c r="I5249"/>
      <c r="J5249"/>
    </row>
    <row r="5250" spans="9:10" x14ac:dyDescent="0.45">
      <c r="I5250"/>
      <c r="J5250"/>
    </row>
    <row r="5251" spans="9:10" x14ac:dyDescent="0.45">
      <c r="I5251"/>
      <c r="J5251"/>
    </row>
    <row r="5252" spans="9:10" x14ac:dyDescent="0.45">
      <c r="I5252"/>
      <c r="J5252"/>
    </row>
    <row r="5253" spans="9:10" x14ac:dyDescent="0.45">
      <c r="I5253"/>
      <c r="J5253"/>
    </row>
    <row r="5254" spans="9:10" x14ac:dyDescent="0.45">
      <c r="I5254"/>
      <c r="J5254"/>
    </row>
    <row r="5255" spans="9:10" x14ac:dyDescent="0.45">
      <c r="I5255"/>
      <c r="J5255"/>
    </row>
    <row r="5256" spans="9:10" x14ac:dyDescent="0.45">
      <c r="I5256"/>
      <c r="J5256"/>
    </row>
    <row r="5257" spans="9:10" x14ac:dyDescent="0.45">
      <c r="I5257"/>
      <c r="J5257"/>
    </row>
    <row r="5258" spans="9:10" x14ac:dyDescent="0.45">
      <c r="I5258"/>
      <c r="J5258"/>
    </row>
    <row r="5259" spans="9:10" x14ac:dyDescent="0.45">
      <c r="I5259"/>
      <c r="J5259"/>
    </row>
    <row r="5260" spans="9:10" x14ac:dyDescent="0.45">
      <c r="I5260"/>
      <c r="J5260"/>
    </row>
    <row r="5261" spans="9:10" x14ac:dyDescent="0.45">
      <c r="I5261"/>
      <c r="J5261"/>
    </row>
    <row r="5262" spans="9:10" x14ac:dyDescent="0.45">
      <c r="I5262"/>
      <c r="J5262"/>
    </row>
    <row r="5263" spans="9:10" x14ac:dyDescent="0.45">
      <c r="I5263"/>
      <c r="J5263"/>
    </row>
    <row r="5264" spans="9:10" x14ac:dyDescent="0.45">
      <c r="I5264"/>
      <c r="J5264"/>
    </row>
    <row r="5265" spans="9:10" x14ac:dyDescent="0.45">
      <c r="I5265"/>
      <c r="J5265"/>
    </row>
    <row r="5266" spans="9:10" x14ac:dyDescent="0.45">
      <c r="I5266"/>
      <c r="J5266"/>
    </row>
    <row r="5267" spans="9:10" x14ac:dyDescent="0.45">
      <c r="I5267"/>
      <c r="J5267"/>
    </row>
    <row r="5268" spans="9:10" x14ac:dyDescent="0.45">
      <c r="I5268"/>
      <c r="J5268"/>
    </row>
    <row r="5269" spans="9:10" x14ac:dyDescent="0.45">
      <c r="I5269"/>
      <c r="J5269"/>
    </row>
    <row r="5270" spans="9:10" x14ac:dyDescent="0.45">
      <c r="I5270"/>
      <c r="J5270"/>
    </row>
    <row r="5271" spans="9:10" x14ac:dyDescent="0.45">
      <c r="I5271"/>
      <c r="J5271"/>
    </row>
    <row r="5272" spans="9:10" x14ac:dyDescent="0.45">
      <c r="I5272"/>
      <c r="J5272"/>
    </row>
    <row r="5273" spans="9:10" x14ac:dyDescent="0.45">
      <c r="I5273"/>
      <c r="J5273"/>
    </row>
    <row r="5274" spans="9:10" x14ac:dyDescent="0.45">
      <c r="I5274"/>
      <c r="J5274"/>
    </row>
    <row r="5275" spans="9:10" x14ac:dyDescent="0.45">
      <c r="I5275"/>
      <c r="J5275"/>
    </row>
    <row r="5276" spans="9:10" x14ac:dyDescent="0.45">
      <c r="I5276"/>
      <c r="J5276"/>
    </row>
    <row r="5277" spans="9:10" x14ac:dyDescent="0.45">
      <c r="I5277"/>
      <c r="J5277"/>
    </row>
    <row r="5278" spans="9:10" x14ac:dyDescent="0.45">
      <c r="I5278"/>
      <c r="J5278"/>
    </row>
    <row r="5279" spans="9:10" x14ac:dyDescent="0.45">
      <c r="I5279"/>
      <c r="J5279"/>
    </row>
    <row r="5280" spans="9:10" x14ac:dyDescent="0.45">
      <c r="I5280"/>
      <c r="J5280"/>
    </row>
    <row r="5281" spans="9:10" x14ac:dyDescent="0.45">
      <c r="I5281"/>
      <c r="J5281"/>
    </row>
    <row r="5282" spans="9:10" x14ac:dyDescent="0.45">
      <c r="I5282"/>
      <c r="J5282"/>
    </row>
    <row r="5283" spans="9:10" x14ac:dyDescent="0.45">
      <c r="I5283"/>
      <c r="J5283"/>
    </row>
    <row r="5284" spans="9:10" x14ac:dyDescent="0.45">
      <c r="I5284"/>
      <c r="J5284"/>
    </row>
    <row r="5285" spans="9:10" x14ac:dyDescent="0.45">
      <c r="I5285"/>
      <c r="J5285"/>
    </row>
    <row r="5286" spans="9:10" x14ac:dyDescent="0.45">
      <c r="I5286"/>
      <c r="J5286"/>
    </row>
    <row r="5287" spans="9:10" x14ac:dyDescent="0.45">
      <c r="I5287"/>
      <c r="J5287"/>
    </row>
    <row r="5288" spans="9:10" x14ac:dyDescent="0.45">
      <c r="I5288"/>
      <c r="J5288"/>
    </row>
    <row r="5289" spans="9:10" x14ac:dyDescent="0.45">
      <c r="I5289"/>
      <c r="J5289"/>
    </row>
    <row r="5290" spans="9:10" x14ac:dyDescent="0.45">
      <c r="I5290"/>
      <c r="J5290"/>
    </row>
    <row r="5291" spans="9:10" x14ac:dyDescent="0.45">
      <c r="I5291"/>
      <c r="J5291"/>
    </row>
    <row r="5292" spans="9:10" x14ac:dyDescent="0.45">
      <c r="I5292"/>
      <c r="J5292"/>
    </row>
    <row r="5293" spans="9:10" x14ac:dyDescent="0.45">
      <c r="I5293"/>
      <c r="J5293"/>
    </row>
    <row r="5294" spans="9:10" x14ac:dyDescent="0.45">
      <c r="I5294"/>
      <c r="J5294"/>
    </row>
    <row r="5295" spans="9:10" x14ac:dyDescent="0.45">
      <c r="I5295"/>
      <c r="J5295"/>
    </row>
    <row r="5296" spans="9:10" x14ac:dyDescent="0.45">
      <c r="I5296"/>
      <c r="J5296"/>
    </row>
    <row r="5297" spans="9:10" x14ac:dyDescent="0.45">
      <c r="I5297"/>
      <c r="J5297"/>
    </row>
    <row r="5298" spans="9:10" x14ac:dyDescent="0.45">
      <c r="I5298"/>
      <c r="J5298"/>
    </row>
    <row r="5299" spans="9:10" x14ac:dyDescent="0.45">
      <c r="I5299"/>
      <c r="J5299"/>
    </row>
    <row r="5300" spans="9:10" x14ac:dyDescent="0.45">
      <c r="I5300"/>
      <c r="J5300"/>
    </row>
    <row r="5301" spans="9:10" x14ac:dyDescent="0.45">
      <c r="I5301"/>
      <c r="J5301"/>
    </row>
    <row r="5302" spans="9:10" x14ac:dyDescent="0.45">
      <c r="I5302"/>
      <c r="J5302"/>
    </row>
    <row r="5303" spans="9:10" x14ac:dyDescent="0.45">
      <c r="I5303"/>
      <c r="J5303"/>
    </row>
    <row r="5304" spans="9:10" x14ac:dyDescent="0.45">
      <c r="I5304"/>
      <c r="J5304"/>
    </row>
    <row r="5305" spans="9:10" x14ac:dyDescent="0.45">
      <c r="I5305"/>
      <c r="J5305"/>
    </row>
    <row r="5306" spans="9:10" x14ac:dyDescent="0.45">
      <c r="I5306"/>
      <c r="J5306"/>
    </row>
    <row r="5307" spans="9:10" x14ac:dyDescent="0.45">
      <c r="I5307"/>
      <c r="J5307"/>
    </row>
    <row r="5308" spans="9:10" x14ac:dyDescent="0.45">
      <c r="I5308"/>
      <c r="J5308"/>
    </row>
    <row r="5309" spans="9:10" x14ac:dyDescent="0.45">
      <c r="I5309"/>
      <c r="J5309"/>
    </row>
    <row r="5310" spans="9:10" x14ac:dyDescent="0.45">
      <c r="I5310"/>
      <c r="J5310"/>
    </row>
    <row r="5311" spans="9:10" x14ac:dyDescent="0.45">
      <c r="I5311"/>
      <c r="J5311"/>
    </row>
    <row r="5312" spans="9:10" x14ac:dyDescent="0.45">
      <c r="I5312"/>
      <c r="J5312"/>
    </row>
    <row r="5313" spans="9:10" x14ac:dyDescent="0.45">
      <c r="I5313"/>
      <c r="J5313"/>
    </row>
    <row r="5314" spans="9:10" x14ac:dyDescent="0.45">
      <c r="I5314"/>
      <c r="J5314"/>
    </row>
    <row r="5315" spans="9:10" x14ac:dyDescent="0.45">
      <c r="I5315"/>
      <c r="J5315"/>
    </row>
    <row r="5316" spans="9:10" x14ac:dyDescent="0.45">
      <c r="I5316"/>
      <c r="J5316"/>
    </row>
    <row r="5317" spans="9:10" x14ac:dyDescent="0.45">
      <c r="I5317"/>
      <c r="J5317"/>
    </row>
    <row r="5318" spans="9:10" x14ac:dyDescent="0.45">
      <c r="I5318"/>
      <c r="J5318"/>
    </row>
    <row r="5319" spans="9:10" x14ac:dyDescent="0.45">
      <c r="I5319"/>
      <c r="J5319"/>
    </row>
    <row r="5320" spans="9:10" x14ac:dyDescent="0.45">
      <c r="I5320"/>
      <c r="J5320"/>
    </row>
    <row r="5321" spans="9:10" x14ac:dyDescent="0.45">
      <c r="I5321"/>
      <c r="J5321"/>
    </row>
    <row r="5322" spans="9:10" x14ac:dyDescent="0.45">
      <c r="I5322"/>
      <c r="J5322"/>
    </row>
    <row r="5323" spans="9:10" x14ac:dyDescent="0.45">
      <c r="I5323"/>
      <c r="J5323"/>
    </row>
    <row r="5324" spans="9:10" x14ac:dyDescent="0.45">
      <c r="I5324"/>
      <c r="J5324"/>
    </row>
    <row r="5325" spans="9:10" x14ac:dyDescent="0.45">
      <c r="I5325"/>
      <c r="J5325"/>
    </row>
    <row r="5326" spans="9:10" x14ac:dyDescent="0.45">
      <c r="I5326"/>
      <c r="J5326"/>
    </row>
    <row r="5327" spans="9:10" x14ac:dyDescent="0.45">
      <c r="I5327"/>
      <c r="J5327"/>
    </row>
    <row r="5328" spans="9:10" x14ac:dyDescent="0.45">
      <c r="I5328"/>
      <c r="J5328"/>
    </row>
    <row r="5329" spans="9:10" x14ac:dyDescent="0.45">
      <c r="I5329"/>
      <c r="J5329"/>
    </row>
    <row r="5330" spans="9:10" x14ac:dyDescent="0.45">
      <c r="I5330"/>
      <c r="J5330"/>
    </row>
    <row r="5331" spans="9:10" x14ac:dyDescent="0.45">
      <c r="I5331"/>
      <c r="J5331"/>
    </row>
    <row r="5332" spans="9:10" x14ac:dyDescent="0.45">
      <c r="I5332"/>
      <c r="J5332"/>
    </row>
    <row r="5333" spans="9:10" x14ac:dyDescent="0.45">
      <c r="I5333"/>
      <c r="J5333"/>
    </row>
    <row r="5334" spans="9:10" x14ac:dyDescent="0.45">
      <c r="I5334"/>
      <c r="J5334"/>
    </row>
    <row r="5335" spans="9:10" x14ac:dyDescent="0.45">
      <c r="I5335"/>
      <c r="J5335"/>
    </row>
    <row r="5336" spans="9:10" x14ac:dyDescent="0.45">
      <c r="I5336"/>
      <c r="J5336"/>
    </row>
    <row r="5337" spans="9:10" x14ac:dyDescent="0.45">
      <c r="I5337"/>
      <c r="J5337"/>
    </row>
    <row r="5338" spans="9:10" x14ac:dyDescent="0.45">
      <c r="I5338"/>
      <c r="J5338"/>
    </row>
    <row r="5339" spans="9:10" x14ac:dyDescent="0.45">
      <c r="I5339"/>
      <c r="J5339"/>
    </row>
    <row r="5340" spans="9:10" x14ac:dyDescent="0.45">
      <c r="I5340"/>
      <c r="J5340"/>
    </row>
    <row r="5341" spans="9:10" x14ac:dyDescent="0.45">
      <c r="I5341"/>
      <c r="J5341"/>
    </row>
    <row r="5342" spans="9:10" x14ac:dyDescent="0.45">
      <c r="I5342"/>
      <c r="J5342"/>
    </row>
    <row r="5343" spans="9:10" x14ac:dyDescent="0.45">
      <c r="I5343"/>
      <c r="J5343"/>
    </row>
    <row r="5344" spans="9:10" x14ac:dyDescent="0.45">
      <c r="I5344"/>
      <c r="J5344"/>
    </row>
    <row r="5345" spans="9:10" x14ac:dyDescent="0.45">
      <c r="I5345"/>
      <c r="J5345"/>
    </row>
    <row r="5346" spans="9:10" x14ac:dyDescent="0.45">
      <c r="I5346"/>
      <c r="J5346"/>
    </row>
    <row r="5347" spans="9:10" x14ac:dyDescent="0.45">
      <c r="I5347"/>
      <c r="J5347"/>
    </row>
    <row r="5348" spans="9:10" x14ac:dyDescent="0.45">
      <c r="I5348"/>
      <c r="J5348"/>
    </row>
    <row r="5349" spans="9:10" x14ac:dyDescent="0.45">
      <c r="I5349"/>
      <c r="J5349"/>
    </row>
    <row r="5350" spans="9:10" x14ac:dyDescent="0.45">
      <c r="I5350"/>
      <c r="J5350"/>
    </row>
    <row r="5351" spans="9:10" x14ac:dyDescent="0.45">
      <c r="I5351"/>
      <c r="J5351"/>
    </row>
    <row r="5352" spans="9:10" x14ac:dyDescent="0.45">
      <c r="I5352"/>
      <c r="J5352"/>
    </row>
    <row r="5353" spans="9:10" x14ac:dyDescent="0.45">
      <c r="I5353"/>
      <c r="J5353"/>
    </row>
    <row r="5354" spans="9:10" x14ac:dyDescent="0.45">
      <c r="I5354"/>
      <c r="J5354"/>
    </row>
    <row r="5355" spans="9:10" x14ac:dyDescent="0.45">
      <c r="I5355"/>
      <c r="J5355"/>
    </row>
    <row r="5356" spans="9:10" x14ac:dyDescent="0.45">
      <c r="I5356"/>
      <c r="J5356"/>
    </row>
    <row r="5357" spans="9:10" x14ac:dyDescent="0.45">
      <c r="I5357"/>
      <c r="J5357"/>
    </row>
    <row r="5358" spans="9:10" x14ac:dyDescent="0.45">
      <c r="I5358"/>
      <c r="J5358"/>
    </row>
    <row r="5359" spans="9:10" x14ac:dyDescent="0.45">
      <c r="I5359"/>
      <c r="J5359"/>
    </row>
    <row r="5360" spans="9:10" x14ac:dyDescent="0.45">
      <c r="I5360"/>
      <c r="J5360"/>
    </row>
    <row r="5361" spans="9:10" x14ac:dyDescent="0.45">
      <c r="I5361"/>
      <c r="J5361"/>
    </row>
    <row r="5362" spans="9:10" x14ac:dyDescent="0.45">
      <c r="I5362"/>
      <c r="J5362"/>
    </row>
    <row r="5363" spans="9:10" x14ac:dyDescent="0.45">
      <c r="I5363"/>
      <c r="J5363"/>
    </row>
    <row r="5364" spans="9:10" x14ac:dyDescent="0.45">
      <c r="I5364"/>
      <c r="J5364"/>
    </row>
    <row r="5365" spans="9:10" x14ac:dyDescent="0.45">
      <c r="I5365"/>
      <c r="J5365"/>
    </row>
    <row r="5366" spans="9:10" x14ac:dyDescent="0.45">
      <c r="I5366"/>
      <c r="J5366"/>
    </row>
    <row r="5367" spans="9:10" x14ac:dyDescent="0.45">
      <c r="I5367"/>
      <c r="J5367"/>
    </row>
    <row r="5368" spans="9:10" x14ac:dyDescent="0.45">
      <c r="I5368"/>
      <c r="J5368"/>
    </row>
    <row r="5369" spans="9:10" x14ac:dyDescent="0.45">
      <c r="I5369"/>
      <c r="J5369"/>
    </row>
    <row r="5370" spans="9:10" x14ac:dyDescent="0.45">
      <c r="I5370"/>
      <c r="J5370"/>
    </row>
    <row r="5371" spans="9:10" x14ac:dyDescent="0.45">
      <c r="I5371"/>
      <c r="J5371"/>
    </row>
    <row r="5372" spans="9:10" x14ac:dyDescent="0.45">
      <c r="I5372"/>
      <c r="J5372"/>
    </row>
    <row r="5373" spans="9:10" x14ac:dyDescent="0.45">
      <c r="I5373"/>
      <c r="J5373"/>
    </row>
    <row r="5374" spans="9:10" x14ac:dyDescent="0.45">
      <c r="I5374"/>
      <c r="J5374"/>
    </row>
    <row r="5375" spans="9:10" x14ac:dyDescent="0.45">
      <c r="I5375"/>
      <c r="J5375"/>
    </row>
    <row r="5376" spans="9:10" x14ac:dyDescent="0.45">
      <c r="I5376"/>
      <c r="J5376"/>
    </row>
    <row r="5377" spans="9:10" x14ac:dyDescent="0.45">
      <c r="I5377"/>
      <c r="J5377"/>
    </row>
    <row r="5378" spans="9:10" x14ac:dyDescent="0.45">
      <c r="I5378"/>
      <c r="J5378"/>
    </row>
    <row r="5379" spans="9:10" x14ac:dyDescent="0.45">
      <c r="I5379"/>
      <c r="J5379"/>
    </row>
    <row r="5380" spans="9:10" x14ac:dyDescent="0.45">
      <c r="I5380"/>
      <c r="J5380"/>
    </row>
    <row r="5381" spans="9:10" x14ac:dyDescent="0.45">
      <c r="I5381"/>
      <c r="J5381"/>
    </row>
    <row r="5382" spans="9:10" x14ac:dyDescent="0.45">
      <c r="I5382"/>
      <c r="J5382"/>
    </row>
    <row r="5383" spans="9:10" x14ac:dyDescent="0.45">
      <c r="I5383"/>
      <c r="J5383"/>
    </row>
    <row r="5384" spans="9:10" x14ac:dyDescent="0.45">
      <c r="I5384"/>
      <c r="J5384"/>
    </row>
    <row r="5385" spans="9:10" x14ac:dyDescent="0.45">
      <c r="I5385"/>
      <c r="J5385"/>
    </row>
    <row r="5386" spans="9:10" x14ac:dyDescent="0.45">
      <c r="I5386"/>
      <c r="J5386"/>
    </row>
    <row r="5387" spans="9:10" x14ac:dyDescent="0.45">
      <c r="I5387"/>
      <c r="J5387"/>
    </row>
    <row r="5388" spans="9:10" x14ac:dyDescent="0.45">
      <c r="I5388"/>
      <c r="J5388"/>
    </row>
    <row r="5389" spans="9:10" x14ac:dyDescent="0.45">
      <c r="I5389"/>
      <c r="J5389"/>
    </row>
    <row r="5390" spans="9:10" x14ac:dyDescent="0.45">
      <c r="I5390"/>
      <c r="J5390"/>
    </row>
    <row r="5391" spans="9:10" x14ac:dyDescent="0.45">
      <c r="I5391"/>
      <c r="J5391"/>
    </row>
    <row r="5392" spans="9:10" x14ac:dyDescent="0.45">
      <c r="I5392"/>
      <c r="J5392"/>
    </row>
    <row r="5393" spans="9:10" x14ac:dyDescent="0.45">
      <c r="I5393"/>
      <c r="J5393"/>
    </row>
    <row r="5394" spans="9:10" x14ac:dyDescent="0.45">
      <c r="I5394"/>
      <c r="J5394"/>
    </row>
    <row r="5395" spans="9:10" x14ac:dyDescent="0.45">
      <c r="I5395"/>
      <c r="J5395"/>
    </row>
    <row r="5396" spans="9:10" x14ac:dyDescent="0.45">
      <c r="I5396"/>
      <c r="J5396"/>
    </row>
    <row r="5397" spans="9:10" x14ac:dyDescent="0.45">
      <c r="I5397"/>
      <c r="J5397"/>
    </row>
    <row r="5398" spans="9:10" x14ac:dyDescent="0.45">
      <c r="I5398"/>
      <c r="J5398"/>
    </row>
    <row r="5399" spans="9:10" x14ac:dyDescent="0.45">
      <c r="I5399"/>
      <c r="J5399"/>
    </row>
    <row r="5400" spans="9:10" x14ac:dyDescent="0.45">
      <c r="I5400"/>
      <c r="J5400"/>
    </row>
    <row r="5401" spans="9:10" x14ac:dyDescent="0.45">
      <c r="I5401"/>
      <c r="J5401"/>
    </row>
    <row r="5402" spans="9:10" x14ac:dyDescent="0.45">
      <c r="I5402"/>
      <c r="J5402"/>
    </row>
    <row r="5403" spans="9:10" x14ac:dyDescent="0.45">
      <c r="I5403"/>
      <c r="J5403"/>
    </row>
    <row r="5404" spans="9:10" x14ac:dyDescent="0.45">
      <c r="I5404"/>
      <c r="J5404"/>
    </row>
    <row r="5405" spans="9:10" x14ac:dyDescent="0.45">
      <c r="I5405"/>
      <c r="J5405"/>
    </row>
    <row r="5406" spans="9:10" x14ac:dyDescent="0.45">
      <c r="I5406"/>
      <c r="J5406"/>
    </row>
    <row r="5407" spans="9:10" x14ac:dyDescent="0.45">
      <c r="I5407"/>
      <c r="J5407"/>
    </row>
    <row r="5408" spans="9:10" x14ac:dyDescent="0.45">
      <c r="I5408"/>
      <c r="J5408"/>
    </row>
    <row r="5409" spans="9:10" x14ac:dyDescent="0.45">
      <c r="I5409"/>
      <c r="J5409"/>
    </row>
    <row r="5410" spans="9:10" x14ac:dyDescent="0.45">
      <c r="I5410"/>
      <c r="J5410"/>
    </row>
    <row r="5411" spans="9:10" x14ac:dyDescent="0.45">
      <c r="I5411"/>
      <c r="J5411"/>
    </row>
    <row r="5412" spans="9:10" x14ac:dyDescent="0.45">
      <c r="I5412"/>
      <c r="J5412"/>
    </row>
    <row r="5413" spans="9:10" x14ac:dyDescent="0.45">
      <c r="I5413"/>
      <c r="J5413"/>
    </row>
    <row r="5414" spans="9:10" x14ac:dyDescent="0.45">
      <c r="I5414"/>
      <c r="J5414"/>
    </row>
    <row r="5415" spans="9:10" x14ac:dyDescent="0.45">
      <c r="I5415"/>
      <c r="J5415"/>
    </row>
    <row r="5416" spans="9:10" x14ac:dyDescent="0.45">
      <c r="I5416"/>
      <c r="J5416"/>
    </row>
    <row r="5417" spans="9:10" x14ac:dyDescent="0.45">
      <c r="I5417"/>
      <c r="J5417"/>
    </row>
    <row r="5418" spans="9:10" x14ac:dyDescent="0.45">
      <c r="I5418"/>
      <c r="J5418"/>
    </row>
    <row r="5419" spans="9:10" x14ac:dyDescent="0.45">
      <c r="I5419"/>
      <c r="J5419"/>
    </row>
    <row r="5420" spans="9:10" x14ac:dyDescent="0.45">
      <c r="I5420"/>
      <c r="J5420"/>
    </row>
    <row r="5421" spans="9:10" x14ac:dyDescent="0.45">
      <c r="I5421"/>
      <c r="J5421"/>
    </row>
    <row r="5422" spans="9:10" x14ac:dyDescent="0.45">
      <c r="I5422"/>
      <c r="J5422"/>
    </row>
    <row r="5423" spans="9:10" x14ac:dyDescent="0.45">
      <c r="I5423"/>
      <c r="J5423"/>
    </row>
    <row r="5424" spans="9:10" x14ac:dyDescent="0.45">
      <c r="I5424"/>
      <c r="J5424"/>
    </row>
    <row r="5425" spans="9:10" x14ac:dyDescent="0.45">
      <c r="I5425"/>
      <c r="J5425"/>
    </row>
    <row r="5426" spans="9:10" x14ac:dyDescent="0.45">
      <c r="I5426"/>
      <c r="J5426"/>
    </row>
    <row r="5427" spans="9:10" x14ac:dyDescent="0.45">
      <c r="I5427"/>
      <c r="J5427"/>
    </row>
    <row r="5428" spans="9:10" x14ac:dyDescent="0.45">
      <c r="I5428"/>
      <c r="J5428"/>
    </row>
    <row r="5429" spans="9:10" x14ac:dyDescent="0.45">
      <c r="I5429"/>
      <c r="J5429"/>
    </row>
    <row r="5430" spans="9:10" x14ac:dyDescent="0.45">
      <c r="I5430"/>
      <c r="J5430"/>
    </row>
    <row r="5431" spans="9:10" x14ac:dyDescent="0.45">
      <c r="I5431"/>
      <c r="J5431"/>
    </row>
    <row r="5432" spans="9:10" x14ac:dyDescent="0.45">
      <c r="I5432"/>
      <c r="J5432"/>
    </row>
    <row r="5433" spans="9:10" x14ac:dyDescent="0.45">
      <c r="I5433"/>
      <c r="J5433"/>
    </row>
    <row r="5434" spans="9:10" x14ac:dyDescent="0.45">
      <c r="I5434"/>
      <c r="J5434"/>
    </row>
    <row r="5435" spans="9:10" x14ac:dyDescent="0.45">
      <c r="I5435"/>
      <c r="J5435"/>
    </row>
    <row r="5436" spans="9:10" x14ac:dyDescent="0.45">
      <c r="I5436"/>
      <c r="J5436"/>
    </row>
    <row r="5437" spans="9:10" x14ac:dyDescent="0.45">
      <c r="I5437"/>
      <c r="J5437"/>
    </row>
    <row r="5438" spans="9:10" x14ac:dyDescent="0.45">
      <c r="I5438"/>
      <c r="J5438"/>
    </row>
    <row r="5439" spans="9:10" x14ac:dyDescent="0.45">
      <c r="I5439"/>
      <c r="J5439"/>
    </row>
    <row r="5440" spans="9:10" x14ac:dyDescent="0.45">
      <c r="I5440"/>
      <c r="J5440"/>
    </row>
    <row r="5441" spans="9:10" x14ac:dyDescent="0.45">
      <c r="I5441"/>
      <c r="J5441"/>
    </row>
    <row r="5442" spans="9:10" x14ac:dyDescent="0.45">
      <c r="I5442"/>
      <c r="J5442"/>
    </row>
    <row r="5443" spans="9:10" x14ac:dyDescent="0.45">
      <c r="I5443"/>
      <c r="J5443"/>
    </row>
    <row r="5444" spans="9:10" x14ac:dyDescent="0.45">
      <c r="I5444"/>
      <c r="J5444"/>
    </row>
    <row r="5445" spans="9:10" x14ac:dyDescent="0.45">
      <c r="I5445"/>
      <c r="J5445"/>
    </row>
    <row r="5446" spans="9:10" x14ac:dyDescent="0.45">
      <c r="I5446"/>
      <c r="J5446"/>
    </row>
    <row r="5447" spans="9:10" x14ac:dyDescent="0.45">
      <c r="I5447"/>
      <c r="J5447"/>
    </row>
    <row r="5448" spans="9:10" x14ac:dyDescent="0.45">
      <c r="I5448"/>
      <c r="J5448"/>
    </row>
    <row r="5449" spans="9:10" x14ac:dyDescent="0.45">
      <c r="I5449"/>
      <c r="J5449"/>
    </row>
    <row r="5450" spans="9:10" x14ac:dyDescent="0.45">
      <c r="I5450"/>
      <c r="J5450"/>
    </row>
    <row r="5451" spans="9:10" x14ac:dyDescent="0.45">
      <c r="I5451"/>
      <c r="J5451"/>
    </row>
    <row r="5452" spans="9:10" x14ac:dyDescent="0.45">
      <c r="I5452"/>
      <c r="J5452"/>
    </row>
    <row r="5453" spans="9:10" x14ac:dyDescent="0.45">
      <c r="I5453"/>
      <c r="J5453"/>
    </row>
    <row r="5454" spans="9:10" x14ac:dyDescent="0.45">
      <c r="I5454"/>
      <c r="J5454"/>
    </row>
    <row r="5455" spans="9:10" x14ac:dyDescent="0.45">
      <c r="I5455"/>
      <c r="J5455"/>
    </row>
    <row r="5456" spans="9:10" x14ac:dyDescent="0.45">
      <c r="I5456"/>
      <c r="J5456"/>
    </row>
    <row r="5457" spans="9:10" x14ac:dyDescent="0.45">
      <c r="I5457"/>
      <c r="J5457"/>
    </row>
    <row r="5458" spans="9:10" x14ac:dyDescent="0.45">
      <c r="I5458"/>
      <c r="J5458"/>
    </row>
    <row r="5459" spans="9:10" x14ac:dyDescent="0.45">
      <c r="I5459"/>
      <c r="J5459"/>
    </row>
    <row r="5460" spans="9:10" x14ac:dyDescent="0.45">
      <c r="I5460"/>
      <c r="J5460"/>
    </row>
    <row r="5461" spans="9:10" x14ac:dyDescent="0.45">
      <c r="I5461"/>
      <c r="J5461"/>
    </row>
    <row r="5462" spans="9:10" x14ac:dyDescent="0.45">
      <c r="I5462"/>
      <c r="J5462"/>
    </row>
    <row r="5463" spans="9:10" x14ac:dyDescent="0.45">
      <c r="I5463"/>
      <c r="J5463"/>
    </row>
    <row r="5464" spans="9:10" x14ac:dyDescent="0.45">
      <c r="I5464"/>
      <c r="J5464"/>
    </row>
    <row r="5465" spans="9:10" x14ac:dyDescent="0.45">
      <c r="I5465"/>
      <c r="J5465"/>
    </row>
    <row r="5466" spans="9:10" x14ac:dyDescent="0.45">
      <c r="I5466"/>
      <c r="J5466"/>
    </row>
    <row r="5467" spans="9:10" x14ac:dyDescent="0.45">
      <c r="I5467"/>
      <c r="J5467"/>
    </row>
    <row r="5468" spans="9:10" x14ac:dyDescent="0.45">
      <c r="I5468"/>
      <c r="J5468"/>
    </row>
    <row r="5469" spans="9:10" x14ac:dyDescent="0.45">
      <c r="I5469"/>
      <c r="J5469"/>
    </row>
    <row r="5470" spans="9:10" x14ac:dyDescent="0.45">
      <c r="I5470"/>
      <c r="J5470"/>
    </row>
    <row r="5471" spans="9:10" x14ac:dyDescent="0.45">
      <c r="I5471"/>
      <c r="J5471"/>
    </row>
    <row r="5472" spans="9:10" x14ac:dyDescent="0.45">
      <c r="I5472"/>
      <c r="J5472"/>
    </row>
    <row r="5473" spans="9:10" x14ac:dyDescent="0.45">
      <c r="I5473"/>
      <c r="J5473"/>
    </row>
    <row r="5474" spans="9:10" x14ac:dyDescent="0.45">
      <c r="I5474"/>
      <c r="J5474"/>
    </row>
    <row r="5475" spans="9:10" x14ac:dyDescent="0.45">
      <c r="I5475"/>
      <c r="J5475"/>
    </row>
    <row r="5476" spans="9:10" x14ac:dyDescent="0.45">
      <c r="I5476"/>
      <c r="J5476"/>
    </row>
    <row r="5477" spans="9:10" x14ac:dyDescent="0.45">
      <c r="I5477"/>
      <c r="J5477"/>
    </row>
    <row r="5478" spans="9:10" x14ac:dyDescent="0.45">
      <c r="I5478"/>
      <c r="J5478"/>
    </row>
    <row r="5479" spans="9:10" x14ac:dyDescent="0.45">
      <c r="I5479"/>
      <c r="J5479"/>
    </row>
    <row r="5480" spans="9:10" x14ac:dyDescent="0.45">
      <c r="I5480"/>
      <c r="J5480"/>
    </row>
    <row r="5481" spans="9:10" x14ac:dyDescent="0.45">
      <c r="I5481"/>
      <c r="J5481"/>
    </row>
    <row r="5482" spans="9:10" x14ac:dyDescent="0.45">
      <c r="I5482"/>
      <c r="J5482"/>
    </row>
    <row r="5483" spans="9:10" x14ac:dyDescent="0.45">
      <c r="I5483"/>
      <c r="J5483"/>
    </row>
    <row r="5484" spans="9:10" x14ac:dyDescent="0.45">
      <c r="I5484"/>
      <c r="J5484"/>
    </row>
    <row r="5485" spans="9:10" x14ac:dyDescent="0.45">
      <c r="I5485"/>
      <c r="J5485"/>
    </row>
    <row r="5486" spans="9:10" x14ac:dyDescent="0.45">
      <c r="I5486"/>
      <c r="J5486"/>
    </row>
    <row r="5487" spans="9:10" x14ac:dyDescent="0.45">
      <c r="I5487"/>
      <c r="J5487"/>
    </row>
    <row r="5488" spans="9:10" x14ac:dyDescent="0.45">
      <c r="I5488"/>
      <c r="J5488"/>
    </row>
    <row r="5489" spans="9:10" x14ac:dyDescent="0.45">
      <c r="I5489"/>
      <c r="J5489"/>
    </row>
    <row r="5490" spans="9:10" x14ac:dyDescent="0.45">
      <c r="I5490"/>
      <c r="J5490"/>
    </row>
    <row r="5491" spans="9:10" x14ac:dyDescent="0.45">
      <c r="I5491"/>
      <c r="J5491"/>
    </row>
    <row r="5492" spans="9:10" x14ac:dyDescent="0.45">
      <c r="I5492"/>
      <c r="J5492"/>
    </row>
    <row r="5493" spans="9:10" x14ac:dyDescent="0.45">
      <c r="I5493"/>
      <c r="J5493"/>
    </row>
    <row r="5494" spans="9:10" x14ac:dyDescent="0.45">
      <c r="I5494"/>
      <c r="J5494"/>
    </row>
    <row r="5495" spans="9:10" x14ac:dyDescent="0.45">
      <c r="I5495"/>
      <c r="J5495"/>
    </row>
    <row r="5496" spans="9:10" x14ac:dyDescent="0.45">
      <c r="I5496"/>
      <c r="J5496"/>
    </row>
    <row r="5497" spans="9:10" x14ac:dyDescent="0.45">
      <c r="I5497"/>
      <c r="J5497"/>
    </row>
    <row r="5498" spans="9:10" x14ac:dyDescent="0.45">
      <c r="I5498"/>
      <c r="J5498"/>
    </row>
    <row r="5499" spans="9:10" x14ac:dyDescent="0.45">
      <c r="I5499"/>
      <c r="J5499"/>
    </row>
    <row r="5500" spans="9:10" x14ac:dyDescent="0.45">
      <c r="I5500"/>
      <c r="J5500"/>
    </row>
    <row r="5501" spans="9:10" x14ac:dyDescent="0.45">
      <c r="I5501"/>
      <c r="J5501"/>
    </row>
    <row r="5502" spans="9:10" x14ac:dyDescent="0.45">
      <c r="I5502"/>
      <c r="J5502"/>
    </row>
    <row r="5503" spans="9:10" x14ac:dyDescent="0.45">
      <c r="I5503"/>
      <c r="J5503"/>
    </row>
    <row r="5504" spans="9:10" x14ac:dyDescent="0.45">
      <c r="I5504"/>
      <c r="J5504"/>
    </row>
    <row r="5505" spans="9:10" x14ac:dyDescent="0.45">
      <c r="I5505"/>
      <c r="J5505"/>
    </row>
    <row r="5506" spans="9:10" x14ac:dyDescent="0.45">
      <c r="I5506"/>
      <c r="J5506"/>
    </row>
    <row r="5507" spans="9:10" x14ac:dyDescent="0.45">
      <c r="I5507"/>
      <c r="J5507"/>
    </row>
    <row r="5508" spans="9:10" x14ac:dyDescent="0.45">
      <c r="I5508"/>
      <c r="J5508"/>
    </row>
    <row r="5509" spans="9:10" x14ac:dyDescent="0.45">
      <c r="I5509"/>
      <c r="J5509"/>
    </row>
    <row r="5510" spans="9:10" x14ac:dyDescent="0.45">
      <c r="I5510"/>
      <c r="J5510"/>
    </row>
    <row r="5511" spans="9:10" x14ac:dyDescent="0.45">
      <c r="I5511"/>
      <c r="J5511"/>
    </row>
    <row r="5512" spans="9:10" x14ac:dyDescent="0.45">
      <c r="I5512"/>
      <c r="J5512"/>
    </row>
    <row r="5513" spans="9:10" x14ac:dyDescent="0.45">
      <c r="I5513"/>
      <c r="J5513"/>
    </row>
    <row r="5514" spans="9:10" x14ac:dyDescent="0.45">
      <c r="I5514"/>
      <c r="J5514"/>
    </row>
    <row r="5515" spans="9:10" x14ac:dyDescent="0.45">
      <c r="I5515"/>
      <c r="J5515"/>
    </row>
    <row r="5516" spans="9:10" x14ac:dyDescent="0.45">
      <c r="I5516"/>
      <c r="J5516"/>
    </row>
    <row r="5517" spans="9:10" x14ac:dyDescent="0.45">
      <c r="I5517"/>
      <c r="J5517"/>
    </row>
    <row r="5518" spans="9:10" x14ac:dyDescent="0.45">
      <c r="I5518"/>
      <c r="J5518"/>
    </row>
    <row r="5519" spans="9:10" x14ac:dyDescent="0.45">
      <c r="I5519"/>
      <c r="J5519"/>
    </row>
    <row r="5520" spans="9:10" x14ac:dyDescent="0.45">
      <c r="I5520"/>
      <c r="J5520"/>
    </row>
    <row r="5521" spans="9:10" x14ac:dyDescent="0.45">
      <c r="I5521"/>
      <c r="J5521"/>
    </row>
    <row r="5522" spans="9:10" x14ac:dyDescent="0.45">
      <c r="I5522"/>
      <c r="J5522"/>
    </row>
    <row r="5523" spans="9:10" x14ac:dyDescent="0.45">
      <c r="I5523"/>
      <c r="J5523"/>
    </row>
    <row r="5524" spans="9:10" x14ac:dyDescent="0.45">
      <c r="I5524"/>
      <c r="J5524"/>
    </row>
    <row r="5525" spans="9:10" x14ac:dyDescent="0.45">
      <c r="I5525"/>
      <c r="J5525"/>
    </row>
    <row r="5526" spans="9:10" x14ac:dyDescent="0.45">
      <c r="I5526"/>
      <c r="J5526"/>
    </row>
    <row r="5527" spans="9:10" x14ac:dyDescent="0.45">
      <c r="I5527"/>
      <c r="J5527"/>
    </row>
    <row r="5528" spans="9:10" x14ac:dyDescent="0.45">
      <c r="I5528"/>
      <c r="J5528"/>
    </row>
    <row r="5529" spans="9:10" x14ac:dyDescent="0.45">
      <c r="I5529"/>
      <c r="J5529"/>
    </row>
    <row r="5530" spans="9:10" x14ac:dyDescent="0.45">
      <c r="I5530"/>
      <c r="J5530"/>
    </row>
    <row r="5531" spans="9:10" x14ac:dyDescent="0.45">
      <c r="I5531"/>
      <c r="J5531"/>
    </row>
    <row r="5532" spans="9:10" x14ac:dyDescent="0.45">
      <c r="I5532"/>
      <c r="J5532"/>
    </row>
    <row r="5533" spans="9:10" x14ac:dyDescent="0.45">
      <c r="I5533"/>
      <c r="J5533"/>
    </row>
    <row r="5534" spans="9:10" x14ac:dyDescent="0.45">
      <c r="I5534"/>
      <c r="J5534"/>
    </row>
    <row r="5535" spans="9:10" x14ac:dyDescent="0.45">
      <c r="I5535"/>
      <c r="J5535"/>
    </row>
    <row r="5536" spans="9:10" x14ac:dyDescent="0.45">
      <c r="I5536"/>
      <c r="J5536"/>
    </row>
    <row r="5537" spans="9:10" x14ac:dyDescent="0.45">
      <c r="I5537"/>
      <c r="J5537"/>
    </row>
    <row r="5538" spans="9:10" x14ac:dyDescent="0.45">
      <c r="I5538"/>
      <c r="J5538"/>
    </row>
    <row r="5539" spans="9:10" x14ac:dyDescent="0.45">
      <c r="I5539"/>
      <c r="J5539"/>
    </row>
    <row r="5540" spans="9:10" x14ac:dyDescent="0.45">
      <c r="I5540"/>
      <c r="J5540"/>
    </row>
    <row r="5541" spans="9:10" x14ac:dyDescent="0.45">
      <c r="I5541"/>
      <c r="J5541"/>
    </row>
    <row r="5542" spans="9:10" x14ac:dyDescent="0.45">
      <c r="I5542"/>
      <c r="J5542"/>
    </row>
    <row r="5543" spans="9:10" x14ac:dyDescent="0.45">
      <c r="I5543"/>
      <c r="J5543"/>
    </row>
    <row r="5544" spans="9:10" x14ac:dyDescent="0.45">
      <c r="I5544"/>
      <c r="J5544"/>
    </row>
    <row r="5545" spans="9:10" x14ac:dyDescent="0.45">
      <c r="I5545"/>
      <c r="J5545"/>
    </row>
    <row r="5546" spans="9:10" x14ac:dyDescent="0.45">
      <c r="I5546"/>
      <c r="J5546"/>
    </row>
    <row r="5547" spans="9:10" x14ac:dyDescent="0.45">
      <c r="I5547"/>
      <c r="J5547"/>
    </row>
    <row r="5548" spans="9:10" x14ac:dyDescent="0.45">
      <c r="I5548"/>
      <c r="J5548"/>
    </row>
    <row r="5549" spans="9:10" x14ac:dyDescent="0.45">
      <c r="I5549"/>
      <c r="J5549"/>
    </row>
    <row r="5550" spans="9:10" x14ac:dyDescent="0.45">
      <c r="I5550"/>
      <c r="J5550"/>
    </row>
    <row r="5551" spans="9:10" x14ac:dyDescent="0.45">
      <c r="I5551"/>
      <c r="J5551"/>
    </row>
    <row r="5552" spans="9:10" x14ac:dyDescent="0.45">
      <c r="I5552"/>
      <c r="J5552"/>
    </row>
    <row r="5553" spans="9:10" x14ac:dyDescent="0.45">
      <c r="I5553"/>
      <c r="J5553"/>
    </row>
    <row r="5554" spans="9:10" x14ac:dyDescent="0.45">
      <c r="I5554"/>
      <c r="J5554"/>
    </row>
    <row r="5555" spans="9:10" x14ac:dyDescent="0.45">
      <c r="I5555"/>
      <c r="J5555"/>
    </row>
    <row r="5556" spans="9:10" x14ac:dyDescent="0.45">
      <c r="I5556"/>
      <c r="J5556"/>
    </row>
    <row r="5557" spans="9:10" x14ac:dyDescent="0.45">
      <c r="I5557"/>
      <c r="J5557"/>
    </row>
    <row r="5558" spans="9:10" x14ac:dyDescent="0.45">
      <c r="I5558"/>
      <c r="J5558"/>
    </row>
    <row r="5559" spans="9:10" x14ac:dyDescent="0.45">
      <c r="I5559"/>
      <c r="J5559"/>
    </row>
    <row r="5560" spans="9:10" x14ac:dyDescent="0.45">
      <c r="I5560"/>
      <c r="J5560"/>
    </row>
    <row r="5561" spans="9:10" x14ac:dyDescent="0.45">
      <c r="I5561"/>
      <c r="J5561"/>
    </row>
    <row r="5562" spans="9:10" x14ac:dyDescent="0.45">
      <c r="I5562"/>
      <c r="J5562"/>
    </row>
    <row r="5563" spans="9:10" x14ac:dyDescent="0.45">
      <c r="I5563"/>
      <c r="J5563"/>
    </row>
    <row r="5564" spans="9:10" x14ac:dyDescent="0.45">
      <c r="I5564"/>
      <c r="J5564"/>
    </row>
    <row r="5565" spans="9:10" x14ac:dyDescent="0.45">
      <c r="I5565"/>
      <c r="J5565"/>
    </row>
    <row r="5566" spans="9:10" x14ac:dyDescent="0.45">
      <c r="I5566"/>
      <c r="J5566"/>
    </row>
    <row r="5567" spans="9:10" x14ac:dyDescent="0.45">
      <c r="I5567"/>
      <c r="J5567"/>
    </row>
    <row r="5568" spans="9:10" x14ac:dyDescent="0.45">
      <c r="I5568"/>
      <c r="J5568"/>
    </row>
    <row r="5569" spans="9:10" x14ac:dyDescent="0.45">
      <c r="I5569"/>
      <c r="J5569"/>
    </row>
    <row r="5570" spans="9:10" x14ac:dyDescent="0.45">
      <c r="I5570"/>
      <c r="J5570"/>
    </row>
    <row r="5571" spans="9:10" x14ac:dyDescent="0.45">
      <c r="I5571"/>
      <c r="J5571"/>
    </row>
    <row r="5572" spans="9:10" x14ac:dyDescent="0.45">
      <c r="I5572"/>
      <c r="J5572"/>
    </row>
    <row r="5573" spans="9:10" x14ac:dyDescent="0.45">
      <c r="I5573"/>
      <c r="J5573"/>
    </row>
    <row r="5574" spans="9:10" x14ac:dyDescent="0.45">
      <c r="I5574"/>
      <c r="J5574"/>
    </row>
    <row r="5575" spans="9:10" x14ac:dyDescent="0.45">
      <c r="I5575"/>
      <c r="J5575"/>
    </row>
    <row r="5576" spans="9:10" x14ac:dyDescent="0.45">
      <c r="I5576"/>
      <c r="J5576"/>
    </row>
    <row r="5577" spans="9:10" x14ac:dyDescent="0.45">
      <c r="I5577"/>
      <c r="J5577"/>
    </row>
    <row r="5578" spans="9:10" x14ac:dyDescent="0.45">
      <c r="I5578"/>
      <c r="J5578"/>
    </row>
    <row r="5579" spans="9:10" x14ac:dyDescent="0.45">
      <c r="I5579"/>
      <c r="J5579"/>
    </row>
    <row r="5580" spans="9:10" x14ac:dyDescent="0.45">
      <c r="I5580"/>
      <c r="J5580"/>
    </row>
    <row r="5581" spans="9:10" x14ac:dyDescent="0.45">
      <c r="I5581"/>
      <c r="J5581"/>
    </row>
    <row r="5582" spans="9:10" x14ac:dyDescent="0.45">
      <c r="I5582"/>
      <c r="J5582"/>
    </row>
    <row r="5583" spans="9:10" x14ac:dyDescent="0.45">
      <c r="I5583"/>
      <c r="J5583"/>
    </row>
    <row r="5584" spans="9:10" x14ac:dyDescent="0.45">
      <c r="I5584"/>
      <c r="J5584"/>
    </row>
    <row r="5585" spans="9:10" x14ac:dyDescent="0.45">
      <c r="I5585"/>
      <c r="J5585"/>
    </row>
    <row r="5586" spans="9:10" x14ac:dyDescent="0.45">
      <c r="I5586"/>
      <c r="J5586"/>
    </row>
    <row r="5587" spans="9:10" x14ac:dyDescent="0.45">
      <c r="I5587"/>
      <c r="J5587"/>
    </row>
    <row r="5588" spans="9:10" x14ac:dyDescent="0.45">
      <c r="I5588"/>
      <c r="J5588"/>
    </row>
    <row r="5589" spans="9:10" x14ac:dyDescent="0.45">
      <c r="I5589"/>
      <c r="J5589"/>
    </row>
    <row r="5590" spans="9:10" x14ac:dyDescent="0.45">
      <c r="I5590"/>
      <c r="J5590"/>
    </row>
    <row r="5591" spans="9:10" x14ac:dyDescent="0.45">
      <c r="I5591"/>
      <c r="J5591"/>
    </row>
    <row r="5592" spans="9:10" x14ac:dyDescent="0.45">
      <c r="I5592"/>
      <c r="J5592"/>
    </row>
    <row r="5593" spans="9:10" x14ac:dyDescent="0.45">
      <c r="I5593"/>
      <c r="J5593"/>
    </row>
    <row r="5594" spans="9:10" x14ac:dyDescent="0.45">
      <c r="I5594"/>
      <c r="J5594"/>
    </row>
    <row r="5595" spans="9:10" x14ac:dyDescent="0.45">
      <c r="I5595"/>
      <c r="J5595"/>
    </row>
    <row r="5596" spans="9:10" x14ac:dyDescent="0.45">
      <c r="I5596"/>
      <c r="J5596"/>
    </row>
    <row r="5597" spans="9:10" x14ac:dyDescent="0.45">
      <c r="I5597"/>
      <c r="J5597"/>
    </row>
    <row r="5598" spans="9:10" x14ac:dyDescent="0.45">
      <c r="I5598"/>
      <c r="J5598"/>
    </row>
    <row r="5599" spans="9:10" x14ac:dyDescent="0.45">
      <c r="I5599"/>
      <c r="J5599"/>
    </row>
    <row r="5600" spans="9:10" x14ac:dyDescent="0.45">
      <c r="I5600"/>
      <c r="J5600"/>
    </row>
    <row r="5601" spans="9:10" x14ac:dyDescent="0.45">
      <c r="I5601"/>
      <c r="J5601"/>
    </row>
    <row r="5602" spans="9:10" x14ac:dyDescent="0.45">
      <c r="I5602"/>
      <c r="J5602"/>
    </row>
    <row r="5603" spans="9:10" x14ac:dyDescent="0.45">
      <c r="I5603"/>
      <c r="J5603"/>
    </row>
    <row r="5604" spans="9:10" x14ac:dyDescent="0.45">
      <c r="I5604"/>
      <c r="J5604"/>
    </row>
    <row r="5605" spans="9:10" x14ac:dyDescent="0.45">
      <c r="I5605"/>
      <c r="J5605"/>
    </row>
    <row r="5606" spans="9:10" x14ac:dyDescent="0.45">
      <c r="I5606"/>
      <c r="J5606"/>
    </row>
    <row r="5607" spans="9:10" x14ac:dyDescent="0.45">
      <c r="I5607"/>
      <c r="J5607"/>
    </row>
    <row r="5608" spans="9:10" x14ac:dyDescent="0.45">
      <c r="I5608"/>
      <c r="J5608"/>
    </row>
    <row r="5609" spans="9:10" x14ac:dyDescent="0.45">
      <c r="I5609"/>
      <c r="J5609"/>
    </row>
    <row r="5610" spans="9:10" x14ac:dyDescent="0.45">
      <c r="I5610"/>
      <c r="J5610"/>
    </row>
    <row r="5611" spans="9:10" x14ac:dyDescent="0.45">
      <c r="I5611"/>
      <c r="J5611"/>
    </row>
    <row r="5612" spans="9:10" x14ac:dyDescent="0.45">
      <c r="I5612"/>
      <c r="J5612"/>
    </row>
    <row r="5613" spans="9:10" x14ac:dyDescent="0.45">
      <c r="I5613"/>
      <c r="J5613"/>
    </row>
    <row r="5614" spans="9:10" x14ac:dyDescent="0.45">
      <c r="I5614"/>
      <c r="J5614"/>
    </row>
    <row r="5615" spans="9:10" x14ac:dyDescent="0.45">
      <c r="I5615"/>
      <c r="J5615"/>
    </row>
    <row r="5616" spans="9:10" x14ac:dyDescent="0.45">
      <c r="I5616"/>
      <c r="J5616"/>
    </row>
    <row r="5617" spans="9:10" x14ac:dyDescent="0.45">
      <c r="I5617"/>
      <c r="J5617"/>
    </row>
    <row r="5618" spans="9:10" x14ac:dyDescent="0.45">
      <c r="I5618"/>
      <c r="J5618"/>
    </row>
    <row r="5619" spans="9:10" x14ac:dyDescent="0.45">
      <c r="I5619"/>
      <c r="J5619"/>
    </row>
    <row r="5620" spans="9:10" x14ac:dyDescent="0.45">
      <c r="I5620"/>
      <c r="J5620"/>
    </row>
    <row r="5621" spans="9:10" x14ac:dyDescent="0.45">
      <c r="I5621"/>
      <c r="J5621"/>
    </row>
    <row r="5622" spans="9:10" x14ac:dyDescent="0.45">
      <c r="I5622"/>
      <c r="J5622"/>
    </row>
    <row r="5623" spans="9:10" x14ac:dyDescent="0.45">
      <c r="I5623"/>
      <c r="J5623"/>
    </row>
    <row r="5624" spans="9:10" x14ac:dyDescent="0.45">
      <c r="I5624"/>
      <c r="J5624"/>
    </row>
    <row r="5625" spans="9:10" x14ac:dyDescent="0.45">
      <c r="I5625"/>
      <c r="J5625"/>
    </row>
    <row r="5626" spans="9:10" x14ac:dyDescent="0.45">
      <c r="I5626"/>
      <c r="J5626"/>
    </row>
    <row r="5627" spans="9:10" x14ac:dyDescent="0.45">
      <c r="I5627"/>
      <c r="J5627"/>
    </row>
    <row r="5628" spans="9:10" x14ac:dyDescent="0.45">
      <c r="I5628"/>
      <c r="J5628"/>
    </row>
    <row r="5629" spans="9:10" x14ac:dyDescent="0.45">
      <c r="I5629"/>
      <c r="J5629"/>
    </row>
    <row r="5630" spans="9:10" x14ac:dyDescent="0.45">
      <c r="I5630"/>
      <c r="J5630"/>
    </row>
    <row r="5631" spans="9:10" x14ac:dyDescent="0.45">
      <c r="I5631"/>
      <c r="J5631"/>
    </row>
    <row r="5632" spans="9:10" x14ac:dyDescent="0.45">
      <c r="I5632"/>
      <c r="J5632"/>
    </row>
    <row r="5633" spans="9:10" x14ac:dyDescent="0.45">
      <c r="I5633"/>
      <c r="J5633"/>
    </row>
    <row r="5634" spans="9:10" x14ac:dyDescent="0.45">
      <c r="I5634"/>
      <c r="J5634"/>
    </row>
    <row r="5635" spans="9:10" x14ac:dyDescent="0.45">
      <c r="I5635"/>
      <c r="J5635"/>
    </row>
    <row r="5636" spans="9:10" x14ac:dyDescent="0.45">
      <c r="I5636"/>
      <c r="J5636"/>
    </row>
    <row r="5637" spans="9:10" x14ac:dyDescent="0.45">
      <c r="I5637"/>
      <c r="J5637"/>
    </row>
    <row r="5638" spans="9:10" x14ac:dyDescent="0.45">
      <c r="I5638"/>
      <c r="J5638"/>
    </row>
    <row r="5639" spans="9:10" x14ac:dyDescent="0.45">
      <c r="I5639"/>
      <c r="J5639"/>
    </row>
    <row r="5640" spans="9:10" x14ac:dyDescent="0.45">
      <c r="I5640"/>
      <c r="J5640"/>
    </row>
    <row r="5641" spans="9:10" x14ac:dyDescent="0.45">
      <c r="I5641"/>
      <c r="J5641"/>
    </row>
    <row r="5642" spans="9:10" x14ac:dyDescent="0.45">
      <c r="I5642"/>
      <c r="J5642"/>
    </row>
    <row r="5643" spans="9:10" x14ac:dyDescent="0.45">
      <c r="I5643"/>
      <c r="J5643"/>
    </row>
    <row r="5644" spans="9:10" x14ac:dyDescent="0.45">
      <c r="I5644"/>
      <c r="J5644"/>
    </row>
    <row r="5645" spans="9:10" x14ac:dyDescent="0.45">
      <c r="I5645"/>
      <c r="J5645"/>
    </row>
    <row r="5646" spans="9:10" x14ac:dyDescent="0.45">
      <c r="I5646"/>
      <c r="J5646"/>
    </row>
    <row r="5647" spans="9:10" x14ac:dyDescent="0.45">
      <c r="I5647"/>
      <c r="J5647"/>
    </row>
    <row r="5648" spans="9:10" x14ac:dyDescent="0.45">
      <c r="I5648"/>
      <c r="J5648"/>
    </row>
    <row r="5649" spans="9:10" x14ac:dyDescent="0.45">
      <c r="I5649"/>
      <c r="J5649"/>
    </row>
    <row r="5650" spans="9:10" x14ac:dyDescent="0.45">
      <c r="I5650"/>
      <c r="J5650"/>
    </row>
    <row r="5651" spans="9:10" x14ac:dyDescent="0.45">
      <c r="I5651"/>
      <c r="J5651"/>
    </row>
    <row r="5652" spans="9:10" x14ac:dyDescent="0.45">
      <c r="I5652"/>
      <c r="J5652"/>
    </row>
    <row r="5653" spans="9:10" x14ac:dyDescent="0.45">
      <c r="I5653"/>
      <c r="J5653"/>
    </row>
    <row r="5654" spans="9:10" x14ac:dyDescent="0.45">
      <c r="I5654"/>
      <c r="J5654"/>
    </row>
    <row r="5655" spans="9:10" x14ac:dyDescent="0.45">
      <c r="I5655"/>
      <c r="J5655"/>
    </row>
    <row r="5656" spans="9:10" x14ac:dyDescent="0.45">
      <c r="I5656"/>
      <c r="J5656"/>
    </row>
    <row r="5657" spans="9:10" x14ac:dyDescent="0.45">
      <c r="I5657"/>
      <c r="J5657"/>
    </row>
    <row r="5658" spans="9:10" x14ac:dyDescent="0.45">
      <c r="I5658"/>
      <c r="J5658"/>
    </row>
    <row r="5659" spans="9:10" x14ac:dyDescent="0.45">
      <c r="I5659"/>
      <c r="J5659"/>
    </row>
    <row r="5660" spans="9:10" x14ac:dyDescent="0.45">
      <c r="I5660"/>
      <c r="J5660"/>
    </row>
    <row r="5661" spans="9:10" x14ac:dyDescent="0.45">
      <c r="I5661"/>
      <c r="J5661"/>
    </row>
    <row r="5662" spans="9:10" x14ac:dyDescent="0.45">
      <c r="I5662"/>
      <c r="J5662"/>
    </row>
    <row r="5663" spans="9:10" x14ac:dyDescent="0.45">
      <c r="I5663"/>
      <c r="J5663"/>
    </row>
    <row r="5664" spans="9:10" x14ac:dyDescent="0.45">
      <c r="I5664"/>
      <c r="J5664"/>
    </row>
    <row r="5665" spans="9:10" x14ac:dyDescent="0.45">
      <c r="I5665"/>
      <c r="J5665"/>
    </row>
    <row r="5666" spans="9:10" x14ac:dyDescent="0.45">
      <c r="I5666"/>
      <c r="J5666"/>
    </row>
    <row r="5667" spans="9:10" x14ac:dyDescent="0.45">
      <c r="I5667"/>
      <c r="J5667"/>
    </row>
    <row r="5668" spans="9:10" x14ac:dyDescent="0.45">
      <c r="I5668"/>
      <c r="J5668"/>
    </row>
    <row r="5669" spans="9:10" x14ac:dyDescent="0.45">
      <c r="I5669"/>
      <c r="J5669"/>
    </row>
    <row r="5670" spans="9:10" x14ac:dyDescent="0.45">
      <c r="I5670"/>
      <c r="J5670"/>
    </row>
    <row r="5671" spans="9:10" x14ac:dyDescent="0.45">
      <c r="I5671"/>
      <c r="J5671"/>
    </row>
    <row r="5672" spans="9:10" x14ac:dyDescent="0.45">
      <c r="I5672"/>
      <c r="J5672"/>
    </row>
    <row r="5673" spans="9:10" x14ac:dyDescent="0.45">
      <c r="I5673"/>
      <c r="J5673"/>
    </row>
    <row r="5674" spans="9:10" x14ac:dyDescent="0.45">
      <c r="I5674"/>
      <c r="J5674"/>
    </row>
    <row r="5675" spans="9:10" x14ac:dyDescent="0.45">
      <c r="I5675"/>
      <c r="J5675"/>
    </row>
    <row r="5676" spans="9:10" x14ac:dyDescent="0.45">
      <c r="I5676"/>
      <c r="J5676"/>
    </row>
    <row r="5677" spans="9:10" x14ac:dyDescent="0.45">
      <c r="I5677"/>
      <c r="J5677"/>
    </row>
    <row r="5678" spans="9:10" x14ac:dyDescent="0.45">
      <c r="I5678"/>
      <c r="J5678"/>
    </row>
    <row r="5679" spans="9:10" x14ac:dyDescent="0.45">
      <c r="I5679"/>
      <c r="J5679"/>
    </row>
    <row r="5680" spans="9:10" x14ac:dyDescent="0.45">
      <c r="I5680"/>
      <c r="J5680"/>
    </row>
    <row r="5681" spans="9:10" x14ac:dyDescent="0.45">
      <c r="I5681"/>
      <c r="J5681"/>
    </row>
    <row r="5682" spans="9:10" x14ac:dyDescent="0.45">
      <c r="I5682"/>
      <c r="J5682"/>
    </row>
    <row r="5683" spans="9:10" x14ac:dyDescent="0.45">
      <c r="I5683"/>
      <c r="J5683"/>
    </row>
    <row r="5684" spans="9:10" x14ac:dyDescent="0.45">
      <c r="I5684"/>
      <c r="J5684"/>
    </row>
    <row r="5685" spans="9:10" x14ac:dyDescent="0.45">
      <c r="I5685"/>
      <c r="J5685"/>
    </row>
    <row r="5686" spans="9:10" x14ac:dyDescent="0.45">
      <c r="I5686"/>
      <c r="J5686"/>
    </row>
    <row r="5687" spans="9:10" x14ac:dyDescent="0.45">
      <c r="I5687"/>
      <c r="J5687"/>
    </row>
    <row r="5688" spans="9:10" x14ac:dyDescent="0.45">
      <c r="I5688"/>
      <c r="J5688"/>
    </row>
    <row r="5689" spans="9:10" x14ac:dyDescent="0.45">
      <c r="I5689"/>
      <c r="J5689"/>
    </row>
    <row r="5690" spans="9:10" x14ac:dyDescent="0.45">
      <c r="I5690"/>
      <c r="J5690"/>
    </row>
    <row r="5691" spans="9:10" x14ac:dyDescent="0.45">
      <c r="I5691"/>
      <c r="J5691"/>
    </row>
    <row r="5692" spans="9:10" x14ac:dyDescent="0.45">
      <c r="I5692"/>
      <c r="J5692"/>
    </row>
    <row r="5693" spans="9:10" x14ac:dyDescent="0.45">
      <c r="I5693"/>
      <c r="J5693"/>
    </row>
    <row r="5694" spans="9:10" x14ac:dyDescent="0.45">
      <c r="I5694"/>
      <c r="J5694"/>
    </row>
    <row r="5695" spans="9:10" x14ac:dyDescent="0.45">
      <c r="I5695"/>
      <c r="J5695"/>
    </row>
    <row r="5696" spans="9:10" x14ac:dyDescent="0.45">
      <c r="I5696"/>
      <c r="J5696"/>
    </row>
    <row r="5697" spans="9:10" x14ac:dyDescent="0.45">
      <c r="I5697"/>
      <c r="J5697"/>
    </row>
    <row r="5698" spans="9:10" x14ac:dyDescent="0.45">
      <c r="I5698"/>
      <c r="J5698"/>
    </row>
    <row r="5699" spans="9:10" x14ac:dyDescent="0.45">
      <c r="I5699"/>
      <c r="J5699"/>
    </row>
    <row r="5700" spans="9:10" x14ac:dyDescent="0.45">
      <c r="I5700"/>
      <c r="J5700"/>
    </row>
    <row r="5701" spans="9:10" x14ac:dyDescent="0.45">
      <c r="I5701"/>
      <c r="J5701"/>
    </row>
    <row r="5702" spans="9:10" x14ac:dyDescent="0.45">
      <c r="I5702"/>
      <c r="J5702"/>
    </row>
    <row r="5703" spans="9:10" x14ac:dyDescent="0.45">
      <c r="I5703"/>
      <c r="J5703"/>
    </row>
    <row r="5704" spans="9:10" x14ac:dyDescent="0.45">
      <c r="I5704"/>
      <c r="J5704"/>
    </row>
    <row r="5705" spans="9:10" x14ac:dyDescent="0.45">
      <c r="I5705"/>
      <c r="J5705"/>
    </row>
    <row r="5706" spans="9:10" x14ac:dyDescent="0.45">
      <c r="I5706"/>
      <c r="J5706"/>
    </row>
    <row r="5707" spans="9:10" x14ac:dyDescent="0.45">
      <c r="I5707"/>
      <c r="J5707"/>
    </row>
    <row r="5708" spans="9:10" x14ac:dyDescent="0.45">
      <c r="I5708"/>
      <c r="J5708"/>
    </row>
    <row r="5709" spans="9:10" x14ac:dyDescent="0.45">
      <c r="I5709"/>
      <c r="J5709"/>
    </row>
    <row r="5710" spans="9:10" x14ac:dyDescent="0.45">
      <c r="I5710"/>
      <c r="J5710"/>
    </row>
    <row r="5711" spans="9:10" x14ac:dyDescent="0.45">
      <c r="I5711"/>
      <c r="J5711"/>
    </row>
    <row r="5712" spans="9:10" x14ac:dyDescent="0.45">
      <c r="I5712"/>
      <c r="J5712"/>
    </row>
    <row r="5713" spans="9:10" x14ac:dyDescent="0.45">
      <c r="I5713"/>
      <c r="J5713"/>
    </row>
    <row r="5714" spans="9:10" x14ac:dyDescent="0.45">
      <c r="I5714"/>
      <c r="J5714"/>
    </row>
    <row r="5715" spans="9:10" x14ac:dyDescent="0.45">
      <c r="I5715"/>
      <c r="J5715"/>
    </row>
    <row r="5716" spans="9:10" x14ac:dyDescent="0.45">
      <c r="I5716"/>
      <c r="J5716"/>
    </row>
    <row r="5717" spans="9:10" x14ac:dyDescent="0.45">
      <c r="I5717"/>
      <c r="J5717"/>
    </row>
    <row r="5718" spans="9:10" x14ac:dyDescent="0.45">
      <c r="I5718"/>
      <c r="J5718"/>
    </row>
    <row r="5719" spans="9:10" x14ac:dyDescent="0.45">
      <c r="I5719"/>
      <c r="J5719"/>
    </row>
    <row r="5720" spans="9:10" x14ac:dyDescent="0.45">
      <c r="I5720"/>
      <c r="J5720"/>
    </row>
    <row r="5721" spans="9:10" x14ac:dyDescent="0.45">
      <c r="I5721"/>
      <c r="J5721"/>
    </row>
    <row r="5722" spans="9:10" x14ac:dyDescent="0.45">
      <c r="I5722"/>
      <c r="J5722"/>
    </row>
    <row r="5723" spans="9:10" x14ac:dyDescent="0.45">
      <c r="I5723"/>
      <c r="J5723"/>
    </row>
    <row r="5724" spans="9:10" x14ac:dyDescent="0.45">
      <c r="I5724"/>
      <c r="J5724"/>
    </row>
    <row r="5725" spans="9:10" x14ac:dyDescent="0.45">
      <c r="I5725"/>
      <c r="J5725"/>
    </row>
    <row r="5726" spans="9:10" x14ac:dyDescent="0.45">
      <c r="I5726"/>
      <c r="J5726"/>
    </row>
    <row r="5727" spans="9:10" x14ac:dyDescent="0.45">
      <c r="I5727"/>
      <c r="J5727"/>
    </row>
    <row r="5728" spans="9:10" x14ac:dyDescent="0.45">
      <c r="I5728"/>
      <c r="J5728"/>
    </row>
    <row r="5729" spans="9:10" x14ac:dyDescent="0.45">
      <c r="I5729"/>
      <c r="J5729"/>
    </row>
    <row r="5730" spans="9:10" x14ac:dyDescent="0.45">
      <c r="I5730"/>
      <c r="J5730"/>
    </row>
    <row r="5731" spans="9:10" x14ac:dyDescent="0.45">
      <c r="I5731"/>
      <c r="J5731"/>
    </row>
    <row r="5732" spans="9:10" x14ac:dyDescent="0.45">
      <c r="I5732"/>
      <c r="J5732"/>
    </row>
    <row r="5733" spans="9:10" x14ac:dyDescent="0.45">
      <c r="I5733"/>
      <c r="J5733"/>
    </row>
    <row r="5734" spans="9:10" x14ac:dyDescent="0.45">
      <c r="I5734"/>
      <c r="J5734"/>
    </row>
    <row r="5735" spans="9:10" x14ac:dyDescent="0.45">
      <c r="I5735"/>
      <c r="J5735"/>
    </row>
    <row r="5736" spans="9:10" x14ac:dyDescent="0.45">
      <c r="I5736"/>
      <c r="J5736"/>
    </row>
    <row r="5737" spans="9:10" x14ac:dyDescent="0.45">
      <c r="I5737"/>
      <c r="J5737"/>
    </row>
    <row r="5738" spans="9:10" x14ac:dyDescent="0.45">
      <c r="I5738"/>
      <c r="J5738"/>
    </row>
    <row r="5739" spans="9:10" x14ac:dyDescent="0.45">
      <c r="I5739"/>
      <c r="J5739"/>
    </row>
    <row r="5740" spans="9:10" x14ac:dyDescent="0.45">
      <c r="I5740"/>
      <c r="J5740"/>
    </row>
    <row r="5741" spans="9:10" x14ac:dyDescent="0.45">
      <c r="I5741"/>
      <c r="J5741"/>
    </row>
    <row r="5742" spans="9:10" x14ac:dyDescent="0.45">
      <c r="I5742"/>
      <c r="J5742"/>
    </row>
    <row r="5743" spans="9:10" x14ac:dyDescent="0.45">
      <c r="I5743"/>
      <c r="J5743"/>
    </row>
    <row r="5744" spans="9:10" x14ac:dyDescent="0.45">
      <c r="I5744"/>
      <c r="J5744"/>
    </row>
    <row r="5745" spans="9:10" x14ac:dyDescent="0.45">
      <c r="I5745"/>
      <c r="J5745"/>
    </row>
    <row r="5746" spans="9:10" x14ac:dyDescent="0.45">
      <c r="I5746"/>
      <c r="J5746"/>
    </row>
    <row r="5747" spans="9:10" x14ac:dyDescent="0.45">
      <c r="I5747"/>
      <c r="J5747"/>
    </row>
    <row r="5748" spans="9:10" x14ac:dyDescent="0.45">
      <c r="I5748"/>
      <c r="J5748"/>
    </row>
    <row r="5749" spans="9:10" x14ac:dyDescent="0.45">
      <c r="I5749"/>
      <c r="J5749"/>
    </row>
    <row r="5750" spans="9:10" x14ac:dyDescent="0.45">
      <c r="I5750"/>
      <c r="J5750"/>
    </row>
    <row r="5751" spans="9:10" x14ac:dyDescent="0.45">
      <c r="I5751"/>
      <c r="J5751"/>
    </row>
    <row r="5752" spans="9:10" x14ac:dyDescent="0.45">
      <c r="I5752"/>
      <c r="J5752"/>
    </row>
    <row r="5753" spans="9:10" x14ac:dyDescent="0.45">
      <c r="I5753"/>
      <c r="J5753"/>
    </row>
    <row r="5754" spans="9:10" x14ac:dyDescent="0.45">
      <c r="I5754"/>
      <c r="J5754"/>
    </row>
    <row r="5755" spans="9:10" x14ac:dyDescent="0.45">
      <c r="I5755"/>
      <c r="J5755"/>
    </row>
    <row r="5756" spans="9:10" x14ac:dyDescent="0.45">
      <c r="I5756"/>
      <c r="J5756"/>
    </row>
    <row r="5757" spans="9:10" x14ac:dyDescent="0.45">
      <c r="I5757"/>
      <c r="J5757"/>
    </row>
    <row r="5758" spans="9:10" x14ac:dyDescent="0.45">
      <c r="I5758"/>
      <c r="J5758"/>
    </row>
    <row r="5759" spans="9:10" x14ac:dyDescent="0.45">
      <c r="I5759"/>
      <c r="J5759"/>
    </row>
    <row r="5760" spans="9:10" x14ac:dyDescent="0.45">
      <c r="I5760"/>
      <c r="J5760"/>
    </row>
    <row r="5761" spans="9:10" x14ac:dyDescent="0.45">
      <c r="I5761"/>
      <c r="J5761"/>
    </row>
    <row r="5762" spans="9:10" x14ac:dyDescent="0.45">
      <c r="I5762"/>
      <c r="J5762"/>
    </row>
    <row r="5763" spans="9:10" x14ac:dyDescent="0.45">
      <c r="I5763"/>
      <c r="J5763"/>
    </row>
    <row r="5764" spans="9:10" x14ac:dyDescent="0.45">
      <c r="I5764"/>
      <c r="J5764"/>
    </row>
    <row r="5765" spans="9:10" x14ac:dyDescent="0.45">
      <c r="I5765"/>
      <c r="J5765"/>
    </row>
    <row r="5766" spans="9:10" x14ac:dyDescent="0.45">
      <c r="I5766"/>
      <c r="J5766"/>
    </row>
    <row r="5767" spans="9:10" x14ac:dyDescent="0.45">
      <c r="I5767"/>
      <c r="J5767"/>
    </row>
    <row r="5768" spans="9:10" x14ac:dyDescent="0.45">
      <c r="I5768"/>
      <c r="J5768"/>
    </row>
    <row r="5769" spans="9:10" x14ac:dyDescent="0.45">
      <c r="I5769"/>
      <c r="J5769"/>
    </row>
    <row r="5770" spans="9:10" x14ac:dyDescent="0.45">
      <c r="I5770"/>
      <c r="J5770"/>
    </row>
    <row r="5771" spans="9:10" x14ac:dyDescent="0.45">
      <c r="I5771"/>
      <c r="J5771"/>
    </row>
    <row r="5772" spans="9:10" x14ac:dyDescent="0.45">
      <c r="I5772"/>
      <c r="J5772"/>
    </row>
    <row r="5773" spans="9:10" x14ac:dyDescent="0.45">
      <c r="I5773"/>
      <c r="J5773"/>
    </row>
    <row r="5774" spans="9:10" x14ac:dyDescent="0.45">
      <c r="I5774"/>
      <c r="J5774"/>
    </row>
    <row r="5775" spans="9:10" x14ac:dyDescent="0.45">
      <c r="I5775"/>
      <c r="J5775"/>
    </row>
    <row r="5776" spans="9:10" x14ac:dyDescent="0.45">
      <c r="I5776"/>
      <c r="J5776"/>
    </row>
    <row r="5777" spans="9:10" x14ac:dyDescent="0.45">
      <c r="I5777"/>
      <c r="J5777"/>
    </row>
    <row r="5778" spans="9:10" x14ac:dyDescent="0.45">
      <c r="I5778"/>
      <c r="J5778"/>
    </row>
    <row r="5779" spans="9:10" x14ac:dyDescent="0.45">
      <c r="I5779"/>
      <c r="J5779"/>
    </row>
    <row r="5780" spans="9:10" x14ac:dyDescent="0.45">
      <c r="I5780"/>
      <c r="J5780"/>
    </row>
    <row r="5781" spans="9:10" x14ac:dyDescent="0.45">
      <c r="I5781"/>
      <c r="J5781"/>
    </row>
    <row r="5782" spans="9:10" x14ac:dyDescent="0.45">
      <c r="I5782"/>
      <c r="J5782"/>
    </row>
    <row r="5783" spans="9:10" x14ac:dyDescent="0.45">
      <c r="I5783"/>
      <c r="J5783"/>
    </row>
    <row r="5784" spans="9:10" x14ac:dyDescent="0.45">
      <c r="I5784"/>
      <c r="J5784"/>
    </row>
    <row r="5785" spans="9:10" x14ac:dyDescent="0.45">
      <c r="I5785"/>
      <c r="J5785"/>
    </row>
    <row r="5786" spans="9:10" x14ac:dyDescent="0.45">
      <c r="I5786"/>
      <c r="J5786"/>
    </row>
    <row r="5787" spans="9:10" x14ac:dyDescent="0.45">
      <c r="I5787"/>
      <c r="J5787"/>
    </row>
    <row r="5788" spans="9:10" x14ac:dyDescent="0.45">
      <c r="I5788"/>
      <c r="J5788"/>
    </row>
    <row r="5789" spans="9:10" x14ac:dyDescent="0.45">
      <c r="I5789"/>
      <c r="J5789"/>
    </row>
    <row r="5790" spans="9:10" x14ac:dyDescent="0.45">
      <c r="I5790"/>
      <c r="J5790"/>
    </row>
    <row r="5791" spans="9:10" x14ac:dyDescent="0.45">
      <c r="I5791"/>
      <c r="J5791"/>
    </row>
    <row r="5792" spans="9:10" x14ac:dyDescent="0.45">
      <c r="I5792"/>
      <c r="J5792"/>
    </row>
    <row r="5793" spans="9:10" x14ac:dyDescent="0.45">
      <c r="I5793"/>
      <c r="J5793"/>
    </row>
    <row r="5794" spans="9:10" x14ac:dyDescent="0.45">
      <c r="I5794"/>
      <c r="J5794"/>
    </row>
    <row r="5795" spans="9:10" x14ac:dyDescent="0.45">
      <c r="I5795"/>
      <c r="J5795"/>
    </row>
    <row r="5796" spans="9:10" x14ac:dyDescent="0.45">
      <c r="I5796"/>
      <c r="J5796"/>
    </row>
    <row r="5797" spans="9:10" x14ac:dyDescent="0.45">
      <c r="I5797"/>
      <c r="J5797"/>
    </row>
    <row r="5798" spans="9:10" x14ac:dyDescent="0.45">
      <c r="I5798"/>
      <c r="J5798"/>
    </row>
    <row r="5799" spans="9:10" x14ac:dyDescent="0.45">
      <c r="I5799"/>
      <c r="J5799"/>
    </row>
    <row r="5800" spans="9:10" x14ac:dyDescent="0.45">
      <c r="I5800"/>
      <c r="J5800"/>
    </row>
    <row r="5801" spans="9:10" x14ac:dyDescent="0.45">
      <c r="I5801"/>
      <c r="J5801"/>
    </row>
    <row r="5802" spans="9:10" x14ac:dyDescent="0.45">
      <c r="I5802"/>
      <c r="J5802"/>
    </row>
    <row r="5803" spans="9:10" x14ac:dyDescent="0.45">
      <c r="I5803"/>
      <c r="J5803"/>
    </row>
    <row r="5804" spans="9:10" x14ac:dyDescent="0.45">
      <c r="I5804"/>
      <c r="J5804"/>
    </row>
    <row r="5805" spans="9:10" x14ac:dyDescent="0.45">
      <c r="I5805"/>
      <c r="J5805"/>
    </row>
    <row r="5806" spans="9:10" x14ac:dyDescent="0.45">
      <c r="I5806"/>
      <c r="J5806"/>
    </row>
    <row r="5807" spans="9:10" x14ac:dyDescent="0.45">
      <c r="I5807"/>
      <c r="J5807"/>
    </row>
    <row r="5808" spans="9:10" x14ac:dyDescent="0.45">
      <c r="I5808"/>
      <c r="J5808"/>
    </row>
    <row r="5809" spans="9:10" x14ac:dyDescent="0.45">
      <c r="I5809"/>
      <c r="J5809"/>
    </row>
    <row r="5810" spans="9:10" x14ac:dyDescent="0.45">
      <c r="I5810"/>
      <c r="J5810"/>
    </row>
    <row r="5811" spans="9:10" x14ac:dyDescent="0.45">
      <c r="I5811"/>
      <c r="J5811"/>
    </row>
    <row r="5812" spans="9:10" x14ac:dyDescent="0.45">
      <c r="I5812"/>
      <c r="J5812"/>
    </row>
    <row r="5813" spans="9:10" x14ac:dyDescent="0.45">
      <c r="I5813"/>
      <c r="J5813"/>
    </row>
    <row r="5814" spans="9:10" x14ac:dyDescent="0.45">
      <c r="I5814"/>
      <c r="J5814"/>
    </row>
    <row r="5815" spans="9:10" x14ac:dyDescent="0.45">
      <c r="I5815"/>
      <c r="J5815"/>
    </row>
    <row r="5816" spans="9:10" x14ac:dyDescent="0.45">
      <c r="I5816"/>
      <c r="J5816"/>
    </row>
    <row r="5817" spans="9:10" x14ac:dyDescent="0.45">
      <c r="I5817"/>
      <c r="J5817"/>
    </row>
    <row r="5818" spans="9:10" x14ac:dyDescent="0.45">
      <c r="I5818"/>
      <c r="J5818"/>
    </row>
    <row r="5819" spans="9:10" x14ac:dyDescent="0.45">
      <c r="I5819"/>
      <c r="J5819"/>
    </row>
    <row r="5820" spans="9:10" x14ac:dyDescent="0.45">
      <c r="I5820"/>
      <c r="J5820"/>
    </row>
    <row r="5821" spans="9:10" x14ac:dyDescent="0.45">
      <c r="I5821"/>
      <c r="J5821"/>
    </row>
    <row r="5822" spans="9:10" x14ac:dyDescent="0.45">
      <c r="I5822"/>
      <c r="J5822"/>
    </row>
    <row r="5823" spans="9:10" x14ac:dyDescent="0.45">
      <c r="I5823"/>
      <c r="J5823"/>
    </row>
    <row r="5824" spans="9:10" x14ac:dyDescent="0.45">
      <c r="I5824"/>
      <c r="J5824"/>
    </row>
    <row r="5825" spans="9:10" x14ac:dyDescent="0.45">
      <c r="I5825"/>
      <c r="J5825"/>
    </row>
    <row r="5826" spans="9:10" x14ac:dyDescent="0.45">
      <c r="I5826"/>
      <c r="J5826"/>
    </row>
    <row r="5827" spans="9:10" x14ac:dyDescent="0.45">
      <c r="I5827"/>
      <c r="J5827"/>
    </row>
    <row r="5828" spans="9:10" x14ac:dyDescent="0.45">
      <c r="I5828"/>
      <c r="J5828"/>
    </row>
    <row r="5829" spans="9:10" x14ac:dyDescent="0.45">
      <c r="I5829"/>
      <c r="J5829"/>
    </row>
    <row r="5830" spans="9:10" x14ac:dyDescent="0.45">
      <c r="I5830"/>
      <c r="J5830"/>
    </row>
    <row r="5831" spans="9:10" x14ac:dyDescent="0.45">
      <c r="I5831"/>
      <c r="J5831"/>
    </row>
    <row r="5832" spans="9:10" x14ac:dyDescent="0.45">
      <c r="I5832"/>
      <c r="J5832"/>
    </row>
    <row r="5833" spans="9:10" x14ac:dyDescent="0.45">
      <c r="I5833"/>
      <c r="J5833"/>
    </row>
    <row r="5834" spans="9:10" x14ac:dyDescent="0.45">
      <c r="I5834"/>
      <c r="J5834"/>
    </row>
    <row r="5835" spans="9:10" x14ac:dyDescent="0.45">
      <c r="I5835"/>
      <c r="J5835"/>
    </row>
    <row r="5836" spans="9:10" x14ac:dyDescent="0.45">
      <c r="I5836"/>
      <c r="J5836"/>
    </row>
    <row r="5837" spans="9:10" x14ac:dyDescent="0.45">
      <c r="I5837"/>
      <c r="J5837"/>
    </row>
    <row r="5838" spans="9:10" x14ac:dyDescent="0.45">
      <c r="I5838"/>
      <c r="J5838"/>
    </row>
    <row r="5839" spans="9:10" x14ac:dyDescent="0.45">
      <c r="I5839"/>
      <c r="J5839"/>
    </row>
    <row r="5840" spans="9:10" x14ac:dyDescent="0.45">
      <c r="I5840"/>
      <c r="J5840"/>
    </row>
    <row r="5841" spans="9:10" x14ac:dyDescent="0.45">
      <c r="I5841"/>
      <c r="J5841"/>
    </row>
    <row r="5842" spans="9:10" x14ac:dyDescent="0.45">
      <c r="I5842"/>
      <c r="J5842"/>
    </row>
    <row r="5843" spans="9:10" x14ac:dyDescent="0.45">
      <c r="I5843"/>
      <c r="J5843"/>
    </row>
    <row r="5844" spans="9:10" x14ac:dyDescent="0.45">
      <c r="I5844"/>
      <c r="J5844"/>
    </row>
    <row r="5845" spans="9:10" x14ac:dyDescent="0.45">
      <c r="I5845"/>
      <c r="J5845"/>
    </row>
    <row r="5846" spans="9:10" x14ac:dyDescent="0.45">
      <c r="I5846"/>
      <c r="J5846"/>
    </row>
    <row r="5847" spans="9:10" x14ac:dyDescent="0.45">
      <c r="I5847"/>
      <c r="J5847"/>
    </row>
    <row r="5848" spans="9:10" x14ac:dyDescent="0.45">
      <c r="I5848"/>
      <c r="J5848"/>
    </row>
    <row r="5849" spans="9:10" x14ac:dyDescent="0.45">
      <c r="I5849"/>
      <c r="J5849"/>
    </row>
    <row r="5850" spans="9:10" x14ac:dyDescent="0.45">
      <c r="I5850"/>
      <c r="J5850"/>
    </row>
    <row r="5851" spans="9:10" x14ac:dyDescent="0.45">
      <c r="I5851"/>
      <c r="J5851"/>
    </row>
    <row r="5852" spans="9:10" x14ac:dyDescent="0.45">
      <c r="I5852"/>
      <c r="J5852"/>
    </row>
    <row r="5853" spans="9:10" x14ac:dyDescent="0.45">
      <c r="I5853"/>
      <c r="J5853"/>
    </row>
    <row r="5854" spans="9:10" x14ac:dyDescent="0.45">
      <c r="I5854"/>
      <c r="J5854"/>
    </row>
    <row r="5855" spans="9:10" x14ac:dyDescent="0.45">
      <c r="I5855"/>
      <c r="J5855"/>
    </row>
    <row r="5856" spans="9:10" x14ac:dyDescent="0.45">
      <c r="I5856"/>
      <c r="J5856"/>
    </row>
    <row r="5857" spans="9:10" x14ac:dyDescent="0.45">
      <c r="I5857"/>
      <c r="J5857"/>
    </row>
    <row r="5858" spans="9:10" x14ac:dyDescent="0.45">
      <c r="I5858"/>
      <c r="J5858"/>
    </row>
    <row r="5859" spans="9:10" x14ac:dyDescent="0.45">
      <c r="I5859"/>
      <c r="J5859"/>
    </row>
    <row r="5860" spans="9:10" x14ac:dyDescent="0.45">
      <c r="I5860"/>
      <c r="J5860"/>
    </row>
    <row r="5861" spans="9:10" x14ac:dyDescent="0.45">
      <c r="I5861"/>
      <c r="J5861"/>
    </row>
    <row r="5862" spans="9:10" x14ac:dyDescent="0.45">
      <c r="I5862"/>
      <c r="J5862"/>
    </row>
    <row r="5863" spans="9:10" x14ac:dyDescent="0.45">
      <c r="I5863"/>
      <c r="J5863"/>
    </row>
    <row r="5864" spans="9:10" x14ac:dyDescent="0.45">
      <c r="I5864"/>
      <c r="J5864"/>
    </row>
    <row r="5865" spans="9:10" x14ac:dyDescent="0.45">
      <c r="I5865"/>
      <c r="J5865"/>
    </row>
    <row r="5866" spans="9:10" x14ac:dyDescent="0.45">
      <c r="I5866"/>
      <c r="J5866"/>
    </row>
    <row r="5867" spans="9:10" x14ac:dyDescent="0.45">
      <c r="I5867"/>
      <c r="J5867"/>
    </row>
    <row r="5868" spans="9:10" x14ac:dyDescent="0.45">
      <c r="I5868"/>
      <c r="J5868"/>
    </row>
    <row r="5869" spans="9:10" x14ac:dyDescent="0.45">
      <c r="I5869"/>
      <c r="J5869"/>
    </row>
    <row r="5870" spans="9:10" x14ac:dyDescent="0.45">
      <c r="I5870"/>
      <c r="J5870"/>
    </row>
    <row r="5871" spans="9:10" x14ac:dyDescent="0.45">
      <c r="I5871"/>
      <c r="J5871"/>
    </row>
    <row r="5872" spans="9:10" x14ac:dyDescent="0.45">
      <c r="I5872"/>
      <c r="J5872"/>
    </row>
    <row r="5873" spans="9:10" x14ac:dyDescent="0.45">
      <c r="I5873"/>
      <c r="J5873"/>
    </row>
    <row r="5874" spans="9:10" x14ac:dyDescent="0.45">
      <c r="I5874"/>
      <c r="J5874"/>
    </row>
    <row r="5875" spans="9:10" x14ac:dyDescent="0.45">
      <c r="I5875"/>
      <c r="J5875"/>
    </row>
    <row r="5876" spans="9:10" x14ac:dyDescent="0.45">
      <c r="I5876"/>
      <c r="J5876"/>
    </row>
    <row r="5877" spans="9:10" x14ac:dyDescent="0.45">
      <c r="I5877"/>
      <c r="J5877"/>
    </row>
    <row r="5878" spans="9:10" x14ac:dyDescent="0.45">
      <c r="I5878"/>
      <c r="J5878"/>
    </row>
    <row r="5879" spans="9:10" x14ac:dyDescent="0.45">
      <c r="I5879"/>
      <c r="J5879"/>
    </row>
    <row r="5880" spans="9:10" x14ac:dyDescent="0.45">
      <c r="I5880"/>
      <c r="J5880"/>
    </row>
    <row r="5881" spans="9:10" x14ac:dyDescent="0.45">
      <c r="I5881"/>
      <c r="J5881"/>
    </row>
    <row r="5882" spans="9:10" x14ac:dyDescent="0.45">
      <c r="I5882"/>
      <c r="J5882"/>
    </row>
    <row r="5883" spans="9:10" x14ac:dyDescent="0.45">
      <c r="I5883"/>
      <c r="J5883"/>
    </row>
    <row r="5884" spans="9:10" x14ac:dyDescent="0.45">
      <c r="I5884"/>
      <c r="J5884"/>
    </row>
    <row r="5885" spans="9:10" x14ac:dyDescent="0.45">
      <c r="I5885"/>
      <c r="J5885"/>
    </row>
    <row r="5886" spans="9:10" x14ac:dyDescent="0.45">
      <c r="I5886"/>
      <c r="J5886"/>
    </row>
    <row r="5887" spans="9:10" x14ac:dyDescent="0.45">
      <c r="I5887"/>
      <c r="J5887"/>
    </row>
    <row r="5888" spans="9:10" x14ac:dyDescent="0.45">
      <c r="I5888"/>
      <c r="J5888"/>
    </row>
    <row r="5889" spans="9:10" x14ac:dyDescent="0.45">
      <c r="I5889"/>
      <c r="J5889"/>
    </row>
    <row r="5890" spans="9:10" x14ac:dyDescent="0.45">
      <c r="I5890"/>
      <c r="J5890"/>
    </row>
    <row r="5891" spans="9:10" x14ac:dyDescent="0.45">
      <c r="I5891"/>
      <c r="J5891"/>
    </row>
    <row r="5892" spans="9:10" x14ac:dyDescent="0.45">
      <c r="I5892"/>
      <c r="J5892"/>
    </row>
    <row r="5893" spans="9:10" x14ac:dyDescent="0.45">
      <c r="I5893"/>
      <c r="J5893"/>
    </row>
    <row r="5894" spans="9:10" x14ac:dyDescent="0.45">
      <c r="I5894"/>
      <c r="J5894"/>
    </row>
    <row r="5895" spans="9:10" x14ac:dyDescent="0.45">
      <c r="I5895"/>
      <c r="J5895"/>
    </row>
    <row r="5896" spans="9:10" x14ac:dyDescent="0.45">
      <c r="I5896"/>
      <c r="J5896"/>
    </row>
    <row r="5897" spans="9:10" x14ac:dyDescent="0.45">
      <c r="I5897"/>
      <c r="J5897"/>
    </row>
    <row r="5898" spans="9:10" x14ac:dyDescent="0.45">
      <c r="I5898"/>
      <c r="J5898"/>
    </row>
    <row r="5899" spans="9:10" x14ac:dyDescent="0.45">
      <c r="I5899"/>
      <c r="J5899"/>
    </row>
    <row r="5900" spans="9:10" x14ac:dyDescent="0.45">
      <c r="I5900"/>
      <c r="J5900"/>
    </row>
    <row r="5901" spans="9:10" x14ac:dyDescent="0.45">
      <c r="I5901"/>
      <c r="J5901"/>
    </row>
    <row r="5902" spans="9:10" x14ac:dyDescent="0.45">
      <c r="I5902"/>
      <c r="J5902"/>
    </row>
    <row r="5903" spans="9:10" x14ac:dyDescent="0.45">
      <c r="I5903"/>
      <c r="J5903"/>
    </row>
    <row r="5904" spans="9:10" x14ac:dyDescent="0.45">
      <c r="I5904"/>
      <c r="J5904"/>
    </row>
    <row r="5905" spans="9:10" x14ac:dyDescent="0.45">
      <c r="I5905"/>
      <c r="J5905"/>
    </row>
    <row r="5906" spans="9:10" x14ac:dyDescent="0.45">
      <c r="I5906"/>
      <c r="J5906"/>
    </row>
    <row r="5907" spans="9:10" x14ac:dyDescent="0.45">
      <c r="I5907"/>
      <c r="J5907"/>
    </row>
    <row r="5908" spans="9:10" x14ac:dyDescent="0.45">
      <c r="I5908"/>
      <c r="J5908"/>
    </row>
    <row r="5909" spans="9:10" x14ac:dyDescent="0.45">
      <c r="I5909"/>
      <c r="J5909"/>
    </row>
    <row r="5910" spans="9:10" x14ac:dyDescent="0.45">
      <c r="I5910"/>
      <c r="J5910"/>
    </row>
    <row r="5911" spans="9:10" x14ac:dyDescent="0.45">
      <c r="I5911"/>
      <c r="J5911"/>
    </row>
    <row r="5912" spans="9:10" x14ac:dyDescent="0.45">
      <c r="I5912"/>
      <c r="J5912"/>
    </row>
    <row r="5913" spans="9:10" x14ac:dyDescent="0.45">
      <c r="I5913"/>
      <c r="J5913"/>
    </row>
    <row r="5914" spans="9:10" x14ac:dyDescent="0.45">
      <c r="I5914"/>
      <c r="J5914"/>
    </row>
    <row r="5915" spans="9:10" x14ac:dyDescent="0.45">
      <c r="I5915"/>
      <c r="J5915"/>
    </row>
    <row r="5916" spans="9:10" x14ac:dyDescent="0.45">
      <c r="I5916"/>
      <c r="J5916"/>
    </row>
    <row r="5917" spans="9:10" x14ac:dyDescent="0.45">
      <c r="I5917"/>
      <c r="J5917"/>
    </row>
    <row r="5918" spans="9:10" x14ac:dyDescent="0.45">
      <c r="I5918"/>
      <c r="J5918"/>
    </row>
    <row r="5919" spans="9:10" x14ac:dyDescent="0.45">
      <c r="I5919"/>
      <c r="J5919"/>
    </row>
    <row r="5920" spans="9:10" x14ac:dyDescent="0.45">
      <c r="I5920"/>
      <c r="J5920"/>
    </row>
    <row r="5921" spans="9:10" x14ac:dyDescent="0.45">
      <c r="I5921"/>
      <c r="J5921"/>
    </row>
    <row r="5922" spans="9:10" x14ac:dyDescent="0.45">
      <c r="I5922"/>
      <c r="J5922"/>
    </row>
    <row r="5923" spans="9:10" x14ac:dyDescent="0.45">
      <c r="I5923"/>
      <c r="J5923"/>
    </row>
    <row r="5924" spans="9:10" x14ac:dyDescent="0.45">
      <c r="I5924"/>
      <c r="J5924"/>
    </row>
    <row r="5925" spans="9:10" x14ac:dyDescent="0.45">
      <c r="I5925"/>
      <c r="J5925"/>
    </row>
    <row r="5926" spans="9:10" x14ac:dyDescent="0.45">
      <c r="I5926"/>
      <c r="J5926"/>
    </row>
    <row r="5927" spans="9:10" x14ac:dyDescent="0.45">
      <c r="I5927"/>
      <c r="J5927"/>
    </row>
    <row r="5928" spans="9:10" x14ac:dyDescent="0.45">
      <c r="I5928"/>
      <c r="J5928"/>
    </row>
    <row r="5929" spans="9:10" x14ac:dyDescent="0.45">
      <c r="I5929"/>
      <c r="J5929"/>
    </row>
    <row r="5930" spans="9:10" x14ac:dyDescent="0.45">
      <c r="I5930"/>
      <c r="J5930"/>
    </row>
    <row r="5931" spans="9:10" x14ac:dyDescent="0.45">
      <c r="I5931"/>
      <c r="J5931"/>
    </row>
    <row r="5932" spans="9:10" x14ac:dyDescent="0.45">
      <c r="I5932"/>
      <c r="J5932"/>
    </row>
    <row r="5933" spans="9:10" x14ac:dyDescent="0.45">
      <c r="I5933"/>
      <c r="J5933"/>
    </row>
    <row r="5934" spans="9:10" x14ac:dyDescent="0.45">
      <c r="I5934"/>
      <c r="J5934"/>
    </row>
    <row r="5935" spans="9:10" x14ac:dyDescent="0.45">
      <c r="I5935"/>
      <c r="J5935"/>
    </row>
    <row r="5936" spans="9:10" x14ac:dyDescent="0.45">
      <c r="I5936"/>
      <c r="J5936"/>
    </row>
    <row r="5937" spans="9:10" x14ac:dyDescent="0.45">
      <c r="I5937"/>
      <c r="J5937"/>
    </row>
    <row r="5938" spans="9:10" x14ac:dyDescent="0.45">
      <c r="I5938"/>
      <c r="J5938"/>
    </row>
    <row r="5939" spans="9:10" x14ac:dyDescent="0.45">
      <c r="I5939"/>
      <c r="J5939"/>
    </row>
    <row r="5940" spans="9:10" x14ac:dyDescent="0.45">
      <c r="I5940"/>
      <c r="J5940"/>
    </row>
    <row r="5941" spans="9:10" x14ac:dyDescent="0.45">
      <c r="I5941"/>
      <c r="J5941"/>
    </row>
    <row r="5942" spans="9:10" x14ac:dyDescent="0.45">
      <c r="I5942"/>
      <c r="J5942"/>
    </row>
    <row r="5943" spans="9:10" x14ac:dyDescent="0.45">
      <c r="I5943"/>
      <c r="J5943"/>
    </row>
    <row r="5944" spans="9:10" x14ac:dyDescent="0.45">
      <c r="I5944"/>
      <c r="J5944"/>
    </row>
    <row r="5945" spans="9:10" x14ac:dyDescent="0.45">
      <c r="I5945"/>
      <c r="J5945"/>
    </row>
    <row r="5946" spans="9:10" x14ac:dyDescent="0.45">
      <c r="I5946"/>
      <c r="J5946"/>
    </row>
    <row r="5947" spans="9:10" x14ac:dyDescent="0.45">
      <c r="I5947"/>
      <c r="J5947"/>
    </row>
    <row r="5948" spans="9:10" x14ac:dyDescent="0.45">
      <c r="I5948"/>
      <c r="J5948"/>
    </row>
    <row r="5949" spans="9:10" x14ac:dyDescent="0.45">
      <c r="I5949"/>
      <c r="J5949"/>
    </row>
    <row r="5950" spans="9:10" x14ac:dyDescent="0.45">
      <c r="I5950"/>
      <c r="J5950"/>
    </row>
    <row r="5951" spans="9:10" x14ac:dyDescent="0.45">
      <c r="I5951"/>
      <c r="J5951"/>
    </row>
    <row r="5952" spans="9:10" x14ac:dyDescent="0.45">
      <c r="I5952"/>
      <c r="J5952"/>
    </row>
    <row r="5953" spans="9:10" x14ac:dyDescent="0.45">
      <c r="I5953"/>
      <c r="J5953"/>
    </row>
    <row r="5954" spans="9:10" x14ac:dyDescent="0.45">
      <c r="I5954"/>
      <c r="J5954"/>
    </row>
    <row r="5955" spans="9:10" x14ac:dyDescent="0.45">
      <c r="I5955"/>
      <c r="J5955"/>
    </row>
    <row r="5956" spans="9:10" x14ac:dyDescent="0.45">
      <c r="I5956"/>
      <c r="J5956"/>
    </row>
    <row r="5957" spans="9:10" x14ac:dyDescent="0.45">
      <c r="I5957"/>
      <c r="J5957"/>
    </row>
    <row r="5958" spans="9:10" x14ac:dyDescent="0.45">
      <c r="I5958"/>
      <c r="J5958"/>
    </row>
    <row r="5959" spans="9:10" x14ac:dyDescent="0.45">
      <c r="I5959"/>
      <c r="J5959"/>
    </row>
    <row r="5960" spans="9:10" x14ac:dyDescent="0.45">
      <c r="I5960"/>
      <c r="J5960"/>
    </row>
    <row r="5961" spans="9:10" x14ac:dyDescent="0.45">
      <c r="I5961"/>
      <c r="J5961"/>
    </row>
    <row r="5962" spans="9:10" x14ac:dyDescent="0.45">
      <c r="I5962"/>
      <c r="J5962"/>
    </row>
    <row r="5963" spans="9:10" x14ac:dyDescent="0.45">
      <c r="I5963"/>
      <c r="J5963"/>
    </row>
    <row r="5964" spans="9:10" x14ac:dyDescent="0.45">
      <c r="I5964"/>
      <c r="J5964"/>
    </row>
    <row r="5965" spans="9:10" x14ac:dyDescent="0.45">
      <c r="I5965"/>
      <c r="J5965"/>
    </row>
    <row r="5966" spans="9:10" x14ac:dyDescent="0.45">
      <c r="I5966"/>
      <c r="J5966"/>
    </row>
    <row r="5967" spans="9:10" x14ac:dyDescent="0.45">
      <c r="I5967"/>
      <c r="J5967"/>
    </row>
    <row r="5968" spans="9:10" x14ac:dyDescent="0.45">
      <c r="I5968"/>
      <c r="J5968"/>
    </row>
    <row r="5969" spans="9:10" x14ac:dyDescent="0.45">
      <c r="I5969"/>
      <c r="J5969"/>
    </row>
    <row r="5970" spans="9:10" x14ac:dyDescent="0.45">
      <c r="I5970"/>
      <c r="J5970"/>
    </row>
    <row r="5971" spans="9:10" x14ac:dyDescent="0.45">
      <c r="I5971"/>
      <c r="J5971"/>
    </row>
    <row r="5972" spans="9:10" x14ac:dyDescent="0.45">
      <c r="I5972"/>
      <c r="J5972"/>
    </row>
    <row r="5973" spans="9:10" x14ac:dyDescent="0.45">
      <c r="I5973"/>
      <c r="J5973"/>
    </row>
    <row r="5974" spans="9:10" x14ac:dyDescent="0.45">
      <c r="I5974"/>
      <c r="J5974"/>
    </row>
    <row r="5975" spans="9:10" x14ac:dyDescent="0.45">
      <c r="I5975"/>
      <c r="J5975"/>
    </row>
    <row r="5976" spans="9:10" x14ac:dyDescent="0.45">
      <c r="I5976"/>
      <c r="J5976"/>
    </row>
    <row r="5977" spans="9:10" x14ac:dyDescent="0.45">
      <c r="I5977"/>
      <c r="J5977"/>
    </row>
    <row r="5978" spans="9:10" x14ac:dyDescent="0.45">
      <c r="I5978"/>
      <c r="J5978"/>
    </row>
    <row r="5979" spans="9:10" x14ac:dyDescent="0.45">
      <c r="I5979"/>
      <c r="J5979"/>
    </row>
    <row r="5980" spans="9:10" x14ac:dyDescent="0.45">
      <c r="I5980"/>
      <c r="J5980"/>
    </row>
    <row r="5981" spans="9:10" x14ac:dyDescent="0.45">
      <c r="I5981"/>
      <c r="J5981"/>
    </row>
    <row r="5982" spans="9:10" x14ac:dyDescent="0.45">
      <c r="I5982"/>
      <c r="J5982"/>
    </row>
    <row r="5983" spans="9:10" x14ac:dyDescent="0.45">
      <c r="I5983"/>
      <c r="J5983"/>
    </row>
    <row r="5984" spans="9:10" x14ac:dyDescent="0.45">
      <c r="I5984"/>
      <c r="J5984"/>
    </row>
    <row r="5985" spans="9:10" x14ac:dyDescent="0.45">
      <c r="I5985"/>
      <c r="J5985"/>
    </row>
    <row r="5986" spans="9:10" x14ac:dyDescent="0.45">
      <c r="I5986"/>
      <c r="J5986"/>
    </row>
    <row r="5987" spans="9:10" x14ac:dyDescent="0.45">
      <c r="I5987"/>
      <c r="J5987"/>
    </row>
    <row r="5988" spans="9:10" x14ac:dyDescent="0.45">
      <c r="I5988"/>
      <c r="J5988"/>
    </row>
    <row r="5989" spans="9:10" x14ac:dyDescent="0.45">
      <c r="I5989"/>
      <c r="J5989"/>
    </row>
    <row r="5990" spans="9:10" x14ac:dyDescent="0.45">
      <c r="I5990"/>
      <c r="J5990"/>
    </row>
    <row r="5991" spans="9:10" x14ac:dyDescent="0.45">
      <c r="I5991"/>
      <c r="J5991"/>
    </row>
    <row r="5992" spans="9:10" x14ac:dyDescent="0.45">
      <c r="I5992"/>
      <c r="J5992"/>
    </row>
    <row r="5993" spans="9:10" x14ac:dyDescent="0.45">
      <c r="I5993"/>
      <c r="J5993"/>
    </row>
    <row r="5994" spans="9:10" x14ac:dyDescent="0.45">
      <c r="I5994"/>
      <c r="J5994"/>
    </row>
    <row r="5995" spans="9:10" x14ac:dyDescent="0.45">
      <c r="I5995"/>
      <c r="J5995"/>
    </row>
    <row r="5996" spans="9:10" x14ac:dyDescent="0.45">
      <c r="I5996"/>
      <c r="J5996"/>
    </row>
    <row r="5997" spans="9:10" x14ac:dyDescent="0.45">
      <c r="I5997"/>
      <c r="J5997"/>
    </row>
    <row r="5998" spans="9:10" x14ac:dyDescent="0.45">
      <c r="I5998"/>
      <c r="J5998"/>
    </row>
    <row r="5999" spans="9:10" x14ac:dyDescent="0.45">
      <c r="I5999"/>
      <c r="J5999"/>
    </row>
    <row r="6000" spans="9:10" x14ac:dyDescent="0.45">
      <c r="I6000"/>
      <c r="J6000"/>
    </row>
    <row r="6001" spans="9:10" x14ac:dyDescent="0.45">
      <c r="I6001"/>
      <c r="J6001"/>
    </row>
    <row r="6002" spans="9:10" x14ac:dyDescent="0.45">
      <c r="I6002"/>
      <c r="J6002"/>
    </row>
    <row r="6003" spans="9:10" x14ac:dyDescent="0.45">
      <c r="I6003"/>
      <c r="J6003"/>
    </row>
    <row r="6004" spans="9:10" x14ac:dyDescent="0.45">
      <c r="I6004"/>
      <c r="J6004"/>
    </row>
    <row r="6005" spans="9:10" x14ac:dyDescent="0.45">
      <c r="I6005"/>
      <c r="J6005"/>
    </row>
    <row r="6006" spans="9:10" x14ac:dyDescent="0.45">
      <c r="I6006"/>
      <c r="J6006"/>
    </row>
    <row r="6007" spans="9:10" x14ac:dyDescent="0.45">
      <c r="I6007"/>
      <c r="J6007"/>
    </row>
    <row r="6008" spans="9:10" x14ac:dyDescent="0.45">
      <c r="I6008"/>
      <c r="J6008"/>
    </row>
    <row r="6009" spans="9:10" x14ac:dyDescent="0.45">
      <c r="I6009"/>
      <c r="J6009"/>
    </row>
    <row r="6010" spans="9:10" x14ac:dyDescent="0.45">
      <c r="I6010"/>
      <c r="J6010"/>
    </row>
    <row r="6011" spans="9:10" x14ac:dyDescent="0.45">
      <c r="I6011"/>
      <c r="J6011"/>
    </row>
    <row r="6012" spans="9:10" x14ac:dyDescent="0.45">
      <c r="I6012"/>
      <c r="J6012"/>
    </row>
    <row r="6013" spans="9:10" x14ac:dyDescent="0.45">
      <c r="I6013"/>
      <c r="J6013"/>
    </row>
    <row r="6014" spans="9:10" x14ac:dyDescent="0.45">
      <c r="I6014"/>
      <c r="J6014"/>
    </row>
    <row r="6015" spans="9:10" x14ac:dyDescent="0.45">
      <c r="I6015"/>
      <c r="J6015"/>
    </row>
    <row r="6016" spans="9:10" x14ac:dyDescent="0.45">
      <c r="I6016"/>
      <c r="J6016"/>
    </row>
    <row r="6017" spans="9:10" x14ac:dyDescent="0.45">
      <c r="I6017"/>
      <c r="J6017"/>
    </row>
    <row r="6018" spans="9:10" x14ac:dyDescent="0.45">
      <c r="I6018"/>
      <c r="J6018"/>
    </row>
    <row r="6019" spans="9:10" x14ac:dyDescent="0.45">
      <c r="I6019"/>
      <c r="J6019"/>
    </row>
    <row r="6020" spans="9:10" x14ac:dyDescent="0.45">
      <c r="I6020"/>
      <c r="J6020"/>
    </row>
    <row r="6021" spans="9:10" x14ac:dyDescent="0.45">
      <c r="I6021"/>
      <c r="J6021"/>
    </row>
    <row r="6022" spans="9:10" x14ac:dyDescent="0.45">
      <c r="I6022"/>
      <c r="J6022"/>
    </row>
    <row r="6023" spans="9:10" x14ac:dyDescent="0.45">
      <c r="I6023"/>
      <c r="J6023"/>
    </row>
    <row r="6024" spans="9:10" x14ac:dyDescent="0.45">
      <c r="I6024"/>
      <c r="J6024"/>
    </row>
    <row r="6025" spans="9:10" x14ac:dyDescent="0.45">
      <c r="I6025"/>
      <c r="J6025"/>
    </row>
    <row r="6026" spans="9:10" x14ac:dyDescent="0.45">
      <c r="I6026"/>
      <c r="J6026"/>
    </row>
    <row r="6027" spans="9:10" x14ac:dyDescent="0.45">
      <c r="I6027"/>
      <c r="J6027"/>
    </row>
    <row r="6028" spans="9:10" x14ac:dyDescent="0.45">
      <c r="I6028"/>
      <c r="J6028"/>
    </row>
    <row r="6029" spans="9:10" x14ac:dyDescent="0.45">
      <c r="I6029"/>
      <c r="J6029"/>
    </row>
    <row r="6030" spans="9:10" x14ac:dyDescent="0.45">
      <c r="I6030"/>
      <c r="J6030"/>
    </row>
    <row r="6031" spans="9:10" x14ac:dyDescent="0.45">
      <c r="I6031"/>
      <c r="J6031"/>
    </row>
    <row r="6032" spans="9:10" x14ac:dyDescent="0.45">
      <c r="I6032"/>
      <c r="J6032"/>
    </row>
    <row r="6033" spans="9:10" x14ac:dyDescent="0.45">
      <c r="I6033"/>
      <c r="J6033"/>
    </row>
    <row r="6034" spans="9:10" x14ac:dyDescent="0.45">
      <c r="I6034"/>
      <c r="J6034"/>
    </row>
    <row r="6035" spans="9:10" x14ac:dyDescent="0.45">
      <c r="I6035"/>
      <c r="J6035"/>
    </row>
    <row r="6036" spans="9:10" x14ac:dyDescent="0.45">
      <c r="I6036"/>
      <c r="J6036"/>
    </row>
    <row r="6037" spans="9:10" x14ac:dyDescent="0.45">
      <c r="I6037"/>
      <c r="J6037"/>
    </row>
    <row r="6038" spans="9:10" x14ac:dyDescent="0.45">
      <c r="I6038"/>
      <c r="J6038"/>
    </row>
    <row r="6039" spans="9:10" x14ac:dyDescent="0.45">
      <c r="I6039"/>
      <c r="J6039"/>
    </row>
    <row r="6040" spans="9:10" x14ac:dyDescent="0.45">
      <c r="I6040"/>
      <c r="J6040"/>
    </row>
    <row r="6041" spans="9:10" x14ac:dyDescent="0.45">
      <c r="I6041"/>
      <c r="J6041"/>
    </row>
    <row r="6042" spans="9:10" x14ac:dyDescent="0.45">
      <c r="I6042"/>
      <c r="J6042"/>
    </row>
    <row r="6043" spans="9:10" x14ac:dyDescent="0.45">
      <c r="I6043"/>
      <c r="J6043"/>
    </row>
    <row r="6044" spans="9:10" x14ac:dyDescent="0.45">
      <c r="I6044"/>
      <c r="J6044"/>
    </row>
    <row r="6045" spans="9:10" x14ac:dyDescent="0.45">
      <c r="I6045"/>
      <c r="J6045"/>
    </row>
    <row r="6046" spans="9:10" x14ac:dyDescent="0.45">
      <c r="I6046"/>
      <c r="J6046"/>
    </row>
    <row r="6047" spans="9:10" x14ac:dyDescent="0.45">
      <c r="I6047"/>
      <c r="J6047"/>
    </row>
    <row r="6048" spans="9:10" x14ac:dyDescent="0.45">
      <c r="I6048"/>
      <c r="J6048"/>
    </row>
    <row r="6049" spans="9:10" x14ac:dyDescent="0.45">
      <c r="I6049"/>
      <c r="J6049"/>
    </row>
    <row r="6050" spans="9:10" x14ac:dyDescent="0.45">
      <c r="I6050"/>
      <c r="J6050"/>
    </row>
    <row r="6051" spans="9:10" x14ac:dyDescent="0.45">
      <c r="I6051"/>
      <c r="J6051"/>
    </row>
    <row r="6052" spans="9:10" x14ac:dyDescent="0.45">
      <c r="I6052"/>
      <c r="J6052"/>
    </row>
    <row r="6053" spans="9:10" x14ac:dyDescent="0.45">
      <c r="I6053"/>
      <c r="J6053"/>
    </row>
    <row r="6054" spans="9:10" x14ac:dyDescent="0.45">
      <c r="I6054"/>
      <c r="J6054"/>
    </row>
    <row r="6055" spans="9:10" x14ac:dyDescent="0.45">
      <c r="I6055"/>
      <c r="J6055"/>
    </row>
    <row r="6056" spans="9:10" x14ac:dyDescent="0.45">
      <c r="I6056"/>
      <c r="J6056"/>
    </row>
    <row r="6057" spans="9:10" x14ac:dyDescent="0.45">
      <c r="I6057"/>
      <c r="J6057"/>
    </row>
    <row r="6058" spans="9:10" x14ac:dyDescent="0.45">
      <c r="I6058"/>
      <c r="J6058"/>
    </row>
    <row r="6059" spans="9:10" x14ac:dyDescent="0.45">
      <c r="I6059"/>
      <c r="J6059"/>
    </row>
    <row r="6060" spans="9:10" x14ac:dyDescent="0.45">
      <c r="I6060"/>
      <c r="J6060"/>
    </row>
    <row r="6061" spans="9:10" x14ac:dyDescent="0.45">
      <c r="I6061"/>
      <c r="J6061"/>
    </row>
    <row r="6062" spans="9:10" x14ac:dyDescent="0.45">
      <c r="I6062"/>
      <c r="J6062"/>
    </row>
    <row r="6063" spans="9:10" x14ac:dyDescent="0.45">
      <c r="I6063"/>
      <c r="J6063"/>
    </row>
    <row r="6064" spans="9:10" x14ac:dyDescent="0.45">
      <c r="I6064"/>
      <c r="J6064"/>
    </row>
    <row r="6065" spans="9:10" x14ac:dyDescent="0.45">
      <c r="I6065"/>
      <c r="J6065"/>
    </row>
    <row r="6066" spans="9:10" x14ac:dyDescent="0.45">
      <c r="I6066"/>
      <c r="J6066"/>
    </row>
    <row r="6067" spans="9:10" x14ac:dyDescent="0.45">
      <c r="I6067"/>
      <c r="J6067"/>
    </row>
    <row r="6068" spans="9:10" x14ac:dyDescent="0.45">
      <c r="I6068"/>
      <c r="J6068"/>
    </row>
    <row r="6069" spans="9:10" x14ac:dyDescent="0.45">
      <c r="I6069"/>
      <c r="J6069"/>
    </row>
    <row r="6070" spans="9:10" x14ac:dyDescent="0.45">
      <c r="I6070"/>
      <c r="J6070"/>
    </row>
    <row r="6071" spans="9:10" x14ac:dyDescent="0.45">
      <c r="I6071"/>
      <c r="J6071"/>
    </row>
    <row r="6072" spans="9:10" x14ac:dyDescent="0.45">
      <c r="I6072"/>
      <c r="J6072"/>
    </row>
    <row r="6073" spans="9:10" x14ac:dyDescent="0.45">
      <c r="I6073"/>
      <c r="J6073"/>
    </row>
    <row r="6074" spans="9:10" x14ac:dyDescent="0.45">
      <c r="I6074"/>
      <c r="J6074"/>
    </row>
    <row r="6075" spans="9:10" x14ac:dyDescent="0.45">
      <c r="I6075"/>
      <c r="J6075"/>
    </row>
    <row r="6076" spans="9:10" x14ac:dyDescent="0.45">
      <c r="I6076"/>
      <c r="J6076"/>
    </row>
    <row r="6077" spans="9:10" x14ac:dyDescent="0.45">
      <c r="I6077"/>
      <c r="J6077"/>
    </row>
    <row r="6078" spans="9:10" x14ac:dyDescent="0.45">
      <c r="I6078"/>
      <c r="J6078"/>
    </row>
    <row r="6079" spans="9:10" x14ac:dyDescent="0.45">
      <c r="I6079"/>
      <c r="J6079"/>
    </row>
    <row r="6080" spans="9:10" x14ac:dyDescent="0.45">
      <c r="I6080"/>
      <c r="J6080"/>
    </row>
    <row r="6081" spans="9:10" x14ac:dyDescent="0.45">
      <c r="I6081"/>
      <c r="J6081"/>
    </row>
    <row r="6082" spans="9:10" x14ac:dyDescent="0.45">
      <c r="I6082"/>
      <c r="J6082"/>
    </row>
    <row r="6083" spans="9:10" x14ac:dyDescent="0.45">
      <c r="I6083"/>
      <c r="J6083"/>
    </row>
    <row r="6084" spans="9:10" x14ac:dyDescent="0.45">
      <c r="I6084"/>
      <c r="J6084"/>
    </row>
    <row r="6085" spans="9:10" x14ac:dyDescent="0.45">
      <c r="I6085"/>
      <c r="J6085"/>
    </row>
    <row r="6086" spans="9:10" x14ac:dyDescent="0.45">
      <c r="I6086"/>
      <c r="J6086"/>
    </row>
    <row r="6087" spans="9:10" x14ac:dyDescent="0.45">
      <c r="I6087"/>
      <c r="J6087"/>
    </row>
    <row r="6088" spans="9:10" x14ac:dyDescent="0.45">
      <c r="I6088"/>
      <c r="J6088"/>
    </row>
    <row r="6089" spans="9:10" x14ac:dyDescent="0.45">
      <c r="I6089"/>
      <c r="J6089"/>
    </row>
    <row r="6090" spans="9:10" x14ac:dyDescent="0.45">
      <c r="I6090"/>
      <c r="J6090"/>
    </row>
    <row r="6091" spans="9:10" x14ac:dyDescent="0.45">
      <c r="I6091"/>
      <c r="J6091"/>
    </row>
    <row r="6092" spans="9:10" x14ac:dyDescent="0.45">
      <c r="I6092"/>
      <c r="J6092"/>
    </row>
    <row r="6093" spans="9:10" x14ac:dyDescent="0.45">
      <c r="I6093"/>
      <c r="J6093"/>
    </row>
    <row r="6094" spans="9:10" x14ac:dyDescent="0.45">
      <c r="I6094"/>
      <c r="J6094"/>
    </row>
    <row r="6095" spans="9:10" x14ac:dyDescent="0.45">
      <c r="I6095"/>
      <c r="J6095"/>
    </row>
    <row r="6096" spans="9:10" x14ac:dyDescent="0.45">
      <c r="I6096"/>
      <c r="J6096"/>
    </row>
    <row r="6097" spans="9:10" x14ac:dyDescent="0.45">
      <c r="I6097"/>
      <c r="J6097"/>
    </row>
    <row r="6098" spans="9:10" x14ac:dyDescent="0.45">
      <c r="I6098"/>
      <c r="J6098"/>
    </row>
    <row r="6099" spans="9:10" x14ac:dyDescent="0.45">
      <c r="I6099"/>
      <c r="J6099"/>
    </row>
    <row r="6100" spans="9:10" x14ac:dyDescent="0.45">
      <c r="I6100"/>
      <c r="J6100"/>
    </row>
    <row r="6101" spans="9:10" x14ac:dyDescent="0.45">
      <c r="I6101"/>
      <c r="J6101"/>
    </row>
    <row r="6102" spans="9:10" x14ac:dyDescent="0.45">
      <c r="I6102"/>
      <c r="J6102"/>
    </row>
    <row r="6103" spans="9:10" x14ac:dyDescent="0.45">
      <c r="I6103"/>
      <c r="J6103"/>
    </row>
    <row r="6104" spans="9:10" x14ac:dyDescent="0.45">
      <c r="I6104"/>
      <c r="J6104"/>
    </row>
    <row r="6105" spans="9:10" x14ac:dyDescent="0.45">
      <c r="I6105"/>
      <c r="J6105"/>
    </row>
    <row r="6106" spans="9:10" x14ac:dyDescent="0.45">
      <c r="I6106"/>
      <c r="J6106"/>
    </row>
    <row r="6107" spans="9:10" x14ac:dyDescent="0.45">
      <c r="I6107"/>
      <c r="J6107"/>
    </row>
    <row r="6108" spans="9:10" x14ac:dyDescent="0.45">
      <c r="I6108"/>
      <c r="J6108"/>
    </row>
    <row r="6109" spans="9:10" x14ac:dyDescent="0.45">
      <c r="I6109"/>
      <c r="J6109"/>
    </row>
    <row r="6110" spans="9:10" x14ac:dyDescent="0.45">
      <c r="I6110"/>
      <c r="J6110"/>
    </row>
    <row r="6111" spans="9:10" x14ac:dyDescent="0.45">
      <c r="I6111"/>
      <c r="J6111"/>
    </row>
    <row r="6112" spans="9:10" x14ac:dyDescent="0.45">
      <c r="I6112"/>
      <c r="J6112"/>
    </row>
    <row r="6113" spans="9:10" x14ac:dyDescent="0.45">
      <c r="I6113"/>
      <c r="J6113"/>
    </row>
    <row r="6114" spans="9:10" x14ac:dyDescent="0.45">
      <c r="I6114"/>
      <c r="J6114"/>
    </row>
    <row r="6115" spans="9:10" x14ac:dyDescent="0.45">
      <c r="I6115"/>
      <c r="J6115"/>
    </row>
    <row r="6116" spans="9:10" x14ac:dyDescent="0.45">
      <c r="I6116"/>
      <c r="J6116"/>
    </row>
    <row r="6117" spans="9:10" x14ac:dyDescent="0.45">
      <c r="I6117"/>
      <c r="J6117"/>
    </row>
    <row r="6118" spans="9:10" x14ac:dyDescent="0.45">
      <c r="I6118"/>
      <c r="J6118"/>
    </row>
    <row r="6119" spans="9:10" x14ac:dyDescent="0.45">
      <c r="I6119"/>
      <c r="J6119"/>
    </row>
    <row r="6120" spans="9:10" x14ac:dyDescent="0.45">
      <c r="I6120"/>
      <c r="J6120"/>
    </row>
    <row r="6121" spans="9:10" x14ac:dyDescent="0.45">
      <c r="I6121"/>
      <c r="J6121"/>
    </row>
    <row r="6122" spans="9:10" x14ac:dyDescent="0.45">
      <c r="I6122"/>
      <c r="J6122"/>
    </row>
    <row r="6123" spans="9:10" x14ac:dyDescent="0.45">
      <c r="I6123"/>
      <c r="J6123"/>
    </row>
    <row r="6124" spans="9:10" x14ac:dyDescent="0.45">
      <c r="I6124"/>
      <c r="J6124"/>
    </row>
    <row r="6125" spans="9:10" x14ac:dyDescent="0.45">
      <c r="I6125"/>
      <c r="J6125"/>
    </row>
    <row r="6126" spans="9:10" x14ac:dyDescent="0.45">
      <c r="I6126"/>
      <c r="J6126"/>
    </row>
    <row r="6127" spans="9:10" x14ac:dyDescent="0.45">
      <c r="I6127"/>
      <c r="J6127"/>
    </row>
    <row r="6128" spans="9:10" x14ac:dyDescent="0.45">
      <c r="I6128"/>
      <c r="J6128"/>
    </row>
    <row r="6129" spans="9:10" x14ac:dyDescent="0.45">
      <c r="I6129"/>
      <c r="J6129"/>
    </row>
    <row r="6130" spans="9:10" x14ac:dyDescent="0.45">
      <c r="I6130"/>
      <c r="J6130"/>
    </row>
    <row r="6131" spans="9:10" x14ac:dyDescent="0.45">
      <c r="I6131"/>
      <c r="J6131"/>
    </row>
    <row r="6132" spans="9:10" x14ac:dyDescent="0.45">
      <c r="I6132"/>
      <c r="J6132"/>
    </row>
    <row r="6133" spans="9:10" x14ac:dyDescent="0.45">
      <c r="I6133"/>
      <c r="J6133"/>
    </row>
    <row r="6134" spans="9:10" x14ac:dyDescent="0.45">
      <c r="I6134"/>
      <c r="J6134"/>
    </row>
    <row r="6135" spans="9:10" x14ac:dyDescent="0.45">
      <c r="I6135"/>
      <c r="J6135"/>
    </row>
    <row r="6136" spans="9:10" x14ac:dyDescent="0.45">
      <c r="I6136"/>
      <c r="J6136"/>
    </row>
    <row r="6137" spans="9:10" x14ac:dyDescent="0.45">
      <c r="I6137"/>
      <c r="J6137"/>
    </row>
    <row r="6138" spans="9:10" x14ac:dyDescent="0.45">
      <c r="I6138"/>
      <c r="J6138"/>
    </row>
    <row r="6139" spans="9:10" x14ac:dyDescent="0.45">
      <c r="I6139"/>
      <c r="J6139"/>
    </row>
    <row r="6140" spans="9:10" x14ac:dyDescent="0.45">
      <c r="I6140"/>
      <c r="J6140"/>
    </row>
    <row r="6141" spans="9:10" x14ac:dyDescent="0.45">
      <c r="I6141"/>
      <c r="J6141"/>
    </row>
    <row r="6142" spans="9:10" x14ac:dyDescent="0.45">
      <c r="I6142"/>
      <c r="J6142"/>
    </row>
    <row r="6143" spans="9:10" x14ac:dyDescent="0.45">
      <c r="I6143"/>
      <c r="J6143"/>
    </row>
    <row r="6144" spans="9:10" x14ac:dyDescent="0.45">
      <c r="I6144"/>
      <c r="J6144"/>
    </row>
    <row r="6145" spans="9:10" x14ac:dyDescent="0.45">
      <c r="I6145"/>
      <c r="J6145"/>
    </row>
    <row r="6146" spans="9:10" x14ac:dyDescent="0.45">
      <c r="I6146"/>
      <c r="J6146"/>
    </row>
    <row r="6147" spans="9:10" x14ac:dyDescent="0.45">
      <c r="I6147"/>
      <c r="J6147"/>
    </row>
    <row r="6148" spans="9:10" x14ac:dyDescent="0.45">
      <c r="I6148"/>
      <c r="J6148"/>
    </row>
    <row r="6149" spans="9:10" x14ac:dyDescent="0.45">
      <c r="I6149"/>
      <c r="J6149"/>
    </row>
    <row r="6150" spans="9:10" x14ac:dyDescent="0.45">
      <c r="I6150"/>
      <c r="J6150"/>
    </row>
    <row r="6151" spans="9:10" x14ac:dyDescent="0.45">
      <c r="I6151"/>
      <c r="J6151"/>
    </row>
    <row r="6152" spans="9:10" x14ac:dyDescent="0.45">
      <c r="I6152"/>
      <c r="J6152"/>
    </row>
    <row r="6153" spans="9:10" x14ac:dyDescent="0.45">
      <c r="I6153"/>
      <c r="J6153"/>
    </row>
    <row r="6154" spans="9:10" x14ac:dyDescent="0.45">
      <c r="I6154"/>
      <c r="J6154"/>
    </row>
    <row r="6155" spans="9:10" x14ac:dyDescent="0.45">
      <c r="I6155"/>
      <c r="J6155"/>
    </row>
    <row r="6156" spans="9:10" x14ac:dyDescent="0.45">
      <c r="I6156"/>
      <c r="J6156"/>
    </row>
    <row r="6157" spans="9:10" x14ac:dyDescent="0.45">
      <c r="I6157"/>
      <c r="J6157"/>
    </row>
    <row r="6158" spans="9:10" x14ac:dyDescent="0.45">
      <c r="I6158"/>
      <c r="J6158"/>
    </row>
    <row r="6159" spans="9:10" x14ac:dyDescent="0.45">
      <c r="I6159"/>
      <c r="J6159"/>
    </row>
    <row r="6160" spans="9:10" x14ac:dyDescent="0.45">
      <c r="I6160"/>
      <c r="J6160"/>
    </row>
    <row r="6161" spans="9:10" x14ac:dyDescent="0.45">
      <c r="I6161"/>
      <c r="J6161"/>
    </row>
    <row r="6162" spans="9:10" x14ac:dyDescent="0.45">
      <c r="I6162"/>
      <c r="J6162"/>
    </row>
    <row r="6163" spans="9:10" x14ac:dyDescent="0.45">
      <c r="I6163"/>
      <c r="J6163"/>
    </row>
    <row r="6164" spans="9:10" x14ac:dyDescent="0.45">
      <c r="I6164"/>
      <c r="J6164"/>
    </row>
    <row r="6165" spans="9:10" x14ac:dyDescent="0.45">
      <c r="I6165"/>
      <c r="J6165"/>
    </row>
    <row r="6166" spans="9:10" x14ac:dyDescent="0.45">
      <c r="I6166"/>
      <c r="J6166"/>
    </row>
    <row r="6167" spans="9:10" x14ac:dyDescent="0.45">
      <c r="I6167"/>
      <c r="J6167"/>
    </row>
    <row r="6168" spans="9:10" x14ac:dyDescent="0.45">
      <c r="I6168"/>
      <c r="J6168"/>
    </row>
    <row r="6169" spans="9:10" x14ac:dyDescent="0.45">
      <c r="I6169"/>
      <c r="J6169"/>
    </row>
    <row r="6170" spans="9:10" x14ac:dyDescent="0.45">
      <c r="I6170"/>
      <c r="J6170"/>
    </row>
    <row r="6171" spans="9:10" x14ac:dyDescent="0.45">
      <c r="I6171"/>
      <c r="J6171"/>
    </row>
    <row r="6172" spans="9:10" x14ac:dyDescent="0.45">
      <c r="I6172"/>
      <c r="J6172"/>
    </row>
    <row r="6173" spans="9:10" x14ac:dyDescent="0.45">
      <c r="I6173"/>
      <c r="J6173"/>
    </row>
    <row r="6174" spans="9:10" x14ac:dyDescent="0.45">
      <c r="I6174"/>
      <c r="J6174"/>
    </row>
    <row r="6175" spans="9:10" x14ac:dyDescent="0.45">
      <c r="I6175"/>
      <c r="J6175"/>
    </row>
    <row r="6176" spans="9:10" x14ac:dyDescent="0.45">
      <c r="I6176"/>
      <c r="J6176"/>
    </row>
    <row r="6177" spans="9:10" x14ac:dyDescent="0.45">
      <c r="I6177"/>
      <c r="J6177"/>
    </row>
    <row r="6178" spans="9:10" x14ac:dyDescent="0.45">
      <c r="I6178"/>
      <c r="J6178"/>
    </row>
    <row r="6179" spans="9:10" x14ac:dyDescent="0.45">
      <c r="I6179"/>
      <c r="J6179"/>
    </row>
    <row r="6180" spans="9:10" x14ac:dyDescent="0.45">
      <c r="I6180"/>
      <c r="J6180"/>
    </row>
    <row r="6181" spans="9:10" x14ac:dyDescent="0.45">
      <c r="I6181"/>
      <c r="J6181"/>
    </row>
    <row r="6182" spans="9:10" x14ac:dyDescent="0.45">
      <c r="I6182"/>
      <c r="J6182"/>
    </row>
    <row r="6183" spans="9:10" x14ac:dyDescent="0.45">
      <c r="I6183"/>
      <c r="J6183"/>
    </row>
    <row r="6184" spans="9:10" x14ac:dyDescent="0.45">
      <c r="I6184"/>
      <c r="J6184"/>
    </row>
    <row r="6185" spans="9:10" x14ac:dyDescent="0.45">
      <c r="I6185"/>
      <c r="J6185"/>
    </row>
    <row r="6186" spans="9:10" x14ac:dyDescent="0.45">
      <c r="I6186"/>
      <c r="J6186"/>
    </row>
    <row r="6187" spans="9:10" x14ac:dyDescent="0.45">
      <c r="I6187"/>
      <c r="J6187"/>
    </row>
    <row r="6188" spans="9:10" x14ac:dyDescent="0.45">
      <c r="I6188"/>
      <c r="J6188"/>
    </row>
    <row r="6189" spans="9:10" x14ac:dyDescent="0.45">
      <c r="I6189"/>
      <c r="J6189"/>
    </row>
    <row r="6190" spans="9:10" x14ac:dyDescent="0.45">
      <c r="I6190"/>
      <c r="J6190"/>
    </row>
    <row r="6191" spans="9:10" x14ac:dyDescent="0.45">
      <c r="I6191"/>
      <c r="J6191"/>
    </row>
    <row r="6192" spans="9:10" x14ac:dyDescent="0.45">
      <c r="I6192"/>
      <c r="J6192"/>
    </row>
    <row r="6193" spans="9:10" x14ac:dyDescent="0.45">
      <c r="I6193"/>
      <c r="J6193"/>
    </row>
    <row r="6194" spans="9:10" x14ac:dyDescent="0.45">
      <c r="I6194"/>
      <c r="J6194"/>
    </row>
    <row r="6195" spans="9:10" x14ac:dyDescent="0.45">
      <c r="I6195"/>
      <c r="J6195"/>
    </row>
    <row r="6196" spans="9:10" x14ac:dyDescent="0.45">
      <c r="I6196"/>
      <c r="J6196"/>
    </row>
    <row r="6197" spans="9:10" x14ac:dyDescent="0.45">
      <c r="I6197"/>
      <c r="J6197"/>
    </row>
    <row r="6198" spans="9:10" x14ac:dyDescent="0.45">
      <c r="I6198"/>
      <c r="J6198"/>
    </row>
    <row r="6199" spans="9:10" x14ac:dyDescent="0.45">
      <c r="I6199"/>
      <c r="J6199"/>
    </row>
    <row r="6200" spans="9:10" x14ac:dyDescent="0.45">
      <c r="I6200"/>
      <c r="J6200"/>
    </row>
    <row r="6201" spans="9:10" x14ac:dyDescent="0.45">
      <c r="I6201"/>
      <c r="J6201"/>
    </row>
    <row r="6202" spans="9:10" x14ac:dyDescent="0.45">
      <c r="I6202"/>
      <c r="J6202"/>
    </row>
    <row r="6203" spans="9:10" x14ac:dyDescent="0.45">
      <c r="I6203"/>
      <c r="J6203"/>
    </row>
    <row r="6204" spans="9:10" x14ac:dyDescent="0.45">
      <c r="I6204"/>
      <c r="J6204"/>
    </row>
    <row r="6205" spans="9:10" x14ac:dyDescent="0.45">
      <c r="I6205"/>
      <c r="J6205"/>
    </row>
    <row r="6206" spans="9:10" x14ac:dyDescent="0.45">
      <c r="I6206"/>
      <c r="J6206"/>
    </row>
    <row r="6207" spans="9:10" x14ac:dyDescent="0.45">
      <c r="I6207"/>
      <c r="J6207"/>
    </row>
    <row r="6208" spans="9:10" x14ac:dyDescent="0.45">
      <c r="I6208"/>
      <c r="J6208"/>
    </row>
    <row r="6209" spans="9:10" x14ac:dyDescent="0.45">
      <c r="I6209"/>
      <c r="J6209"/>
    </row>
    <row r="6210" spans="9:10" x14ac:dyDescent="0.45">
      <c r="I6210"/>
      <c r="J6210"/>
    </row>
    <row r="6211" spans="9:10" x14ac:dyDescent="0.45">
      <c r="I6211"/>
      <c r="J6211"/>
    </row>
    <row r="6212" spans="9:10" x14ac:dyDescent="0.45">
      <c r="I6212"/>
      <c r="J6212"/>
    </row>
    <row r="6213" spans="9:10" x14ac:dyDescent="0.45">
      <c r="I6213"/>
      <c r="J6213"/>
    </row>
    <row r="6214" spans="9:10" x14ac:dyDescent="0.45">
      <c r="I6214"/>
      <c r="J6214"/>
    </row>
    <row r="6215" spans="9:10" x14ac:dyDescent="0.45">
      <c r="I6215"/>
      <c r="J6215"/>
    </row>
    <row r="6216" spans="9:10" x14ac:dyDescent="0.45">
      <c r="I6216"/>
      <c r="J6216"/>
    </row>
    <row r="6217" spans="9:10" x14ac:dyDescent="0.45">
      <c r="I6217"/>
      <c r="J6217"/>
    </row>
    <row r="6218" spans="9:10" x14ac:dyDescent="0.45">
      <c r="I6218"/>
      <c r="J6218"/>
    </row>
    <row r="6219" spans="9:10" x14ac:dyDescent="0.45">
      <c r="I6219"/>
      <c r="J6219"/>
    </row>
    <row r="6220" spans="9:10" x14ac:dyDescent="0.45">
      <c r="I6220"/>
      <c r="J6220"/>
    </row>
    <row r="6221" spans="9:10" x14ac:dyDescent="0.45">
      <c r="I6221"/>
      <c r="J6221"/>
    </row>
    <row r="6222" spans="9:10" x14ac:dyDescent="0.45">
      <c r="I6222"/>
      <c r="J6222"/>
    </row>
    <row r="6223" spans="9:10" x14ac:dyDescent="0.45">
      <c r="I6223"/>
      <c r="J6223"/>
    </row>
    <row r="6224" spans="9:10" x14ac:dyDescent="0.45">
      <c r="I6224"/>
      <c r="J6224"/>
    </row>
    <row r="6225" spans="9:10" x14ac:dyDescent="0.45">
      <c r="I6225"/>
      <c r="J6225"/>
    </row>
    <row r="6226" spans="9:10" x14ac:dyDescent="0.45">
      <c r="I6226"/>
      <c r="J6226"/>
    </row>
    <row r="6227" spans="9:10" x14ac:dyDescent="0.45">
      <c r="I6227"/>
      <c r="J6227"/>
    </row>
    <row r="6228" spans="9:10" x14ac:dyDescent="0.45">
      <c r="I6228"/>
      <c r="J6228"/>
    </row>
    <row r="6229" spans="9:10" x14ac:dyDescent="0.45">
      <c r="I6229"/>
      <c r="J6229"/>
    </row>
    <row r="6230" spans="9:10" x14ac:dyDescent="0.45">
      <c r="I6230"/>
      <c r="J6230"/>
    </row>
    <row r="6231" spans="9:10" x14ac:dyDescent="0.45">
      <c r="I6231"/>
      <c r="J6231"/>
    </row>
    <row r="6232" spans="9:10" x14ac:dyDescent="0.45">
      <c r="I6232"/>
      <c r="J6232"/>
    </row>
    <row r="6233" spans="9:10" x14ac:dyDescent="0.45">
      <c r="I6233"/>
      <c r="J6233"/>
    </row>
    <row r="6234" spans="9:10" x14ac:dyDescent="0.45">
      <c r="I6234"/>
      <c r="J6234"/>
    </row>
    <row r="6235" spans="9:10" x14ac:dyDescent="0.45">
      <c r="I6235"/>
      <c r="J6235"/>
    </row>
    <row r="6236" spans="9:10" x14ac:dyDescent="0.45">
      <c r="I6236"/>
      <c r="J6236"/>
    </row>
    <row r="6237" spans="9:10" x14ac:dyDescent="0.45">
      <c r="I6237"/>
      <c r="J6237"/>
    </row>
    <row r="6238" spans="9:10" x14ac:dyDescent="0.45">
      <c r="I6238"/>
      <c r="J6238"/>
    </row>
    <row r="6239" spans="9:10" x14ac:dyDescent="0.45">
      <c r="I6239"/>
      <c r="J6239"/>
    </row>
    <row r="6240" spans="9:10" x14ac:dyDescent="0.45">
      <c r="I6240"/>
      <c r="J6240"/>
    </row>
    <row r="6241" spans="9:10" x14ac:dyDescent="0.45">
      <c r="I6241"/>
      <c r="J6241"/>
    </row>
    <row r="6242" spans="9:10" x14ac:dyDescent="0.45">
      <c r="I6242"/>
      <c r="J6242"/>
    </row>
    <row r="6243" spans="9:10" x14ac:dyDescent="0.45">
      <c r="I6243"/>
      <c r="J6243"/>
    </row>
    <row r="6244" spans="9:10" x14ac:dyDescent="0.45">
      <c r="I6244"/>
      <c r="J6244"/>
    </row>
    <row r="6245" spans="9:10" x14ac:dyDescent="0.45">
      <c r="I6245"/>
      <c r="J6245"/>
    </row>
    <row r="6246" spans="9:10" x14ac:dyDescent="0.45">
      <c r="I6246"/>
      <c r="J6246"/>
    </row>
    <row r="6247" spans="9:10" x14ac:dyDescent="0.45">
      <c r="I6247"/>
      <c r="J6247"/>
    </row>
    <row r="6248" spans="9:10" x14ac:dyDescent="0.45">
      <c r="I6248"/>
      <c r="J6248"/>
    </row>
    <row r="6249" spans="9:10" x14ac:dyDescent="0.45">
      <c r="I6249"/>
      <c r="J6249"/>
    </row>
    <row r="6250" spans="9:10" x14ac:dyDescent="0.45">
      <c r="I6250"/>
      <c r="J6250"/>
    </row>
    <row r="6251" spans="9:10" x14ac:dyDescent="0.45">
      <c r="I6251"/>
      <c r="J6251"/>
    </row>
    <row r="6252" spans="9:10" x14ac:dyDescent="0.45">
      <c r="I6252"/>
      <c r="J6252"/>
    </row>
    <row r="6253" spans="9:10" x14ac:dyDescent="0.45">
      <c r="I6253"/>
      <c r="J6253"/>
    </row>
    <row r="6254" spans="9:10" x14ac:dyDescent="0.45">
      <c r="I6254"/>
      <c r="J6254"/>
    </row>
    <row r="6255" spans="9:10" x14ac:dyDescent="0.45">
      <c r="I6255"/>
      <c r="J6255"/>
    </row>
    <row r="6256" spans="9:10" x14ac:dyDescent="0.45">
      <c r="I6256"/>
      <c r="J6256"/>
    </row>
    <row r="6257" spans="9:10" x14ac:dyDescent="0.45">
      <c r="I6257"/>
      <c r="J6257"/>
    </row>
    <row r="6258" spans="9:10" x14ac:dyDescent="0.45">
      <c r="I6258"/>
      <c r="J6258"/>
    </row>
    <row r="6259" spans="9:10" x14ac:dyDescent="0.45">
      <c r="I6259"/>
      <c r="J6259"/>
    </row>
    <row r="6260" spans="9:10" x14ac:dyDescent="0.45">
      <c r="I6260"/>
      <c r="J6260"/>
    </row>
    <row r="6261" spans="9:10" x14ac:dyDescent="0.45">
      <c r="I6261"/>
      <c r="J6261"/>
    </row>
    <row r="6262" spans="9:10" x14ac:dyDescent="0.45">
      <c r="I6262"/>
      <c r="J6262"/>
    </row>
    <row r="6263" spans="9:10" x14ac:dyDescent="0.45">
      <c r="I6263"/>
      <c r="J6263"/>
    </row>
    <row r="6264" spans="9:10" x14ac:dyDescent="0.45">
      <c r="I6264"/>
      <c r="J6264"/>
    </row>
    <row r="6265" spans="9:10" x14ac:dyDescent="0.45">
      <c r="I6265"/>
      <c r="J6265"/>
    </row>
    <row r="6266" spans="9:10" x14ac:dyDescent="0.45">
      <c r="I6266"/>
      <c r="J6266"/>
    </row>
    <row r="6267" spans="9:10" x14ac:dyDescent="0.45">
      <c r="I6267"/>
      <c r="J6267"/>
    </row>
    <row r="6268" spans="9:10" x14ac:dyDescent="0.45">
      <c r="I6268"/>
      <c r="J6268"/>
    </row>
    <row r="6269" spans="9:10" x14ac:dyDescent="0.45">
      <c r="I6269"/>
      <c r="J6269"/>
    </row>
    <row r="6270" spans="9:10" x14ac:dyDescent="0.45">
      <c r="I6270"/>
      <c r="J6270"/>
    </row>
    <row r="6271" spans="9:10" x14ac:dyDescent="0.45">
      <c r="I6271"/>
      <c r="J6271"/>
    </row>
    <row r="6272" spans="9:10" x14ac:dyDescent="0.45">
      <c r="I6272"/>
      <c r="J6272"/>
    </row>
    <row r="6273" spans="9:10" x14ac:dyDescent="0.45">
      <c r="I6273"/>
      <c r="J6273"/>
    </row>
    <row r="6274" spans="9:10" x14ac:dyDescent="0.45">
      <c r="I6274"/>
      <c r="J6274"/>
    </row>
    <row r="6275" spans="9:10" x14ac:dyDescent="0.45">
      <c r="I6275"/>
      <c r="J6275"/>
    </row>
    <row r="6276" spans="9:10" x14ac:dyDescent="0.45">
      <c r="I6276"/>
      <c r="J6276"/>
    </row>
    <row r="6277" spans="9:10" x14ac:dyDescent="0.45">
      <c r="I6277"/>
      <c r="J6277"/>
    </row>
    <row r="6278" spans="9:10" x14ac:dyDescent="0.45">
      <c r="I6278"/>
      <c r="J6278"/>
    </row>
    <row r="6279" spans="9:10" x14ac:dyDescent="0.45">
      <c r="I6279"/>
      <c r="J6279"/>
    </row>
    <row r="6280" spans="9:10" x14ac:dyDescent="0.45">
      <c r="I6280"/>
      <c r="J6280"/>
    </row>
    <row r="6281" spans="9:10" x14ac:dyDescent="0.45">
      <c r="I6281"/>
      <c r="J6281"/>
    </row>
    <row r="6282" spans="9:10" x14ac:dyDescent="0.45">
      <c r="I6282"/>
      <c r="J6282"/>
    </row>
    <row r="6283" spans="9:10" x14ac:dyDescent="0.45">
      <c r="I6283"/>
      <c r="J6283"/>
    </row>
    <row r="6284" spans="9:10" x14ac:dyDescent="0.45">
      <c r="I6284"/>
      <c r="J6284"/>
    </row>
    <row r="6285" spans="9:10" x14ac:dyDescent="0.45">
      <c r="I6285"/>
      <c r="J6285"/>
    </row>
    <row r="6286" spans="9:10" x14ac:dyDescent="0.45">
      <c r="I6286"/>
      <c r="J6286"/>
    </row>
    <row r="6287" spans="9:10" x14ac:dyDescent="0.45">
      <c r="I6287"/>
      <c r="J6287"/>
    </row>
    <row r="6288" spans="9:10" x14ac:dyDescent="0.45">
      <c r="I6288"/>
      <c r="J6288"/>
    </row>
    <row r="6289" spans="9:10" x14ac:dyDescent="0.45">
      <c r="I6289"/>
      <c r="J6289"/>
    </row>
    <row r="6290" spans="9:10" x14ac:dyDescent="0.45">
      <c r="I6290"/>
      <c r="J6290"/>
    </row>
    <row r="6291" spans="9:10" x14ac:dyDescent="0.45">
      <c r="I6291"/>
      <c r="J6291"/>
    </row>
    <row r="6292" spans="9:10" x14ac:dyDescent="0.45">
      <c r="I6292"/>
      <c r="J6292"/>
    </row>
    <row r="6293" spans="9:10" x14ac:dyDescent="0.45">
      <c r="I6293"/>
      <c r="J6293"/>
    </row>
    <row r="6294" spans="9:10" x14ac:dyDescent="0.45">
      <c r="I6294"/>
      <c r="J6294"/>
    </row>
    <row r="6295" spans="9:10" x14ac:dyDescent="0.45">
      <c r="I6295"/>
      <c r="J6295"/>
    </row>
    <row r="6296" spans="9:10" x14ac:dyDescent="0.45">
      <c r="I6296"/>
      <c r="J6296"/>
    </row>
    <row r="6297" spans="9:10" x14ac:dyDescent="0.45">
      <c r="I6297"/>
      <c r="J6297"/>
    </row>
    <row r="6298" spans="9:10" x14ac:dyDescent="0.45">
      <c r="I6298"/>
      <c r="J6298"/>
    </row>
    <row r="6299" spans="9:10" x14ac:dyDescent="0.45">
      <c r="I6299"/>
      <c r="J6299"/>
    </row>
    <row r="6300" spans="9:10" x14ac:dyDescent="0.45">
      <c r="I6300"/>
      <c r="J6300"/>
    </row>
    <row r="6301" spans="9:10" x14ac:dyDescent="0.45">
      <c r="I6301"/>
      <c r="J6301"/>
    </row>
    <row r="6302" spans="9:10" x14ac:dyDescent="0.45">
      <c r="I6302"/>
      <c r="J6302"/>
    </row>
    <row r="6303" spans="9:10" x14ac:dyDescent="0.45">
      <c r="I6303"/>
      <c r="J6303"/>
    </row>
    <row r="6304" spans="9:10" x14ac:dyDescent="0.45">
      <c r="I6304"/>
      <c r="J6304"/>
    </row>
    <row r="6305" spans="9:10" x14ac:dyDescent="0.45">
      <c r="I6305"/>
      <c r="J6305"/>
    </row>
    <row r="6306" spans="9:10" x14ac:dyDescent="0.45">
      <c r="I6306"/>
      <c r="J6306"/>
    </row>
    <row r="6307" spans="9:10" x14ac:dyDescent="0.45">
      <c r="I6307"/>
      <c r="J6307"/>
    </row>
    <row r="6308" spans="9:10" x14ac:dyDescent="0.45">
      <c r="I6308"/>
      <c r="J6308"/>
    </row>
    <row r="6309" spans="9:10" x14ac:dyDescent="0.45">
      <c r="I6309"/>
      <c r="J6309"/>
    </row>
    <row r="6310" spans="9:10" x14ac:dyDescent="0.45">
      <c r="I6310"/>
      <c r="J6310"/>
    </row>
    <row r="6311" spans="9:10" x14ac:dyDescent="0.45">
      <c r="I6311"/>
      <c r="J6311"/>
    </row>
    <row r="6312" spans="9:10" x14ac:dyDescent="0.45">
      <c r="I6312"/>
      <c r="J6312"/>
    </row>
    <row r="6313" spans="9:10" x14ac:dyDescent="0.45">
      <c r="I6313"/>
      <c r="J6313"/>
    </row>
    <row r="6314" spans="9:10" x14ac:dyDescent="0.45">
      <c r="I6314"/>
      <c r="J6314"/>
    </row>
    <row r="6315" spans="9:10" x14ac:dyDescent="0.45">
      <c r="I6315"/>
      <c r="J6315"/>
    </row>
    <row r="6316" spans="9:10" x14ac:dyDescent="0.45">
      <c r="I6316"/>
      <c r="J6316"/>
    </row>
    <row r="6317" spans="9:10" x14ac:dyDescent="0.45">
      <c r="I6317"/>
      <c r="J6317"/>
    </row>
    <row r="6318" spans="9:10" x14ac:dyDescent="0.45">
      <c r="I6318"/>
      <c r="J6318"/>
    </row>
    <row r="6319" spans="9:10" x14ac:dyDescent="0.45">
      <c r="I6319"/>
      <c r="J6319"/>
    </row>
    <row r="6320" spans="9:10" x14ac:dyDescent="0.45">
      <c r="I6320"/>
      <c r="J6320"/>
    </row>
    <row r="6321" spans="9:10" x14ac:dyDescent="0.45">
      <c r="I6321"/>
      <c r="J6321"/>
    </row>
    <row r="6322" spans="9:10" x14ac:dyDescent="0.45">
      <c r="I6322"/>
      <c r="J6322"/>
    </row>
    <row r="6323" spans="9:10" x14ac:dyDescent="0.45">
      <c r="I6323"/>
      <c r="J6323"/>
    </row>
    <row r="6324" spans="9:10" x14ac:dyDescent="0.45">
      <c r="I6324"/>
      <c r="J6324"/>
    </row>
    <row r="6325" spans="9:10" x14ac:dyDescent="0.45">
      <c r="I6325"/>
      <c r="J6325"/>
    </row>
    <row r="6326" spans="9:10" x14ac:dyDescent="0.45">
      <c r="I6326"/>
      <c r="J6326"/>
    </row>
    <row r="6327" spans="9:10" x14ac:dyDescent="0.45">
      <c r="I6327"/>
      <c r="J6327"/>
    </row>
    <row r="6328" spans="9:10" x14ac:dyDescent="0.45">
      <c r="I6328"/>
      <c r="J6328"/>
    </row>
    <row r="6329" spans="9:10" x14ac:dyDescent="0.45">
      <c r="I6329"/>
      <c r="J6329"/>
    </row>
    <row r="6330" spans="9:10" x14ac:dyDescent="0.45">
      <c r="I6330"/>
      <c r="J6330"/>
    </row>
    <row r="6331" spans="9:10" x14ac:dyDescent="0.45">
      <c r="I6331"/>
      <c r="J6331"/>
    </row>
    <row r="6332" spans="9:10" x14ac:dyDescent="0.45">
      <c r="I6332"/>
      <c r="J6332"/>
    </row>
    <row r="6333" spans="9:10" x14ac:dyDescent="0.45">
      <c r="I6333"/>
      <c r="J6333"/>
    </row>
    <row r="6334" spans="9:10" x14ac:dyDescent="0.45">
      <c r="I6334"/>
      <c r="J6334"/>
    </row>
    <row r="6335" spans="9:10" x14ac:dyDescent="0.45">
      <c r="I6335"/>
      <c r="J6335"/>
    </row>
    <row r="6336" spans="9:10" x14ac:dyDescent="0.45">
      <c r="I6336"/>
      <c r="J6336"/>
    </row>
    <row r="6337" spans="9:10" x14ac:dyDescent="0.45">
      <c r="I6337"/>
      <c r="J6337"/>
    </row>
    <row r="6338" spans="9:10" x14ac:dyDescent="0.45">
      <c r="I6338"/>
      <c r="J6338"/>
    </row>
    <row r="6339" spans="9:10" x14ac:dyDescent="0.45">
      <c r="I6339"/>
      <c r="J6339"/>
    </row>
    <row r="6340" spans="9:10" x14ac:dyDescent="0.45">
      <c r="I6340"/>
      <c r="J6340"/>
    </row>
    <row r="6341" spans="9:10" x14ac:dyDescent="0.45">
      <c r="I6341"/>
      <c r="J6341"/>
    </row>
    <row r="6342" spans="9:10" x14ac:dyDescent="0.45">
      <c r="I6342"/>
      <c r="J6342"/>
    </row>
    <row r="6343" spans="9:10" x14ac:dyDescent="0.45">
      <c r="I6343"/>
      <c r="J6343"/>
    </row>
    <row r="6344" spans="9:10" x14ac:dyDescent="0.45">
      <c r="I6344"/>
      <c r="J6344"/>
    </row>
    <row r="6345" spans="9:10" x14ac:dyDescent="0.45">
      <c r="I6345"/>
      <c r="J6345"/>
    </row>
    <row r="6346" spans="9:10" x14ac:dyDescent="0.45">
      <c r="I6346"/>
      <c r="J6346"/>
    </row>
    <row r="6347" spans="9:10" x14ac:dyDescent="0.45">
      <c r="I6347"/>
      <c r="J6347"/>
    </row>
    <row r="6348" spans="9:10" x14ac:dyDescent="0.45">
      <c r="I6348"/>
      <c r="J6348"/>
    </row>
    <row r="6349" spans="9:10" x14ac:dyDescent="0.45">
      <c r="I6349"/>
      <c r="J6349"/>
    </row>
    <row r="6350" spans="9:10" x14ac:dyDescent="0.45">
      <c r="I6350"/>
      <c r="J6350"/>
    </row>
    <row r="6351" spans="9:10" x14ac:dyDescent="0.45">
      <c r="I6351"/>
      <c r="J6351"/>
    </row>
    <row r="6352" spans="9:10" x14ac:dyDescent="0.45">
      <c r="I6352"/>
      <c r="J6352"/>
    </row>
    <row r="6353" spans="9:10" x14ac:dyDescent="0.45">
      <c r="I6353"/>
      <c r="J6353"/>
    </row>
    <row r="6354" spans="9:10" x14ac:dyDescent="0.45">
      <c r="I6354"/>
      <c r="J6354"/>
    </row>
    <row r="6355" spans="9:10" x14ac:dyDescent="0.45">
      <c r="I6355"/>
      <c r="J6355"/>
    </row>
    <row r="6356" spans="9:10" x14ac:dyDescent="0.45">
      <c r="I6356"/>
      <c r="J6356"/>
    </row>
    <row r="6357" spans="9:10" x14ac:dyDescent="0.45">
      <c r="I6357"/>
      <c r="J6357"/>
    </row>
    <row r="6358" spans="9:10" x14ac:dyDescent="0.45">
      <c r="I6358"/>
      <c r="J6358"/>
    </row>
    <row r="6359" spans="9:10" x14ac:dyDescent="0.45">
      <c r="I6359"/>
      <c r="J6359"/>
    </row>
    <row r="6360" spans="9:10" x14ac:dyDescent="0.45">
      <c r="I6360"/>
      <c r="J6360"/>
    </row>
    <row r="6361" spans="9:10" x14ac:dyDescent="0.45">
      <c r="I6361"/>
      <c r="J6361"/>
    </row>
    <row r="6362" spans="9:10" x14ac:dyDescent="0.45">
      <c r="I6362"/>
      <c r="J6362"/>
    </row>
    <row r="6363" spans="9:10" x14ac:dyDescent="0.45">
      <c r="I6363"/>
      <c r="J6363"/>
    </row>
    <row r="6364" spans="9:10" x14ac:dyDescent="0.45">
      <c r="I6364"/>
      <c r="J6364"/>
    </row>
    <row r="6365" spans="9:10" x14ac:dyDescent="0.45">
      <c r="I6365"/>
      <c r="J6365"/>
    </row>
    <row r="6366" spans="9:10" x14ac:dyDescent="0.45">
      <c r="I6366"/>
      <c r="J6366"/>
    </row>
    <row r="6367" spans="9:10" x14ac:dyDescent="0.45">
      <c r="I6367"/>
      <c r="J6367"/>
    </row>
    <row r="6368" spans="9:10" x14ac:dyDescent="0.45">
      <c r="I6368"/>
      <c r="J6368"/>
    </row>
    <row r="6369" spans="9:10" x14ac:dyDescent="0.45">
      <c r="I6369"/>
      <c r="J6369"/>
    </row>
    <row r="6370" spans="9:10" x14ac:dyDescent="0.45">
      <c r="I6370"/>
      <c r="J6370"/>
    </row>
    <row r="6371" spans="9:10" x14ac:dyDescent="0.45">
      <c r="I6371"/>
      <c r="J6371"/>
    </row>
    <row r="6372" spans="9:10" x14ac:dyDescent="0.45">
      <c r="I6372"/>
      <c r="J6372"/>
    </row>
    <row r="6373" spans="9:10" x14ac:dyDescent="0.45">
      <c r="I6373"/>
      <c r="J6373"/>
    </row>
    <row r="6374" spans="9:10" x14ac:dyDescent="0.45">
      <c r="I6374"/>
      <c r="J6374"/>
    </row>
    <row r="6375" spans="9:10" x14ac:dyDescent="0.45">
      <c r="I6375"/>
      <c r="J6375"/>
    </row>
    <row r="6376" spans="9:10" x14ac:dyDescent="0.45">
      <c r="I6376"/>
      <c r="J6376"/>
    </row>
    <row r="6377" spans="9:10" x14ac:dyDescent="0.45">
      <c r="I6377"/>
      <c r="J6377"/>
    </row>
    <row r="6378" spans="9:10" x14ac:dyDescent="0.45">
      <c r="I6378"/>
      <c r="J6378"/>
    </row>
    <row r="6379" spans="9:10" x14ac:dyDescent="0.45">
      <c r="I6379"/>
      <c r="J6379"/>
    </row>
    <row r="6380" spans="9:10" x14ac:dyDescent="0.45">
      <c r="I6380"/>
      <c r="J6380"/>
    </row>
    <row r="6381" spans="9:10" x14ac:dyDescent="0.45">
      <c r="I6381"/>
      <c r="J6381"/>
    </row>
    <row r="6382" spans="9:10" x14ac:dyDescent="0.45">
      <c r="I6382"/>
      <c r="J6382"/>
    </row>
    <row r="6383" spans="9:10" x14ac:dyDescent="0.45">
      <c r="I6383"/>
      <c r="J6383"/>
    </row>
    <row r="6384" spans="9:10" x14ac:dyDescent="0.45">
      <c r="I6384"/>
      <c r="J6384"/>
    </row>
    <row r="6385" spans="9:10" x14ac:dyDescent="0.45">
      <c r="I6385"/>
      <c r="J6385"/>
    </row>
    <row r="6386" spans="9:10" x14ac:dyDescent="0.45">
      <c r="I6386"/>
      <c r="J6386"/>
    </row>
    <row r="6387" spans="9:10" x14ac:dyDescent="0.45">
      <c r="I6387"/>
      <c r="J6387"/>
    </row>
    <row r="6388" spans="9:10" x14ac:dyDescent="0.45">
      <c r="I6388"/>
      <c r="J6388"/>
    </row>
    <row r="6389" spans="9:10" x14ac:dyDescent="0.45">
      <c r="I6389"/>
      <c r="J6389"/>
    </row>
    <row r="6390" spans="9:10" x14ac:dyDescent="0.45">
      <c r="I6390"/>
      <c r="J6390"/>
    </row>
    <row r="6391" spans="9:10" x14ac:dyDescent="0.45">
      <c r="I6391"/>
      <c r="J6391"/>
    </row>
    <row r="6392" spans="9:10" x14ac:dyDescent="0.45">
      <c r="I6392"/>
      <c r="J6392"/>
    </row>
    <row r="6393" spans="9:10" x14ac:dyDescent="0.45">
      <c r="I6393"/>
      <c r="J6393"/>
    </row>
    <row r="6394" spans="9:10" x14ac:dyDescent="0.45">
      <c r="I6394"/>
      <c r="J6394"/>
    </row>
    <row r="6395" spans="9:10" x14ac:dyDescent="0.45">
      <c r="I6395"/>
      <c r="J6395"/>
    </row>
    <row r="6396" spans="9:10" x14ac:dyDescent="0.45">
      <c r="I6396"/>
      <c r="J6396"/>
    </row>
    <row r="6397" spans="9:10" x14ac:dyDescent="0.45">
      <c r="I6397"/>
      <c r="J6397"/>
    </row>
    <row r="6398" spans="9:10" x14ac:dyDescent="0.45">
      <c r="I6398"/>
      <c r="J6398"/>
    </row>
    <row r="6399" spans="9:10" x14ac:dyDescent="0.45">
      <c r="I6399"/>
      <c r="J6399"/>
    </row>
    <row r="6400" spans="9:10" x14ac:dyDescent="0.45">
      <c r="I6400"/>
      <c r="J6400"/>
    </row>
    <row r="6401" spans="9:10" x14ac:dyDescent="0.45">
      <c r="I6401"/>
      <c r="J6401"/>
    </row>
    <row r="6402" spans="9:10" x14ac:dyDescent="0.45">
      <c r="I6402"/>
      <c r="J6402"/>
    </row>
    <row r="6403" spans="9:10" x14ac:dyDescent="0.45">
      <c r="I6403"/>
      <c r="J6403"/>
    </row>
    <row r="6404" spans="9:10" x14ac:dyDescent="0.45">
      <c r="I6404"/>
      <c r="J6404"/>
    </row>
    <row r="6405" spans="9:10" x14ac:dyDescent="0.45">
      <c r="I6405"/>
      <c r="J6405"/>
    </row>
    <row r="6406" spans="9:10" x14ac:dyDescent="0.45">
      <c r="I6406"/>
      <c r="J6406"/>
    </row>
    <row r="6407" spans="9:10" x14ac:dyDescent="0.45">
      <c r="I6407"/>
      <c r="J6407"/>
    </row>
    <row r="6408" spans="9:10" x14ac:dyDescent="0.45">
      <c r="I6408"/>
      <c r="J6408"/>
    </row>
    <row r="6409" spans="9:10" x14ac:dyDescent="0.45">
      <c r="I6409"/>
      <c r="J6409"/>
    </row>
    <row r="6410" spans="9:10" x14ac:dyDescent="0.45">
      <c r="I6410"/>
      <c r="J6410"/>
    </row>
    <row r="6411" spans="9:10" x14ac:dyDescent="0.45">
      <c r="I6411"/>
      <c r="J6411"/>
    </row>
    <row r="6412" spans="9:10" x14ac:dyDescent="0.45">
      <c r="I6412"/>
      <c r="J6412"/>
    </row>
    <row r="6413" spans="9:10" x14ac:dyDescent="0.45">
      <c r="I6413"/>
      <c r="J6413"/>
    </row>
    <row r="6414" spans="9:10" x14ac:dyDescent="0.45">
      <c r="I6414"/>
      <c r="J6414"/>
    </row>
    <row r="6415" spans="9:10" x14ac:dyDescent="0.45">
      <c r="I6415"/>
      <c r="J6415"/>
    </row>
    <row r="6416" spans="9:10" x14ac:dyDescent="0.45">
      <c r="I6416"/>
      <c r="J6416"/>
    </row>
    <row r="6417" spans="9:10" x14ac:dyDescent="0.45">
      <c r="I6417"/>
      <c r="J6417"/>
    </row>
    <row r="6418" spans="9:10" x14ac:dyDescent="0.45">
      <c r="I6418"/>
      <c r="J6418"/>
    </row>
    <row r="6419" spans="9:10" x14ac:dyDescent="0.45">
      <c r="I6419"/>
      <c r="J6419"/>
    </row>
    <row r="6420" spans="9:10" x14ac:dyDescent="0.45">
      <c r="I6420"/>
      <c r="J6420"/>
    </row>
    <row r="6421" spans="9:10" x14ac:dyDescent="0.45">
      <c r="I6421"/>
      <c r="J6421"/>
    </row>
    <row r="6422" spans="9:10" x14ac:dyDescent="0.45">
      <c r="I6422"/>
      <c r="J6422"/>
    </row>
    <row r="6423" spans="9:10" x14ac:dyDescent="0.45">
      <c r="I6423"/>
      <c r="J6423"/>
    </row>
    <row r="6424" spans="9:10" x14ac:dyDescent="0.45">
      <c r="I6424"/>
      <c r="J6424"/>
    </row>
    <row r="6425" spans="9:10" x14ac:dyDescent="0.45">
      <c r="I6425"/>
      <c r="J6425"/>
    </row>
    <row r="6426" spans="9:10" x14ac:dyDescent="0.45">
      <c r="I6426"/>
      <c r="J6426"/>
    </row>
    <row r="6427" spans="9:10" x14ac:dyDescent="0.45">
      <c r="I6427"/>
      <c r="J6427"/>
    </row>
    <row r="6428" spans="9:10" x14ac:dyDescent="0.45">
      <c r="I6428"/>
      <c r="J6428"/>
    </row>
    <row r="6429" spans="9:10" x14ac:dyDescent="0.45">
      <c r="I6429"/>
      <c r="J6429"/>
    </row>
    <row r="6430" spans="9:10" x14ac:dyDescent="0.45">
      <c r="I6430"/>
      <c r="J6430"/>
    </row>
    <row r="6431" spans="9:10" x14ac:dyDescent="0.45">
      <c r="I6431"/>
      <c r="J6431"/>
    </row>
    <row r="6432" spans="9:10" x14ac:dyDescent="0.45">
      <c r="I6432"/>
      <c r="J6432"/>
    </row>
    <row r="6433" spans="9:10" x14ac:dyDescent="0.45">
      <c r="I6433"/>
      <c r="J6433"/>
    </row>
    <row r="6434" spans="9:10" x14ac:dyDescent="0.45">
      <c r="I6434"/>
      <c r="J6434"/>
    </row>
    <row r="6435" spans="9:10" x14ac:dyDescent="0.45">
      <c r="I6435"/>
      <c r="J6435"/>
    </row>
    <row r="6436" spans="9:10" x14ac:dyDescent="0.45">
      <c r="I6436"/>
      <c r="J6436"/>
    </row>
    <row r="6437" spans="9:10" x14ac:dyDescent="0.45">
      <c r="I6437"/>
      <c r="J6437"/>
    </row>
    <row r="6438" spans="9:10" x14ac:dyDescent="0.45">
      <c r="I6438"/>
      <c r="J6438"/>
    </row>
    <row r="6439" spans="9:10" x14ac:dyDescent="0.45">
      <c r="I6439"/>
      <c r="J6439"/>
    </row>
    <row r="6440" spans="9:10" x14ac:dyDescent="0.45">
      <c r="I6440"/>
      <c r="J6440"/>
    </row>
    <row r="6441" spans="9:10" x14ac:dyDescent="0.45">
      <c r="I6441"/>
      <c r="J6441"/>
    </row>
    <row r="6442" spans="9:10" x14ac:dyDescent="0.45">
      <c r="I6442"/>
      <c r="J6442"/>
    </row>
    <row r="6443" spans="9:10" x14ac:dyDescent="0.45">
      <c r="I6443"/>
      <c r="J6443"/>
    </row>
    <row r="6444" spans="9:10" x14ac:dyDescent="0.45">
      <c r="I6444"/>
      <c r="J6444"/>
    </row>
    <row r="6445" spans="9:10" x14ac:dyDescent="0.45">
      <c r="I6445"/>
      <c r="J6445"/>
    </row>
    <row r="6446" spans="9:10" x14ac:dyDescent="0.45">
      <c r="I6446"/>
      <c r="J6446"/>
    </row>
    <row r="6447" spans="9:10" x14ac:dyDescent="0.45">
      <c r="I6447"/>
      <c r="J6447"/>
    </row>
    <row r="6448" spans="9:10" x14ac:dyDescent="0.45">
      <c r="I6448"/>
      <c r="J6448"/>
    </row>
    <row r="6449" spans="9:10" x14ac:dyDescent="0.45">
      <c r="I6449"/>
      <c r="J6449"/>
    </row>
    <row r="6450" spans="9:10" x14ac:dyDescent="0.45">
      <c r="I6450"/>
      <c r="J6450"/>
    </row>
    <row r="6451" spans="9:10" x14ac:dyDescent="0.45">
      <c r="I6451"/>
      <c r="J6451"/>
    </row>
    <row r="6452" spans="9:10" x14ac:dyDescent="0.45">
      <c r="I6452"/>
      <c r="J6452"/>
    </row>
    <row r="6453" spans="9:10" x14ac:dyDescent="0.45">
      <c r="I6453"/>
      <c r="J6453"/>
    </row>
    <row r="6454" spans="9:10" x14ac:dyDescent="0.45">
      <c r="I6454"/>
      <c r="J6454"/>
    </row>
    <row r="6455" spans="9:10" x14ac:dyDescent="0.45">
      <c r="I6455"/>
      <c r="J6455"/>
    </row>
    <row r="6456" spans="9:10" x14ac:dyDescent="0.45">
      <c r="I6456"/>
      <c r="J6456"/>
    </row>
    <row r="6457" spans="9:10" x14ac:dyDescent="0.45">
      <c r="I6457"/>
      <c r="J6457"/>
    </row>
    <row r="6458" spans="9:10" x14ac:dyDescent="0.45">
      <c r="I6458"/>
      <c r="J6458"/>
    </row>
    <row r="6459" spans="9:10" x14ac:dyDescent="0.45">
      <c r="I6459"/>
      <c r="J6459"/>
    </row>
    <row r="6460" spans="9:10" x14ac:dyDescent="0.45">
      <c r="I6460"/>
      <c r="J6460"/>
    </row>
    <row r="6461" spans="9:10" x14ac:dyDescent="0.45">
      <c r="I6461"/>
      <c r="J6461"/>
    </row>
    <row r="6462" spans="9:10" x14ac:dyDescent="0.45">
      <c r="I6462"/>
      <c r="J6462"/>
    </row>
    <row r="6463" spans="9:10" x14ac:dyDescent="0.45">
      <c r="I6463"/>
      <c r="J6463"/>
    </row>
    <row r="6464" spans="9:10" x14ac:dyDescent="0.45">
      <c r="I6464"/>
      <c r="J6464"/>
    </row>
    <row r="6465" spans="9:10" x14ac:dyDescent="0.45">
      <c r="I6465"/>
      <c r="J6465"/>
    </row>
    <row r="6466" spans="9:10" x14ac:dyDescent="0.45">
      <c r="I6466"/>
      <c r="J6466"/>
    </row>
    <row r="6467" spans="9:10" x14ac:dyDescent="0.45">
      <c r="I6467"/>
      <c r="J6467"/>
    </row>
    <row r="6468" spans="9:10" x14ac:dyDescent="0.45">
      <c r="I6468"/>
      <c r="J6468"/>
    </row>
    <row r="6469" spans="9:10" x14ac:dyDescent="0.45">
      <c r="I6469"/>
      <c r="J6469"/>
    </row>
    <row r="6470" spans="9:10" x14ac:dyDescent="0.45">
      <c r="I6470"/>
      <c r="J6470"/>
    </row>
    <row r="6471" spans="9:10" x14ac:dyDescent="0.45">
      <c r="I6471"/>
      <c r="J6471"/>
    </row>
    <row r="6472" spans="9:10" x14ac:dyDescent="0.45">
      <c r="I6472"/>
      <c r="J6472"/>
    </row>
    <row r="6473" spans="9:10" x14ac:dyDescent="0.45">
      <c r="I6473"/>
      <c r="J6473"/>
    </row>
    <row r="6474" spans="9:10" x14ac:dyDescent="0.45">
      <c r="I6474"/>
      <c r="J6474"/>
    </row>
    <row r="6475" spans="9:10" x14ac:dyDescent="0.45">
      <c r="I6475"/>
      <c r="J6475"/>
    </row>
    <row r="6476" spans="9:10" x14ac:dyDescent="0.45">
      <c r="I6476"/>
      <c r="J6476"/>
    </row>
    <row r="6477" spans="9:10" x14ac:dyDescent="0.45">
      <c r="I6477"/>
      <c r="J6477"/>
    </row>
    <row r="6478" spans="9:10" x14ac:dyDescent="0.45">
      <c r="I6478"/>
      <c r="J6478"/>
    </row>
    <row r="6479" spans="9:10" x14ac:dyDescent="0.45">
      <c r="I6479"/>
      <c r="J6479"/>
    </row>
    <row r="6480" spans="9:10" x14ac:dyDescent="0.45">
      <c r="I6480"/>
      <c r="J6480"/>
    </row>
    <row r="6481" spans="9:10" x14ac:dyDescent="0.45">
      <c r="I6481"/>
      <c r="J6481"/>
    </row>
    <row r="6482" spans="9:10" x14ac:dyDescent="0.45">
      <c r="I6482"/>
      <c r="J6482"/>
    </row>
    <row r="6483" spans="9:10" x14ac:dyDescent="0.45">
      <c r="I6483"/>
      <c r="J6483"/>
    </row>
    <row r="6484" spans="9:10" x14ac:dyDescent="0.45">
      <c r="I6484"/>
      <c r="J6484"/>
    </row>
    <row r="6485" spans="9:10" x14ac:dyDescent="0.45">
      <c r="I6485"/>
      <c r="J6485"/>
    </row>
    <row r="6486" spans="9:10" x14ac:dyDescent="0.45">
      <c r="I6486"/>
      <c r="J6486"/>
    </row>
    <row r="6487" spans="9:10" x14ac:dyDescent="0.45">
      <c r="I6487"/>
      <c r="J6487"/>
    </row>
    <row r="6488" spans="9:10" x14ac:dyDescent="0.45">
      <c r="I6488"/>
      <c r="J6488"/>
    </row>
    <row r="6489" spans="9:10" x14ac:dyDescent="0.45">
      <c r="I6489"/>
      <c r="J6489"/>
    </row>
    <row r="6490" spans="9:10" x14ac:dyDescent="0.45">
      <c r="I6490"/>
      <c r="J6490"/>
    </row>
    <row r="6491" spans="9:10" x14ac:dyDescent="0.45">
      <c r="I6491"/>
      <c r="J6491"/>
    </row>
    <row r="6492" spans="9:10" x14ac:dyDescent="0.45">
      <c r="I6492"/>
      <c r="J6492"/>
    </row>
    <row r="6493" spans="9:10" x14ac:dyDescent="0.45">
      <c r="I6493"/>
      <c r="J6493"/>
    </row>
    <row r="6494" spans="9:10" x14ac:dyDescent="0.45">
      <c r="I6494"/>
      <c r="J6494"/>
    </row>
    <row r="6495" spans="9:10" x14ac:dyDescent="0.45">
      <c r="I6495"/>
      <c r="J6495"/>
    </row>
    <row r="6496" spans="9:10" x14ac:dyDescent="0.45">
      <c r="I6496"/>
      <c r="J6496"/>
    </row>
    <row r="6497" spans="9:10" x14ac:dyDescent="0.45">
      <c r="I6497"/>
      <c r="J6497"/>
    </row>
    <row r="6498" spans="9:10" x14ac:dyDescent="0.45">
      <c r="I6498"/>
      <c r="J6498"/>
    </row>
    <row r="6499" spans="9:10" x14ac:dyDescent="0.45">
      <c r="I6499"/>
      <c r="J6499"/>
    </row>
    <row r="6500" spans="9:10" x14ac:dyDescent="0.45">
      <c r="I6500"/>
      <c r="J6500"/>
    </row>
    <row r="6501" spans="9:10" x14ac:dyDescent="0.45">
      <c r="I6501"/>
      <c r="J6501"/>
    </row>
    <row r="6502" spans="9:10" x14ac:dyDescent="0.45">
      <c r="I6502"/>
      <c r="J6502"/>
    </row>
    <row r="6503" spans="9:10" x14ac:dyDescent="0.45">
      <c r="I6503"/>
      <c r="J6503"/>
    </row>
    <row r="6504" spans="9:10" x14ac:dyDescent="0.45">
      <c r="I6504"/>
      <c r="J6504"/>
    </row>
    <row r="6505" spans="9:10" x14ac:dyDescent="0.45">
      <c r="I6505"/>
      <c r="J6505"/>
    </row>
    <row r="6506" spans="9:10" x14ac:dyDescent="0.45">
      <c r="I6506"/>
      <c r="J6506"/>
    </row>
    <row r="6507" spans="9:10" x14ac:dyDescent="0.45">
      <c r="I6507"/>
      <c r="J6507"/>
    </row>
    <row r="6508" spans="9:10" x14ac:dyDescent="0.45">
      <c r="I6508"/>
      <c r="J6508"/>
    </row>
    <row r="6509" spans="9:10" x14ac:dyDescent="0.45">
      <c r="I6509"/>
      <c r="J6509"/>
    </row>
    <row r="6510" spans="9:10" x14ac:dyDescent="0.45">
      <c r="I6510"/>
      <c r="J6510"/>
    </row>
    <row r="6511" spans="9:10" x14ac:dyDescent="0.45">
      <c r="I6511"/>
      <c r="J6511"/>
    </row>
    <row r="6512" spans="9:10" x14ac:dyDescent="0.45">
      <c r="I6512"/>
      <c r="J6512"/>
    </row>
    <row r="6513" spans="9:10" x14ac:dyDescent="0.45">
      <c r="I6513"/>
      <c r="J6513"/>
    </row>
    <row r="6514" spans="9:10" x14ac:dyDescent="0.45">
      <c r="I6514"/>
      <c r="J6514"/>
    </row>
    <row r="6515" spans="9:10" x14ac:dyDescent="0.45">
      <c r="I6515"/>
      <c r="J6515"/>
    </row>
    <row r="6516" spans="9:10" x14ac:dyDescent="0.45">
      <c r="I6516"/>
      <c r="J6516"/>
    </row>
    <row r="6517" spans="9:10" x14ac:dyDescent="0.45">
      <c r="I6517"/>
      <c r="J6517"/>
    </row>
    <row r="6518" spans="9:10" x14ac:dyDescent="0.45">
      <c r="I6518"/>
      <c r="J6518"/>
    </row>
    <row r="6519" spans="9:10" x14ac:dyDescent="0.45">
      <c r="I6519"/>
      <c r="J6519"/>
    </row>
    <row r="6520" spans="9:10" x14ac:dyDescent="0.45">
      <c r="I6520"/>
      <c r="J6520"/>
    </row>
    <row r="6521" spans="9:10" x14ac:dyDescent="0.45">
      <c r="I6521"/>
      <c r="J6521"/>
    </row>
    <row r="6522" spans="9:10" x14ac:dyDescent="0.45">
      <c r="I6522"/>
      <c r="J6522"/>
    </row>
    <row r="6523" spans="9:10" x14ac:dyDescent="0.45">
      <c r="I6523"/>
      <c r="J6523"/>
    </row>
    <row r="6524" spans="9:10" x14ac:dyDescent="0.45">
      <c r="I6524"/>
      <c r="J6524"/>
    </row>
    <row r="6525" spans="9:10" x14ac:dyDescent="0.45">
      <c r="I6525"/>
      <c r="J6525"/>
    </row>
    <row r="6526" spans="9:10" x14ac:dyDescent="0.45">
      <c r="I6526"/>
      <c r="J6526"/>
    </row>
    <row r="6527" spans="9:10" x14ac:dyDescent="0.45">
      <c r="I6527"/>
      <c r="J6527"/>
    </row>
    <row r="6528" spans="9:10" x14ac:dyDescent="0.45">
      <c r="I6528"/>
      <c r="J6528"/>
    </row>
    <row r="6529" spans="9:10" x14ac:dyDescent="0.45">
      <c r="I6529"/>
      <c r="J6529"/>
    </row>
    <row r="6530" spans="9:10" x14ac:dyDescent="0.45">
      <c r="I6530"/>
      <c r="J6530"/>
    </row>
    <row r="6531" spans="9:10" x14ac:dyDescent="0.45">
      <c r="I6531"/>
      <c r="J6531"/>
    </row>
    <row r="6532" spans="9:10" x14ac:dyDescent="0.45">
      <c r="I6532"/>
      <c r="J6532"/>
    </row>
    <row r="6533" spans="9:10" x14ac:dyDescent="0.45">
      <c r="I6533"/>
      <c r="J6533"/>
    </row>
    <row r="6534" spans="9:10" x14ac:dyDescent="0.45">
      <c r="I6534"/>
      <c r="J6534"/>
    </row>
    <row r="6535" spans="9:10" x14ac:dyDescent="0.45">
      <c r="I6535"/>
      <c r="J6535"/>
    </row>
    <row r="6536" spans="9:10" x14ac:dyDescent="0.45">
      <c r="I6536"/>
      <c r="J6536"/>
    </row>
    <row r="6537" spans="9:10" x14ac:dyDescent="0.45">
      <c r="I6537"/>
      <c r="J6537"/>
    </row>
    <row r="6538" spans="9:10" x14ac:dyDescent="0.45">
      <c r="I6538"/>
      <c r="J6538"/>
    </row>
    <row r="6539" spans="9:10" x14ac:dyDescent="0.45">
      <c r="I6539"/>
      <c r="J6539"/>
    </row>
    <row r="6540" spans="9:10" x14ac:dyDescent="0.45">
      <c r="I6540"/>
      <c r="J6540"/>
    </row>
    <row r="6541" spans="9:10" x14ac:dyDescent="0.45">
      <c r="I6541"/>
      <c r="J6541"/>
    </row>
    <row r="6542" spans="9:10" x14ac:dyDescent="0.45">
      <c r="I6542"/>
      <c r="J6542"/>
    </row>
    <row r="6543" spans="9:10" x14ac:dyDescent="0.45">
      <c r="I6543"/>
      <c r="J6543"/>
    </row>
    <row r="6544" spans="9:10" x14ac:dyDescent="0.45">
      <c r="I6544"/>
      <c r="J6544"/>
    </row>
    <row r="6545" spans="9:10" x14ac:dyDescent="0.45">
      <c r="I6545"/>
      <c r="J6545"/>
    </row>
    <row r="6546" spans="9:10" x14ac:dyDescent="0.45">
      <c r="I6546"/>
      <c r="J6546"/>
    </row>
    <row r="6547" spans="9:10" x14ac:dyDescent="0.45">
      <c r="I6547"/>
      <c r="J6547"/>
    </row>
    <row r="6548" spans="9:10" x14ac:dyDescent="0.45">
      <c r="I6548"/>
      <c r="J6548"/>
    </row>
    <row r="6549" spans="9:10" x14ac:dyDescent="0.45">
      <c r="I6549"/>
      <c r="J6549"/>
    </row>
    <row r="6550" spans="9:10" x14ac:dyDescent="0.45">
      <c r="I6550"/>
      <c r="J6550"/>
    </row>
    <row r="6551" spans="9:10" x14ac:dyDescent="0.45">
      <c r="I6551"/>
      <c r="J6551"/>
    </row>
    <row r="6552" spans="9:10" x14ac:dyDescent="0.45">
      <c r="I6552"/>
      <c r="J6552"/>
    </row>
    <row r="6553" spans="9:10" x14ac:dyDescent="0.45">
      <c r="I6553"/>
      <c r="J6553"/>
    </row>
    <row r="6554" spans="9:10" x14ac:dyDescent="0.45">
      <c r="I6554"/>
      <c r="J6554"/>
    </row>
    <row r="6555" spans="9:10" x14ac:dyDescent="0.45">
      <c r="I6555"/>
      <c r="J6555"/>
    </row>
    <row r="6556" spans="9:10" x14ac:dyDescent="0.45">
      <c r="I6556"/>
      <c r="J6556"/>
    </row>
    <row r="6557" spans="9:10" x14ac:dyDescent="0.45">
      <c r="I6557"/>
      <c r="J6557"/>
    </row>
    <row r="6558" spans="9:10" x14ac:dyDescent="0.45">
      <c r="I6558"/>
      <c r="J6558"/>
    </row>
    <row r="6559" spans="9:10" x14ac:dyDescent="0.45">
      <c r="I6559"/>
      <c r="J6559"/>
    </row>
    <row r="6560" spans="9:10" x14ac:dyDescent="0.45">
      <c r="I6560"/>
      <c r="J6560"/>
    </row>
    <row r="6561" spans="9:10" x14ac:dyDescent="0.45">
      <c r="I6561"/>
      <c r="J6561"/>
    </row>
    <row r="6562" spans="9:10" x14ac:dyDescent="0.45">
      <c r="I6562"/>
      <c r="J6562"/>
    </row>
    <row r="6563" spans="9:10" x14ac:dyDescent="0.45">
      <c r="I6563"/>
      <c r="J6563"/>
    </row>
    <row r="6564" spans="9:10" x14ac:dyDescent="0.45">
      <c r="I6564"/>
      <c r="J6564"/>
    </row>
    <row r="6565" spans="9:10" x14ac:dyDescent="0.45">
      <c r="I6565"/>
      <c r="J6565"/>
    </row>
    <row r="6566" spans="9:10" x14ac:dyDescent="0.45">
      <c r="I6566"/>
      <c r="J6566"/>
    </row>
    <row r="6567" spans="9:10" x14ac:dyDescent="0.45">
      <c r="I6567"/>
      <c r="J6567"/>
    </row>
    <row r="6568" spans="9:10" x14ac:dyDescent="0.45">
      <c r="I6568"/>
      <c r="J6568"/>
    </row>
    <row r="6569" spans="9:10" x14ac:dyDescent="0.45">
      <c r="I6569"/>
      <c r="J6569"/>
    </row>
    <row r="6570" spans="9:10" x14ac:dyDescent="0.45">
      <c r="I6570"/>
      <c r="J6570"/>
    </row>
    <row r="6571" spans="9:10" x14ac:dyDescent="0.45">
      <c r="I6571"/>
      <c r="J6571"/>
    </row>
    <row r="6572" spans="9:10" x14ac:dyDescent="0.45">
      <c r="I6572"/>
      <c r="J6572"/>
    </row>
    <row r="6573" spans="9:10" x14ac:dyDescent="0.45">
      <c r="I6573"/>
      <c r="J6573"/>
    </row>
    <row r="6574" spans="9:10" x14ac:dyDescent="0.45">
      <c r="I6574"/>
      <c r="J6574"/>
    </row>
    <row r="6575" spans="9:10" x14ac:dyDescent="0.45">
      <c r="I6575"/>
      <c r="J6575"/>
    </row>
    <row r="6576" spans="9:10" x14ac:dyDescent="0.45">
      <c r="I6576"/>
      <c r="J6576"/>
    </row>
    <row r="6577" spans="9:10" x14ac:dyDescent="0.45">
      <c r="I6577"/>
      <c r="J6577"/>
    </row>
    <row r="6578" spans="9:10" x14ac:dyDescent="0.45">
      <c r="I6578"/>
      <c r="J6578"/>
    </row>
    <row r="6579" spans="9:10" x14ac:dyDescent="0.45">
      <c r="I6579"/>
      <c r="J6579"/>
    </row>
    <row r="6580" spans="9:10" x14ac:dyDescent="0.45">
      <c r="I6580"/>
      <c r="J6580"/>
    </row>
    <row r="6581" spans="9:10" x14ac:dyDescent="0.45">
      <c r="I6581"/>
      <c r="J6581"/>
    </row>
    <row r="6582" spans="9:10" x14ac:dyDescent="0.45">
      <c r="I6582"/>
      <c r="J6582"/>
    </row>
    <row r="6583" spans="9:10" x14ac:dyDescent="0.45">
      <c r="I6583"/>
      <c r="J6583"/>
    </row>
    <row r="6584" spans="9:10" x14ac:dyDescent="0.45">
      <c r="I6584"/>
      <c r="J6584"/>
    </row>
    <row r="6585" spans="9:10" x14ac:dyDescent="0.45">
      <c r="I6585"/>
      <c r="J6585"/>
    </row>
    <row r="6586" spans="9:10" x14ac:dyDescent="0.45">
      <c r="I6586"/>
      <c r="J6586"/>
    </row>
    <row r="6587" spans="9:10" x14ac:dyDescent="0.45">
      <c r="I6587"/>
      <c r="J6587"/>
    </row>
    <row r="6588" spans="9:10" x14ac:dyDescent="0.45">
      <c r="I6588"/>
      <c r="J6588"/>
    </row>
    <row r="6589" spans="9:10" x14ac:dyDescent="0.45">
      <c r="I6589"/>
      <c r="J6589"/>
    </row>
    <row r="6590" spans="9:10" x14ac:dyDescent="0.45">
      <c r="I6590"/>
      <c r="J6590"/>
    </row>
    <row r="6591" spans="9:10" x14ac:dyDescent="0.45">
      <c r="I6591"/>
      <c r="J6591"/>
    </row>
    <row r="6592" spans="9:10" x14ac:dyDescent="0.45">
      <c r="I6592"/>
      <c r="J6592"/>
    </row>
    <row r="6593" spans="9:10" x14ac:dyDescent="0.45">
      <c r="I6593"/>
      <c r="J6593"/>
    </row>
    <row r="6594" spans="9:10" x14ac:dyDescent="0.45">
      <c r="I6594"/>
      <c r="J6594"/>
    </row>
    <row r="6595" spans="9:10" x14ac:dyDescent="0.45">
      <c r="I6595"/>
      <c r="J6595"/>
    </row>
    <row r="6596" spans="9:10" x14ac:dyDescent="0.45">
      <c r="I6596"/>
      <c r="J6596"/>
    </row>
    <row r="6597" spans="9:10" x14ac:dyDescent="0.45">
      <c r="I6597"/>
      <c r="J6597"/>
    </row>
    <row r="6598" spans="9:10" x14ac:dyDescent="0.45">
      <c r="I6598"/>
      <c r="J6598"/>
    </row>
    <row r="6599" spans="9:10" x14ac:dyDescent="0.45">
      <c r="I6599"/>
      <c r="J6599"/>
    </row>
    <row r="6600" spans="9:10" x14ac:dyDescent="0.45">
      <c r="I6600"/>
      <c r="J6600"/>
    </row>
    <row r="6601" spans="9:10" x14ac:dyDescent="0.45">
      <c r="I6601"/>
      <c r="J6601"/>
    </row>
    <row r="6602" spans="9:10" x14ac:dyDescent="0.45">
      <c r="I6602"/>
      <c r="J6602"/>
    </row>
    <row r="6603" spans="9:10" x14ac:dyDescent="0.45">
      <c r="I6603"/>
      <c r="J6603"/>
    </row>
    <row r="6604" spans="9:10" x14ac:dyDescent="0.45">
      <c r="I6604"/>
      <c r="J6604"/>
    </row>
    <row r="6605" spans="9:10" x14ac:dyDescent="0.45">
      <c r="I6605"/>
      <c r="J6605"/>
    </row>
    <row r="6606" spans="9:10" x14ac:dyDescent="0.45">
      <c r="I6606"/>
      <c r="J6606"/>
    </row>
    <row r="6607" spans="9:10" x14ac:dyDescent="0.45">
      <c r="I6607"/>
      <c r="J6607"/>
    </row>
    <row r="6608" spans="9:10" x14ac:dyDescent="0.45">
      <c r="I6608"/>
      <c r="J6608"/>
    </row>
    <row r="6609" spans="9:10" x14ac:dyDescent="0.45">
      <c r="I6609"/>
      <c r="J6609"/>
    </row>
    <row r="6610" spans="9:10" x14ac:dyDescent="0.45">
      <c r="I6610"/>
      <c r="J6610"/>
    </row>
    <row r="6611" spans="9:10" x14ac:dyDescent="0.45">
      <c r="I6611"/>
      <c r="J6611"/>
    </row>
    <row r="6612" spans="9:10" x14ac:dyDescent="0.45">
      <c r="I6612"/>
      <c r="J6612"/>
    </row>
    <row r="6613" spans="9:10" x14ac:dyDescent="0.45">
      <c r="I6613"/>
      <c r="J6613"/>
    </row>
    <row r="6614" spans="9:10" x14ac:dyDescent="0.45">
      <c r="I6614"/>
      <c r="J6614"/>
    </row>
    <row r="6615" spans="9:10" x14ac:dyDescent="0.45">
      <c r="I6615"/>
      <c r="J6615"/>
    </row>
    <row r="6616" spans="9:10" x14ac:dyDescent="0.45">
      <c r="I6616"/>
      <c r="J6616"/>
    </row>
    <row r="6617" spans="9:10" x14ac:dyDescent="0.45">
      <c r="I6617"/>
      <c r="J6617"/>
    </row>
    <row r="6618" spans="9:10" x14ac:dyDescent="0.45">
      <c r="I6618"/>
      <c r="J6618"/>
    </row>
    <row r="6619" spans="9:10" x14ac:dyDescent="0.45">
      <c r="I6619"/>
      <c r="J6619"/>
    </row>
    <row r="6620" spans="9:10" x14ac:dyDescent="0.45">
      <c r="I6620"/>
      <c r="J6620"/>
    </row>
    <row r="6621" spans="9:10" x14ac:dyDescent="0.45">
      <c r="I6621"/>
      <c r="J6621"/>
    </row>
    <row r="6622" spans="9:10" x14ac:dyDescent="0.45">
      <c r="I6622"/>
      <c r="J6622"/>
    </row>
    <row r="6623" spans="9:10" x14ac:dyDescent="0.45">
      <c r="I6623"/>
      <c r="J6623"/>
    </row>
    <row r="6624" spans="9:10" x14ac:dyDescent="0.45">
      <c r="I6624"/>
      <c r="J6624"/>
    </row>
    <row r="6625" spans="9:10" x14ac:dyDescent="0.45">
      <c r="I6625"/>
      <c r="J6625"/>
    </row>
    <row r="6626" spans="9:10" x14ac:dyDescent="0.45">
      <c r="I6626"/>
      <c r="J6626"/>
    </row>
    <row r="6627" spans="9:10" x14ac:dyDescent="0.45">
      <c r="I6627"/>
      <c r="J6627"/>
    </row>
    <row r="6628" spans="9:10" x14ac:dyDescent="0.45">
      <c r="I6628"/>
      <c r="J6628"/>
    </row>
    <row r="6629" spans="9:10" x14ac:dyDescent="0.45">
      <c r="I6629"/>
      <c r="J6629"/>
    </row>
    <row r="6630" spans="9:10" x14ac:dyDescent="0.45">
      <c r="I6630"/>
      <c r="J6630"/>
    </row>
    <row r="6631" spans="9:10" x14ac:dyDescent="0.45">
      <c r="I6631"/>
      <c r="J6631"/>
    </row>
    <row r="6632" spans="9:10" x14ac:dyDescent="0.45">
      <c r="I6632"/>
      <c r="J6632"/>
    </row>
    <row r="6633" spans="9:10" x14ac:dyDescent="0.45">
      <c r="I6633"/>
      <c r="J6633"/>
    </row>
    <row r="6634" spans="9:10" x14ac:dyDescent="0.45">
      <c r="I6634"/>
      <c r="J6634"/>
    </row>
    <row r="6635" spans="9:10" x14ac:dyDescent="0.45">
      <c r="I6635"/>
      <c r="J6635"/>
    </row>
    <row r="6636" spans="9:10" x14ac:dyDescent="0.45">
      <c r="I6636"/>
      <c r="J6636"/>
    </row>
    <row r="6637" spans="9:10" x14ac:dyDescent="0.45">
      <c r="I6637"/>
      <c r="J6637"/>
    </row>
    <row r="6638" spans="9:10" x14ac:dyDescent="0.45">
      <c r="I6638"/>
      <c r="J6638"/>
    </row>
    <row r="6639" spans="9:10" x14ac:dyDescent="0.45">
      <c r="I6639"/>
      <c r="J6639"/>
    </row>
    <row r="6640" spans="9:10" x14ac:dyDescent="0.45">
      <c r="I6640"/>
      <c r="J6640"/>
    </row>
    <row r="6641" spans="9:10" x14ac:dyDescent="0.45">
      <c r="I6641"/>
      <c r="J6641"/>
    </row>
    <row r="6642" spans="9:10" x14ac:dyDescent="0.45">
      <c r="I6642"/>
      <c r="J6642"/>
    </row>
    <row r="6643" spans="9:10" x14ac:dyDescent="0.45">
      <c r="I6643"/>
      <c r="J6643"/>
    </row>
    <row r="6644" spans="9:10" x14ac:dyDescent="0.45">
      <c r="I6644"/>
      <c r="J6644"/>
    </row>
    <row r="6645" spans="9:10" x14ac:dyDescent="0.45">
      <c r="I6645"/>
      <c r="J6645"/>
    </row>
    <row r="6646" spans="9:10" x14ac:dyDescent="0.45">
      <c r="I6646"/>
      <c r="J6646"/>
    </row>
    <row r="6647" spans="9:10" x14ac:dyDescent="0.45">
      <c r="I6647"/>
      <c r="J6647"/>
    </row>
    <row r="6648" spans="9:10" x14ac:dyDescent="0.45">
      <c r="I6648"/>
      <c r="J6648"/>
    </row>
    <row r="6649" spans="9:10" x14ac:dyDescent="0.45">
      <c r="I6649"/>
      <c r="J6649"/>
    </row>
    <row r="6650" spans="9:10" x14ac:dyDescent="0.45">
      <c r="I6650"/>
      <c r="J6650"/>
    </row>
    <row r="6651" spans="9:10" x14ac:dyDescent="0.45">
      <c r="I6651"/>
      <c r="J6651"/>
    </row>
    <row r="6652" spans="9:10" x14ac:dyDescent="0.45">
      <c r="I6652"/>
      <c r="J6652"/>
    </row>
    <row r="6653" spans="9:10" x14ac:dyDescent="0.45">
      <c r="I6653"/>
      <c r="J6653"/>
    </row>
    <row r="6654" spans="9:10" x14ac:dyDescent="0.45">
      <c r="I6654"/>
      <c r="J6654"/>
    </row>
    <row r="6655" spans="9:10" x14ac:dyDescent="0.45">
      <c r="I6655"/>
      <c r="J6655"/>
    </row>
    <row r="6656" spans="9:10" x14ac:dyDescent="0.45">
      <c r="I6656"/>
      <c r="J6656"/>
    </row>
    <row r="6657" spans="9:10" x14ac:dyDescent="0.45">
      <c r="I6657"/>
      <c r="J6657"/>
    </row>
    <row r="6658" spans="9:10" x14ac:dyDescent="0.45">
      <c r="I6658"/>
      <c r="J6658"/>
    </row>
    <row r="6659" spans="9:10" x14ac:dyDescent="0.45">
      <c r="I6659"/>
      <c r="J6659"/>
    </row>
    <row r="6660" spans="9:10" x14ac:dyDescent="0.45">
      <c r="I6660"/>
      <c r="J6660"/>
    </row>
    <row r="6661" spans="9:10" x14ac:dyDescent="0.45">
      <c r="I6661"/>
      <c r="J6661"/>
    </row>
    <row r="6662" spans="9:10" x14ac:dyDescent="0.45">
      <c r="I6662"/>
      <c r="J6662"/>
    </row>
    <row r="6663" spans="9:10" x14ac:dyDescent="0.45">
      <c r="I6663"/>
      <c r="J6663"/>
    </row>
    <row r="6664" spans="9:10" x14ac:dyDescent="0.45">
      <c r="I6664"/>
      <c r="J6664"/>
    </row>
    <row r="6665" spans="9:10" x14ac:dyDescent="0.45">
      <c r="I6665"/>
      <c r="J6665"/>
    </row>
    <row r="6666" spans="9:10" x14ac:dyDescent="0.45">
      <c r="I6666"/>
      <c r="J6666"/>
    </row>
    <row r="6667" spans="9:10" x14ac:dyDescent="0.45">
      <c r="I6667"/>
      <c r="J6667"/>
    </row>
    <row r="6668" spans="9:10" x14ac:dyDescent="0.45">
      <c r="I6668"/>
      <c r="J6668"/>
    </row>
    <row r="6669" spans="9:10" x14ac:dyDescent="0.45">
      <c r="I6669"/>
      <c r="J6669"/>
    </row>
    <row r="6670" spans="9:10" x14ac:dyDescent="0.45">
      <c r="I6670"/>
      <c r="J6670"/>
    </row>
    <row r="6671" spans="9:10" x14ac:dyDescent="0.45">
      <c r="I6671"/>
      <c r="J6671"/>
    </row>
    <row r="6672" spans="9:10" x14ac:dyDescent="0.45">
      <c r="I6672"/>
      <c r="J6672"/>
    </row>
    <row r="6673" spans="9:10" x14ac:dyDescent="0.45">
      <c r="I6673"/>
      <c r="J6673"/>
    </row>
    <row r="6674" spans="9:10" x14ac:dyDescent="0.45">
      <c r="I6674"/>
      <c r="J6674"/>
    </row>
    <row r="6675" spans="9:10" x14ac:dyDescent="0.45">
      <c r="I6675"/>
      <c r="J6675"/>
    </row>
    <row r="6676" spans="9:10" x14ac:dyDescent="0.45">
      <c r="I6676"/>
      <c r="J6676"/>
    </row>
    <row r="6677" spans="9:10" x14ac:dyDescent="0.45">
      <c r="I6677"/>
      <c r="J6677"/>
    </row>
    <row r="6678" spans="9:10" x14ac:dyDescent="0.45">
      <c r="I6678"/>
      <c r="J6678"/>
    </row>
    <row r="6679" spans="9:10" x14ac:dyDescent="0.45">
      <c r="I6679"/>
      <c r="J6679"/>
    </row>
    <row r="6680" spans="9:10" x14ac:dyDescent="0.45">
      <c r="I6680"/>
      <c r="J6680"/>
    </row>
    <row r="6681" spans="9:10" x14ac:dyDescent="0.45">
      <c r="I6681"/>
      <c r="J6681"/>
    </row>
    <row r="6682" spans="9:10" x14ac:dyDescent="0.45">
      <c r="I6682"/>
      <c r="J6682"/>
    </row>
    <row r="6683" spans="9:10" x14ac:dyDescent="0.45">
      <c r="I6683"/>
      <c r="J6683"/>
    </row>
    <row r="6684" spans="9:10" x14ac:dyDescent="0.45">
      <c r="I6684"/>
      <c r="J6684"/>
    </row>
    <row r="6685" spans="9:10" x14ac:dyDescent="0.45">
      <c r="I6685"/>
      <c r="J6685"/>
    </row>
    <row r="6686" spans="9:10" x14ac:dyDescent="0.45">
      <c r="I6686"/>
      <c r="J6686"/>
    </row>
    <row r="6687" spans="9:10" x14ac:dyDescent="0.45">
      <c r="I6687"/>
      <c r="J6687"/>
    </row>
    <row r="6688" spans="9:10" x14ac:dyDescent="0.45">
      <c r="I6688"/>
      <c r="J6688"/>
    </row>
    <row r="6689" spans="9:10" x14ac:dyDescent="0.45">
      <c r="I6689"/>
      <c r="J6689"/>
    </row>
    <row r="6690" spans="9:10" x14ac:dyDescent="0.45">
      <c r="I6690"/>
      <c r="J6690"/>
    </row>
    <row r="6691" spans="9:10" x14ac:dyDescent="0.45">
      <c r="I6691"/>
      <c r="J6691"/>
    </row>
    <row r="6692" spans="9:10" x14ac:dyDescent="0.45">
      <c r="I6692"/>
      <c r="J6692"/>
    </row>
    <row r="6693" spans="9:10" x14ac:dyDescent="0.45">
      <c r="I6693"/>
      <c r="J6693"/>
    </row>
    <row r="6694" spans="9:10" x14ac:dyDescent="0.45">
      <c r="I6694"/>
      <c r="J6694"/>
    </row>
    <row r="6695" spans="9:10" x14ac:dyDescent="0.45">
      <c r="I6695"/>
      <c r="J6695"/>
    </row>
    <row r="6696" spans="9:10" x14ac:dyDescent="0.45">
      <c r="I6696"/>
      <c r="J6696"/>
    </row>
    <row r="6697" spans="9:10" x14ac:dyDescent="0.45">
      <c r="I6697"/>
      <c r="J6697"/>
    </row>
    <row r="6698" spans="9:10" x14ac:dyDescent="0.45">
      <c r="I6698"/>
      <c r="J6698"/>
    </row>
    <row r="6699" spans="9:10" x14ac:dyDescent="0.45">
      <c r="I6699"/>
      <c r="J6699"/>
    </row>
    <row r="6700" spans="9:10" x14ac:dyDescent="0.45">
      <c r="I6700"/>
      <c r="J6700"/>
    </row>
    <row r="6701" spans="9:10" x14ac:dyDescent="0.45">
      <c r="I6701"/>
      <c r="J6701"/>
    </row>
    <row r="6702" spans="9:10" x14ac:dyDescent="0.45">
      <c r="I6702"/>
      <c r="J6702"/>
    </row>
    <row r="6703" spans="9:10" x14ac:dyDescent="0.45">
      <c r="I6703"/>
      <c r="J6703"/>
    </row>
    <row r="6704" spans="9:10" x14ac:dyDescent="0.45">
      <c r="I6704"/>
      <c r="J6704"/>
    </row>
    <row r="6705" spans="9:10" x14ac:dyDescent="0.45">
      <c r="I6705"/>
      <c r="J6705"/>
    </row>
    <row r="6706" spans="9:10" x14ac:dyDescent="0.45">
      <c r="I6706"/>
      <c r="J6706"/>
    </row>
    <row r="6707" spans="9:10" x14ac:dyDescent="0.45">
      <c r="I6707"/>
      <c r="J6707"/>
    </row>
    <row r="6708" spans="9:10" x14ac:dyDescent="0.45">
      <c r="I6708"/>
      <c r="J6708"/>
    </row>
    <row r="6709" spans="9:10" x14ac:dyDescent="0.45">
      <c r="I6709"/>
      <c r="J6709"/>
    </row>
    <row r="6710" spans="9:10" x14ac:dyDescent="0.45">
      <c r="I6710"/>
      <c r="J6710"/>
    </row>
    <row r="6711" spans="9:10" x14ac:dyDescent="0.45">
      <c r="I6711"/>
      <c r="J6711"/>
    </row>
    <row r="6712" spans="9:10" x14ac:dyDescent="0.45">
      <c r="I6712"/>
      <c r="J6712"/>
    </row>
    <row r="6713" spans="9:10" x14ac:dyDescent="0.45">
      <c r="I6713"/>
      <c r="J6713"/>
    </row>
    <row r="6714" spans="9:10" x14ac:dyDescent="0.45">
      <c r="I6714"/>
      <c r="J6714"/>
    </row>
    <row r="6715" spans="9:10" x14ac:dyDescent="0.45">
      <c r="I6715"/>
      <c r="J6715"/>
    </row>
    <row r="6716" spans="9:10" x14ac:dyDescent="0.45">
      <c r="I6716"/>
      <c r="J6716"/>
    </row>
    <row r="6717" spans="9:10" x14ac:dyDescent="0.45">
      <c r="I6717"/>
      <c r="J6717"/>
    </row>
    <row r="6718" spans="9:10" x14ac:dyDescent="0.45">
      <c r="I6718"/>
      <c r="J6718"/>
    </row>
    <row r="6719" spans="9:10" x14ac:dyDescent="0.45">
      <c r="I6719"/>
      <c r="J6719"/>
    </row>
    <row r="6720" spans="9:10" x14ac:dyDescent="0.45">
      <c r="I6720"/>
      <c r="J6720"/>
    </row>
    <row r="6721" spans="9:10" x14ac:dyDescent="0.45">
      <c r="I6721"/>
      <c r="J6721"/>
    </row>
    <row r="6722" spans="9:10" x14ac:dyDescent="0.45">
      <c r="I6722"/>
      <c r="J6722"/>
    </row>
    <row r="6723" spans="9:10" x14ac:dyDescent="0.45">
      <c r="I6723"/>
      <c r="J6723"/>
    </row>
    <row r="6724" spans="9:10" x14ac:dyDescent="0.45">
      <c r="I6724"/>
      <c r="J6724"/>
    </row>
    <row r="6725" spans="9:10" x14ac:dyDescent="0.45">
      <c r="I6725"/>
      <c r="J6725"/>
    </row>
    <row r="6726" spans="9:10" x14ac:dyDescent="0.45">
      <c r="I6726"/>
      <c r="J6726"/>
    </row>
    <row r="6727" spans="9:10" x14ac:dyDescent="0.45">
      <c r="I6727"/>
      <c r="J6727"/>
    </row>
    <row r="6728" spans="9:10" x14ac:dyDescent="0.45">
      <c r="I6728"/>
      <c r="J6728"/>
    </row>
    <row r="6729" spans="9:10" x14ac:dyDescent="0.45">
      <c r="I6729"/>
      <c r="J6729"/>
    </row>
    <row r="6730" spans="9:10" x14ac:dyDescent="0.45">
      <c r="I6730"/>
      <c r="J6730"/>
    </row>
    <row r="6731" spans="9:10" x14ac:dyDescent="0.45">
      <c r="I6731"/>
      <c r="J6731"/>
    </row>
    <row r="6732" spans="9:10" x14ac:dyDescent="0.45">
      <c r="I6732"/>
      <c r="J6732"/>
    </row>
    <row r="6733" spans="9:10" x14ac:dyDescent="0.45">
      <c r="I6733"/>
      <c r="J6733"/>
    </row>
    <row r="6734" spans="9:10" x14ac:dyDescent="0.45">
      <c r="I6734"/>
      <c r="J6734"/>
    </row>
    <row r="6735" spans="9:10" x14ac:dyDescent="0.45">
      <c r="I6735"/>
      <c r="J6735"/>
    </row>
    <row r="6736" spans="9:10" x14ac:dyDescent="0.45">
      <c r="I6736"/>
      <c r="J6736"/>
    </row>
    <row r="6737" spans="9:10" x14ac:dyDescent="0.45">
      <c r="I6737"/>
      <c r="J6737"/>
    </row>
    <row r="6738" spans="9:10" x14ac:dyDescent="0.45">
      <c r="I6738"/>
      <c r="J6738"/>
    </row>
    <row r="6739" spans="9:10" x14ac:dyDescent="0.45">
      <c r="I6739"/>
      <c r="J6739"/>
    </row>
    <row r="6740" spans="9:10" x14ac:dyDescent="0.45">
      <c r="I6740"/>
      <c r="J6740"/>
    </row>
    <row r="6741" spans="9:10" x14ac:dyDescent="0.45">
      <c r="I6741"/>
      <c r="J6741"/>
    </row>
    <row r="6742" spans="9:10" x14ac:dyDescent="0.45">
      <c r="I6742"/>
      <c r="J6742"/>
    </row>
    <row r="6743" spans="9:10" x14ac:dyDescent="0.45">
      <c r="I6743"/>
      <c r="J6743"/>
    </row>
    <row r="6744" spans="9:10" x14ac:dyDescent="0.45">
      <c r="I6744"/>
      <c r="J6744"/>
    </row>
    <row r="6745" spans="9:10" x14ac:dyDescent="0.45">
      <c r="I6745"/>
      <c r="J6745"/>
    </row>
    <row r="6746" spans="9:10" x14ac:dyDescent="0.45">
      <c r="I6746"/>
      <c r="J6746"/>
    </row>
    <row r="6747" spans="9:10" x14ac:dyDescent="0.45">
      <c r="I6747"/>
      <c r="J6747"/>
    </row>
    <row r="6748" spans="9:10" x14ac:dyDescent="0.45">
      <c r="I6748"/>
      <c r="J6748"/>
    </row>
    <row r="6749" spans="9:10" x14ac:dyDescent="0.45">
      <c r="I6749"/>
      <c r="J6749"/>
    </row>
    <row r="6750" spans="9:10" x14ac:dyDescent="0.45">
      <c r="I6750"/>
      <c r="J6750"/>
    </row>
    <row r="6751" spans="9:10" x14ac:dyDescent="0.45">
      <c r="I6751"/>
      <c r="J6751"/>
    </row>
    <row r="6752" spans="9:10" x14ac:dyDescent="0.45">
      <c r="I6752"/>
      <c r="J6752"/>
    </row>
    <row r="6753" spans="9:10" x14ac:dyDescent="0.45">
      <c r="I6753"/>
      <c r="J6753"/>
    </row>
    <row r="6754" spans="9:10" x14ac:dyDescent="0.45">
      <c r="I6754"/>
      <c r="J6754"/>
    </row>
    <row r="6755" spans="9:10" x14ac:dyDescent="0.45">
      <c r="I6755"/>
      <c r="J6755"/>
    </row>
    <row r="6756" spans="9:10" x14ac:dyDescent="0.45">
      <c r="I6756"/>
      <c r="J6756"/>
    </row>
    <row r="6757" spans="9:10" x14ac:dyDescent="0.45">
      <c r="I6757"/>
      <c r="J6757"/>
    </row>
    <row r="6758" spans="9:10" x14ac:dyDescent="0.45">
      <c r="I6758"/>
      <c r="J6758"/>
    </row>
    <row r="6759" spans="9:10" x14ac:dyDescent="0.45">
      <c r="I6759"/>
      <c r="J6759"/>
    </row>
    <row r="6760" spans="9:10" x14ac:dyDescent="0.45">
      <c r="I6760"/>
      <c r="J6760"/>
    </row>
    <row r="6761" spans="9:10" x14ac:dyDescent="0.45">
      <c r="I6761"/>
      <c r="J6761"/>
    </row>
    <row r="6762" spans="9:10" x14ac:dyDescent="0.45">
      <c r="I6762"/>
      <c r="J6762"/>
    </row>
    <row r="6763" spans="9:10" x14ac:dyDescent="0.45">
      <c r="I6763"/>
      <c r="J6763"/>
    </row>
    <row r="6764" spans="9:10" x14ac:dyDescent="0.45">
      <c r="I6764"/>
      <c r="J6764"/>
    </row>
    <row r="6765" spans="9:10" x14ac:dyDescent="0.45">
      <c r="I6765"/>
      <c r="J6765"/>
    </row>
    <row r="6766" spans="9:10" x14ac:dyDescent="0.45">
      <c r="I6766"/>
      <c r="J6766"/>
    </row>
    <row r="6767" spans="9:10" x14ac:dyDescent="0.45">
      <c r="I6767"/>
      <c r="J6767"/>
    </row>
    <row r="6768" spans="9:10" x14ac:dyDescent="0.45">
      <c r="I6768"/>
      <c r="J6768"/>
    </row>
    <row r="6769" spans="9:10" x14ac:dyDescent="0.45">
      <c r="I6769"/>
      <c r="J6769"/>
    </row>
    <row r="6770" spans="9:10" x14ac:dyDescent="0.45">
      <c r="I6770"/>
      <c r="J6770"/>
    </row>
    <row r="6771" spans="9:10" x14ac:dyDescent="0.45">
      <c r="I6771"/>
      <c r="J6771"/>
    </row>
    <row r="6772" spans="9:10" x14ac:dyDescent="0.45">
      <c r="I6772"/>
      <c r="J6772"/>
    </row>
    <row r="6773" spans="9:10" x14ac:dyDescent="0.45">
      <c r="I6773"/>
      <c r="J6773"/>
    </row>
    <row r="6774" spans="9:10" x14ac:dyDescent="0.45">
      <c r="I6774"/>
      <c r="J6774"/>
    </row>
    <row r="6775" spans="9:10" x14ac:dyDescent="0.45">
      <c r="I6775"/>
      <c r="J6775"/>
    </row>
    <row r="6776" spans="9:10" x14ac:dyDescent="0.45">
      <c r="I6776"/>
      <c r="J6776"/>
    </row>
    <row r="6777" spans="9:10" x14ac:dyDescent="0.45">
      <c r="I6777"/>
      <c r="J6777"/>
    </row>
    <row r="6778" spans="9:10" x14ac:dyDescent="0.45">
      <c r="I6778"/>
      <c r="J6778"/>
    </row>
    <row r="6779" spans="9:10" x14ac:dyDescent="0.45">
      <c r="I6779"/>
      <c r="J6779"/>
    </row>
    <row r="6780" spans="9:10" x14ac:dyDescent="0.45">
      <c r="I6780"/>
      <c r="J6780"/>
    </row>
    <row r="6781" spans="9:10" x14ac:dyDescent="0.45">
      <c r="I6781"/>
      <c r="J6781"/>
    </row>
    <row r="6782" spans="9:10" x14ac:dyDescent="0.45">
      <c r="I6782"/>
      <c r="J6782"/>
    </row>
    <row r="6783" spans="9:10" x14ac:dyDescent="0.45">
      <c r="I6783"/>
      <c r="J6783"/>
    </row>
    <row r="6784" spans="9:10" x14ac:dyDescent="0.45">
      <c r="I6784"/>
      <c r="J6784"/>
    </row>
    <row r="6785" spans="9:10" x14ac:dyDescent="0.45">
      <c r="I6785"/>
      <c r="J6785"/>
    </row>
    <row r="6786" spans="9:10" x14ac:dyDescent="0.45">
      <c r="I6786"/>
      <c r="J6786"/>
    </row>
    <row r="6787" spans="9:10" x14ac:dyDescent="0.45">
      <c r="I6787"/>
      <c r="J6787"/>
    </row>
    <row r="6788" spans="9:10" x14ac:dyDescent="0.45">
      <c r="I6788"/>
      <c r="J6788"/>
    </row>
    <row r="6789" spans="9:10" x14ac:dyDescent="0.45">
      <c r="I6789"/>
      <c r="J6789"/>
    </row>
    <row r="6790" spans="9:10" x14ac:dyDescent="0.45">
      <c r="I6790"/>
      <c r="J6790"/>
    </row>
    <row r="6791" spans="9:10" x14ac:dyDescent="0.45">
      <c r="I6791"/>
      <c r="J6791"/>
    </row>
    <row r="6792" spans="9:10" x14ac:dyDescent="0.45">
      <c r="I6792"/>
      <c r="J6792"/>
    </row>
    <row r="6793" spans="9:10" x14ac:dyDescent="0.45">
      <c r="I6793"/>
      <c r="J6793"/>
    </row>
    <row r="6794" spans="9:10" x14ac:dyDescent="0.45">
      <c r="I6794"/>
      <c r="J6794"/>
    </row>
    <row r="6795" spans="9:10" x14ac:dyDescent="0.45">
      <c r="I6795"/>
      <c r="J6795"/>
    </row>
    <row r="6796" spans="9:10" x14ac:dyDescent="0.45">
      <c r="I6796"/>
      <c r="J6796"/>
    </row>
    <row r="6797" spans="9:10" x14ac:dyDescent="0.45">
      <c r="I6797"/>
      <c r="J6797"/>
    </row>
    <row r="6798" spans="9:10" x14ac:dyDescent="0.45">
      <c r="I6798"/>
      <c r="J6798"/>
    </row>
    <row r="6799" spans="9:10" x14ac:dyDescent="0.45">
      <c r="I6799"/>
      <c r="J6799"/>
    </row>
    <row r="6800" spans="9:10" x14ac:dyDescent="0.45">
      <c r="I6800"/>
      <c r="J6800"/>
    </row>
    <row r="6801" spans="9:10" x14ac:dyDescent="0.45">
      <c r="I6801"/>
      <c r="J6801"/>
    </row>
    <row r="6802" spans="9:10" x14ac:dyDescent="0.45">
      <c r="I6802"/>
      <c r="J6802"/>
    </row>
    <row r="6803" spans="9:10" x14ac:dyDescent="0.45">
      <c r="I6803"/>
      <c r="J6803"/>
    </row>
    <row r="6804" spans="9:10" x14ac:dyDescent="0.45">
      <c r="I6804"/>
      <c r="J6804"/>
    </row>
    <row r="6805" spans="9:10" x14ac:dyDescent="0.45">
      <c r="I6805"/>
      <c r="J6805"/>
    </row>
    <row r="6806" spans="9:10" x14ac:dyDescent="0.45">
      <c r="I6806"/>
      <c r="J6806"/>
    </row>
    <row r="6807" spans="9:10" x14ac:dyDescent="0.45">
      <c r="I6807"/>
      <c r="J6807"/>
    </row>
    <row r="6808" spans="9:10" x14ac:dyDescent="0.45">
      <c r="I6808"/>
      <c r="J6808"/>
    </row>
    <row r="6809" spans="9:10" x14ac:dyDescent="0.45">
      <c r="I6809"/>
      <c r="J6809"/>
    </row>
    <row r="6810" spans="9:10" x14ac:dyDescent="0.45">
      <c r="I6810"/>
      <c r="J6810"/>
    </row>
    <row r="6811" spans="9:10" x14ac:dyDescent="0.45">
      <c r="I6811"/>
      <c r="J6811"/>
    </row>
    <row r="6812" spans="9:10" x14ac:dyDescent="0.45">
      <c r="I6812"/>
      <c r="J6812"/>
    </row>
    <row r="6813" spans="9:10" x14ac:dyDescent="0.45">
      <c r="I6813"/>
      <c r="J6813"/>
    </row>
    <row r="6814" spans="9:10" x14ac:dyDescent="0.45">
      <c r="I6814"/>
      <c r="J6814"/>
    </row>
    <row r="6815" spans="9:10" x14ac:dyDescent="0.45">
      <c r="I6815"/>
      <c r="J6815"/>
    </row>
    <row r="6816" spans="9:10" x14ac:dyDescent="0.45">
      <c r="I6816"/>
      <c r="J6816"/>
    </row>
    <row r="6817" spans="9:10" x14ac:dyDescent="0.45">
      <c r="I6817"/>
      <c r="J6817"/>
    </row>
    <row r="6818" spans="9:10" x14ac:dyDescent="0.45">
      <c r="I6818"/>
      <c r="J6818"/>
    </row>
    <row r="6819" spans="9:10" x14ac:dyDescent="0.45">
      <c r="I6819"/>
      <c r="J6819"/>
    </row>
    <row r="6820" spans="9:10" x14ac:dyDescent="0.45">
      <c r="I6820"/>
      <c r="J6820"/>
    </row>
    <row r="6821" spans="9:10" x14ac:dyDescent="0.45">
      <c r="I6821"/>
      <c r="J6821"/>
    </row>
    <row r="6822" spans="9:10" x14ac:dyDescent="0.45">
      <c r="I6822"/>
      <c r="J6822"/>
    </row>
    <row r="6823" spans="9:10" x14ac:dyDescent="0.45">
      <c r="I6823"/>
      <c r="J6823"/>
    </row>
    <row r="6824" spans="9:10" x14ac:dyDescent="0.45">
      <c r="I6824"/>
      <c r="J6824"/>
    </row>
    <row r="6825" spans="9:10" x14ac:dyDescent="0.45">
      <c r="I6825"/>
      <c r="J6825"/>
    </row>
    <row r="6826" spans="9:10" x14ac:dyDescent="0.45">
      <c r="I6826"/>
      <c r="J6826"/>
    </row>
    <row r="6827" spans="9:10" x14ac:dyDescent="0.45">
      <c r="I6827"/>
      <c r="J6827"/>
    </row>
    <row r="6828" spans="9:10" x14ac:dyDescent="0.45">
      <c r="I6828"/>
      <c r="J6828"/>
    </row>
    <row r="6829" spans="9:10" x14ac:dyDescent="0.45">
      <c r="I6829"/>
      <c r="J6829"/>
    </row>
    <row r="6830" spans="9:10" x14ac:dyDescent="0.45">
      <c r="I6830"/>
      <c r="J6830"/>
    </row>
    <row r="6831" spans="9:10" x14ac:dyDescent="0.45">
      <c r="I6831"/>
      <c r="J6831"/>
    </row>
    <row r="6832" spans="9:10" x14ac:dyDescent="0.45">
      <c r="I6832"/>
      <c r="J6832"/>
    </row>
    <row r="6833" spans="9:10" x14ac:dyDescent="0.45">
      <c r="I6833"/>
      <c r="J6833"/>
    </row>
    <row r="6834" spans="9:10" x14ac:dyDescent="0.45">
      <c r="I6834"/>
      <c r="J6834"/>
    </row>
    <row r="6835" spans="9:10" x14ac:dyDescent="0.45">
      <c r="I6835"/>
      <c r="J6835"/>
    </row>
    <row r="6836" spans="9:10" x14ac:dyDescent="0.45">
      <c r="I6836"/>
      <c r="J6836"/>
    </row>
    <row r="6837" spans="9:10" x14ac:dyDescent="0.45">
      <c r="I6837"/>
      <c r="J6837"/>
    </row>
    <row r="6838" spans="9:10" x14ac:dyDescent="0.45">
      <c r="I6838"/>
      <c r="J6838"/>
    </row>
    <row r="6839" spans="9:10" x14ac:dyDescent="0.45">
      <c r="I6839"/>
      <c r="J6839"/>
    </row>
    <row r="6840" spans="9:10" x14ac:dyDescent="0.45">
      <c r="I6840"/>
      <c r="J6840"/>
    </row>
    <row r="6841" spans="9:10" x14ac:dyDescent="0.45">
      <c r="I6841"/>
      <c r="J6841"/>
    </row>
    <row r="6842" spans="9:10" x14ac:dyDescent="0.45">
      <c r="I6842"/>
      <c r="J6842"/>
    </row>
    <row r="6843" spans="9:10" x14ac:dyDescent="0.45">
      <c r="I6843"/>
      <c r="J6843"/>
    </row>
    <row r="6844" spans="9:10" x14ac:dyDescent="0.45">
      <c r="I6844"/>
      <c r="J6844"/>
    </row>
    <row r="6845" spans="9:10" x14ac:dyDescent="0.45">
      <c r="I6845"/>
      <c r="J6845"/>
    </row>
    <row r="6846" spans="9:10" x14ac:dyDescent="0.45">
      <c r="I6846"/>
      <c r="J6846"/>
    </row>
    <row r="6847" spans="9:10" x14ac:dyDescent="0.45">
      <c r="I6847"/>
      <c r="J6847"/>
    </row>
    <row r="6848" spans="9:10" x14ac:dyDescent="0.45">
      <c r="I6848"/>
      <c r="J6848"/>
    </row>
    <row r="6849" spans="9:10" x14ac:dyDescent="0.45">
      <c r="I6849"/>
      <c r="J6849"/>
    </row>
    <row r="6850" spans="9:10" x14ac:dyDescent="0.45">
      <c r="I6850"/>
      <c r="J6850"/>
    </row>
    <row r="6851" spans="9:10" x14ac:dyDescent="0.45">
      <c r="I6851"/>
      <c r="J6851"/>
    </row>
    <row r="6852" spans="9:10" x14ac:dyDescent="0.45">
      <c r="I6852"/>
      <c r="J6852"/>
    </row>
    <row r="6853" spans="9:10" x14ac:dyDescent="0.45">
      <c r="I6853"/>
      <c r="J6853"/>
    </row>
    <row r="6854" spans="9:10" x14ac:dyDescent="0.45">
      <c r="I6854"/>
      <c r="J6854"/>
    </row>
    <row r="6855" spans="9:10" x14ac:dyDescent="0.45">
      <c r="I6855"/>
      <c r="J6855"/>
    </row>
    <row r="6856" spans="9:10" x14ac:dyDescent="0.45">
      <c r="I6856"/>
      <c r="J6856"/>
    </row>
    <row r="6857" spans="9:10" x14ac:dyDescent="0.45">
      <c r="I6857"/>
      <c r="J6857"/>
    </row>
    <row r="6858" spans="9:10" x14ac:dyDescent="0.45">
      <c r="I6858"/>
      <c r="J6858"/>
    </row>
    <row r="6859" spans="9:10" x14ac:dyDescent="0.45">
      <c r="I6859"/>
      <c r="J6859"/>
    </row>
    <row r="6860" spans="9:10" x14ac:dyDescent="0.45">
      <c r="I6860"/>
      <c r="J6860"/>
    </row>
    <row r="6861" spans="9:10" x14ac:dyDescent="0.45">
      <c r="I6861"/>
      <c r="J6861"/>
    </row>
    <row r="6862" spans="9:10" x14ac:dyDescent="0.45">
      <c r="I6862"/>
      <c r="J6862"/>
    </row>
    <row r="6863" spans="9:10" x14ac:dyDescent="0.45">
      <c r="I6863"/>
      <c r="J6863"/>
    </row>
    <row r="6864" spans="9:10" x14ac:dyDescent="0.45">
      <c r="I6864"/>
      <c r="J6864"/>
    </row>
    <row r="6865" spans="9:10" x14ac:dyDescent="0.45">
      <c r="I6865"/>
      <c r="J6865"/>
    </row>
    <row r="6866" spans="9:10" x14ac:dyDescent="0.45">
      <c r="I6866"/>
      <c r="J6866"/>
    </row>
    <row r="6867" spans="9:10" x14ac:dyDescent="0.45">
      <c r="I6867"/>
      <c r="J6867"/>
    </row>
    <row r="6868" spans="9:10" x14ac:dyDescent="0.45">
      <c r="I6868"/>
      <c r="J6868"/>
    </row>
    <row r="6869" spans="9:10" x14ac:dyDescent="0.45">
      <c r="I6869"/>
      <c r="J6869"/>
    </row>
    <row r="6870" spans="9:10" x14ac:dyDescent="0.45">
      <c r="I6870"/>
      <c r="J6870"/>
    </row>
    <row r="6871" spans="9:10" x14ac:dyDescent="0.45">
      <c r="I6871"/>
      <c r="J6871"/>
    </row>
    <row r="6872" spans="9:10" x14ac:dyDescent="0.45">
      <c r="I6872"/>
      <c r="J6872"/>
    </row>
    <row r="6873" spans="9:10" x14ac:dyDescent="0.45">
      <c r="I6873"/>
      <c r="J6873"/>
    </row>
    <row r="6874" spans="9:10" x14ac:dyDescent="0.45">
      <c r="I6874"/>
      <c r="J6874"/>
    </row>
    <row r="6875" spans="9:10" x14ac:dyDescent="0.45">
      <c r="I6875"/>
      <c r="J6875"/>
    </row>
    <row r="6876" spans="9:10" x14ac:dyDescent="0.45">
      <c r="I6876"/>
      <c r="J6876"/>
    </row>
    <row r="6877" spans="9:10" x14ac:dyDescent="0.45">
      <c r="I6877"/>
      <c r="J6877"/>
    </row>
    <row r="6878" spans="9:10" x14ac:dyDescent="0.45">
      <c r="I6878"/>
      <c r="J6878"/>
    </row>
    <row r="6879" spans="9:10" x14ac:dyDescent="0.45">
      <c r="I6879"/>
      <c r="J6879"/>
    </row>
    <row r="6880" spans="9:10" x14ac:dyDescent="0.45">
      <c r="I6880"/>
      <c r="J6880"/>
    </row>
    <row r="6881" spans="9:10" x14ac:dyDescent="0.45">
      <c r="I6881"/>
      <c r="J6881"/>
    </row>
    <row r="6882" spans="9:10" x14ac:dyDescent="0.45">
      <c r="I6882"/>
      <c r="J6882"/>
    </row>
    <row r="6883" spans="9:10" x14ac:dyDescent="0.45">
      <c r="I6883"/>
      <c r="J6883"/>
    </row>
    <row r="6884" spans="9:10" x14ac:dyDescent="0.45">
      <c r="I6884"/>
      <c r="J6884"/>
    </row>
    <row r="6885" spans="9:10" x14ac:dyDescent="0.45">
      <c r="I6885"/>
      <c r="J6885"/>
    </row>
    <row r="6886" spans="9:10" x14ac:dyDescent="0.45">
      <c r="I6886"/>
      <c r="J6886"/>
    </row>
    <row r="6887" spans="9:10" x14ac:dyDescent="0.45">
      <c r="I6887"/>
      <c r="J6887"/>
    </row>
    <row r="6888" spans="9:10" x14ac:dyDescent="0.45">
      <c r="I6888"/>
      <c r="J6888"/>
    </row>
    <row r="6889" spans="9:10" x14ac:dyDescent="0.45">
      <c r="I6889"/>
      <c r="J6889"/>
    </row>
    <row r="6890" spans="9:10" x14ac:dyDescent="0.45">
      <c r="I6890"/>
      <c r="J6890"/>
    </row>
    <row r="6891" spans="9:10" x14ac:dyDescent="0.45">
      <c r="I6891"/>
      <c r="J6891"/>
    </row>
    <row r="6892" spans="9:10" x14ac:dyDescent="0.45">
      <c r="I6892"/>
      <c r="J6892"/>
    </row>
    <row r="6893" spans="9:10" x14ac:dyDescent="0.45">
      <c r="I6893"/>
      <c r="J6893"/>
    </row>
    <row r="6894" spans="9:10" x14ac:dyDescent="0.45">
      <c r="I6894"/>
      <c r="J6894"/>
    </row>
    <row r="6895" spans="9:10" x14ac:dyDescent="0.45">
      <c r="I6895"/>
      <c r="J6895"/>
    </row>
    <row r="6896" spans="9:10" x14ac:dyDescent="0.45">
      <c r="I6896"/>
      <c r="J6896"/>
    </row>
    <row r="6897" spans="9:10" x14ac:dyDescent="0.45">
      <c r="I6897"/>
      <c r="J6897"/>
    </row>
    <row r="6898" spans="9:10" x14ac:dyDescent="0.45">
      <c r="I6898"/>
      <c r="J6898"/>
    </row>
    <row r="6899" spans="9:10" x14ac:dyDescent="0.45">
      <c r="I6899"/>
      <c r="J6899"/>
    </row>
    <row r="6900" spans="9:10" x14ac:dyDescent="0.45">
      <c r="I6900"/>
      <c r="J6900"/>
    </row>
    <row r="6901" spans="9:10" x14ac:dyDescent="0.45">
      <c r="I6901"/>
      <c r="J6901"/>
    </row>
    <row r="6902" spans="9:10" x14ac:dyDescent="0.45">
      <c r="I6902"/>
      <c r="J6902"/>
    </row>
    <row r="6903" spans="9:10" x14ac:dyDescent="0.45">
      <c r="I6903"/>
      <c r="J6903"/>
    </row>
    <row r="6904" spans="9:10" x14ac:dyDescent="0.45">
      <c r="I6904"/>
      <c r="J6904"/>
    </row>
    <row r="6905" spans="9:10" x14ac:dyDescent="0.45">
      <c r="I6905"/>
      <c r="J6905"/>
    </row>
    <row r="6906" spans="9:10" x14ac:dyDescent="0.45">
      <c r="I6906"/>
      <c r="J6906"/>
    </row>
    <row r="6907" spans="9:10" x14ac:dyDescent="0.45">
      <c r="I6907"/>
      <c r="J6907"/>
    </row>
    <row r="6908" spans="9:10" x14ac:dyDescent="0.45">
      <c r="I6908"/>
      <c r="J6908"/>
    </row>
    <row r="6909" spans="9:10" x14ac:dyDescent="0.45">
      <c r="I6909"/>
      <c r="J6909"/>
    </row>
    <row r="6910" spans="9:10" x14ac:dyDescent="0.45">
      <c r="I6910"/>
      <c r="J6910"/>
    </row>
    <row r="6911" spans="9:10" x14ac:dyDescent="0.45">
      <c r="I6911"/>
      <c r="J6911"/>
    </row>
    <row r="6912" spans="9:10" x14ac:dyDescent="0.45">
      <c r="I6912"/>
      <c r="J6912"/>
    </row>
    <row r="6913" spans="9:10" x14ac:dyDescent="0.45">
      <c r="I6913"/>
      <c r="J6913"/>
    </row>
    <row r="6914" spans="9:10" x14ac:dyDescent="0.45">
      <c r="I6914"/>
      <c r="J6914"/>
    </row>
    <row r="6915" spans="9:10" x14ac:dyDescent="0.45">
      <c r="I6915"/>
      <c r="J6915"/>
    </row>
    <row r="6916" spans="9:10" x14ac:dyDescent="0.45">
      <c r="I6916"/>
      <c r="J6916"/>
    </row>
    <row r="6917" spans="9:10" x14ac:dyDescent="0.45">
      <c r="I6917"/>
      <c r="J6917"/>
    </row>
    <row r="6918" spans="9:10" x14ac:dyDescent="0.45">
      <c r="I6918"/>
      <c r="J6918"/>
    </row>
    <row r="6919" spans="9:10" x14ac:dyDescent="0.45">
      <c r="I6919"/>
      <c r="J6919"/>
    </row>
    <row r="6920" spans="9:10" x14ac:dyDescent="0.45">
      <c r="I6920"/>
      <c r="J6920"/>
    </row>
    <row r="6921" spans="9:10" x14ac:dyDescent="0.45">
      <c r="I6921"/>
      <c r="J6921"/>
    </row>
    <row r="6922" spans="9:10" x14ac:dyDescent="0.45">
      <c r="I6922"/>
      <c r="J6922"/>
    </row>
    <row r="6923" spans="9:10" x14ac:dyDescent="0.45">
      <c r="I6923"/>
      <c r="J6923"/>
    </row>
    <row r="6924" spans="9:10" x14ac:dyDescent="0.45">
      <c r="I6924"/>
      <c r="J6924"/>
    </row>
    <row r="6925" spans="9:10" x14ac:dyDescent="0.45">
      <c r="I6925"/>
      <c r="J6925"/>
    </row>
    <row r="6926" spans="9:10" x14ac:dyDescent="0.45">
      <c r="I6926"/>
      <c r="J6926"/>
    </row>
    <row r="6927" spans="9:10" x14ac:dyDescent="0.45">
      <c r="I6927"/>
      <c r="J6927"/>
    </row>
    <row r="6928" spans="9:10" x14ac:dyDescent="0.45">
      <c r="I6928"/>
      <c r="J6928"/>
    </row>
    <row r="6929" spans="9:10" x14ac:dyDescent="0.45">
      <c r="I6929"/>
      <c r="J6929"/>
    </row>
    <row r="6930" spans="9:10" x14ac:dyDescent="0.45">
      <c r="I6930"/>
      <c r="J6930"/>
    </row>
    <row r="6931" spans="9:10" x14ac:dyDescent="0.45">
      <c r="I6931"/>
      <c r="J6931"/>
    </row>
    <row r="6932" spans="9:10" x14ac:dyDescent="0.45">
      <c r="I6932"/>
      <c r="J6932"/>
    </row>
    <row r="6933" spans="9:10" x14ac:dyDescent="0.45">
      <c r="I6933"/>
      <c r="J6933"/>
    </row>
    <row r="6934" spans="9:10" x14ac:dyDescent="0.45">
      <c r="I6934"/>
      <c r="J6934"/>
    </row>
    <row r="6935" spans="9:10" x14ac:dyDescent="0.45">
      <c r="I6935"/>
      <c r="J6935"/>
    </row>
    <row r="6936" spans="9:10" x14ac:dyDescent="0.45">
      <c r="I6936"/>
      <c r="J6936"/>
    </row>
    <row r="6937" spans="9:10" x14ac:dyDescent="0.45">
      <c r="I6937"/>
      <c r="J6937"/>
    </row>
    <row r="6938" spans="9:10" x14ac:dyDescent="0.45">
      <c r="I6938"/>
      <c r="J6938"/>
    </row>
    <row r="6939" spans="9:10" x14ac:dyDescent="0.45">
      <c r="I6939"/>
      <c r="J6939"/>
    </row>
    <row r="6940" spans="9:10" x14ac:dyDescent="0.45">
      <c r="I6940"/>
      <c r="J6940"/>
    </row>
    <row r="6941" spans="9:10" x14ac:dyDescent="0.45">
      <c r="I6941"/>
      <c r="J6941"/>
    </row>
    <row r="6942" spans="9:10" x14ac:dyDescent="0.45">
      <c r="I6942"/>
      <c r="J6942"/>
    </row>
    <row r="6943" spans="9:10" x14ac:dyDescent="0.45">
      <c r="I6943"/>
      <c r="J6943"/>
    </row>
    <row r="6944" spans="9:10" x14ac:dyDescent="0.45">
      <c r="I6944"/>
      <c r="J6944"/>
    </row>
    <row r="6945" spans="9:10" x14ac:dyDescent="0.45">
      <c r="I6945"/>
      <c r="J6945"/>
    </row>
    <row r="6946" spans="9:10" x14ac:dyDescent="0.45">
      <c r="I6946"/>
      <c r="J6946"/>
    </row>
    <row r="6947" spans="9:10" x14ac:dyDescent="0.45">
      <c r="I6947"/>
      <c r="J6947"/>
    </row>
    <row r="6948" spans="9:10" x14ac:dyDescent="0.45">
      <c r="I6948"/>
      <c r="J6948"/>
    </row>
    <row r="6949" spans="9:10" x14ac:dyDescent="0.45">
      <c r="I6949"/>
      <c r="J6949"/>
    </row>
    <row r="6950" spans="9:10" x14ac:dyDescent="0.45">
      <c r="I6950"/>
      <c r="J6950"/>
    </row>
    <row r="6951" spans="9:10" x14ac:dyDescent="0.45">
      <c r="I6951"/>
      <c r="J6951"/>
    </row>
    <row r="6952" spans="9:10" x14ac:dyDescent="0.45">
      <c r="I6952"/>
      <c r="J6952"/>
    </row>
    <row r="6953" spans="9:10" x14ac:dyDescent="0.45">
      <c r="I6953"/>
      <c r="J6953"/>
    </row>
    <row r="6954" spans="9:10" x14ac:dyDescent="0.45">
      <c r="I6954"/>
      <c r="J6954"/>
    </row>
    <row r="6955" spans="9:10" x14ac:dyDescent="0.45">
      <c r="I6955"/>
      <c r="J6955"/>
    </row>
    <row r="6956" spans="9:10" x14ac:dyDescent="0.45">
      <c r="I6956"/>
      <c r="J6956"/>
    </row>
    <row r="6957" spans="9:10" x14ac:dyDescent="0.45">
      <c r="I6957"/>
      <c r="J6957"/>
    </row>
    <row r="6958" spans="9:10" x14ac:dyDescent="0.45">
      <c r="I6958"/>
      <c r="J6958"/>
    </row>
    <row r="6959" spans="9:10" x14ac:dyDescent="0.45">
      <c r="I6959"/>
      <c r="J6959"/>
    </row>
    <row r="6960" spans="9:10" x14ac:dyDescent="0.45">
      <c r="I6960"/>
      <c r="J6960"/>
    </row>
    <row r="6961" spans="9:10" x14ac:dyDescent="0.45">
      <c r="I6961"/>
      <c r="J6961"/>
    </row>
    <row r="6962" spans="9:10" x14ac:dyDescent="0.45">
      <c r="I6962"/>
      <c r="J6962"/>
    </row>
    <row r="6963" spans="9:10" x14ac:dyDescent="0.45">
      <c r="I6963"/>
      <c r="J6963"/>
    </row>
    <row r="6964" spans="9:10" x14ac:dyDescent="0.45">
      <c r="I6964"/>
      <c r="J6964"/>
    </row>
    <row r="6965" spans="9:10" x14ac:dyDescent="0.45">
      <c r="I6965"/>
      <c r="J6965"/>
    </row>
    <row r="6966" spans="9:10" x14ac:dyDescent="0.45">
      <c r="I6966"/>
      <c r="J6966"/>
    </row>
    <row r="6967" spans="9:10" x14ac:dyDescent="0.45">
      <c r="I6967"/>
      <c r="J6967"/>
    </row>
    <row r="6968" spans="9:10" x14ac:dyDescent="0.45">
      <c r="I6968"/>
      <c r="J6968"/>
    </row>
    <row r="6969" spans="9:10" x14ac:dyDescent="0.45">
      <c r="I6969"/>
      <c r="J6969"/>
    </row>
    <row r="6970" spans="9:10" x14ac:dyDescent="0.45">
      <c r="I6970"/>
      <c r="J6970"/>
    </row>
    <row r="6971" spans="9:10" x14ac:dyDescent="0.45">
      <c r="I6971"/>
      <c r="J6971"/>
    </row>
    <row r="6972" spans="9:10" x14ac:dyDescent="0.45">
      <c r="I6972"/>
      <c r="J6972"/>
    </row>
    <row r="6973" spans="9:10" x14ac:dyDescent="0.45">
      <c r="I6973"/>
      <c r="J6973"/>
    </row>
    <row r="6974" spans="9:10" x14ac:dyDescent="0.45">
      <c r="I6974"/>
      <c r="J6974"/>
    </row>
    <row r="6975" spans="9:10" x14ac:dyDescent="0.45">
      <c r="I6975"/>
      <c r="J6975"/>
    </row>
    <row r="6976" spans="9:10" x14ac:dyDescent="0.45">
      <c r="I6976"/>
      <c r="J6976"/>
    </row>
    <row r="6977" spans="9:10" x14ac:dyDescent="0.45">
      <c r="I6977"/>
      <c r="J6977"/>
    </row>
    <row r="6978" spans="9:10" x14ac:dyDescent="0.45">
      <c r="I6978"/>
      <c r="J6978"/>
    </row>
    <row r="6979" spans="9:10" x14ac:dyDescent="0.45">
      <c r="I6979"/>
      <c r="J6979"/>
    </row>
    <row r="6980" spans="9:10" x14ac:dyDescent="0.45">
      <c r="I6980"/>
      <c r="J6980"/>
    </row>
    <row r="6981" spans="9:10" x14ac:dyDescent="0.45">
      <c r="I6981"/>
      <c r="J6981"/>
    </row>
    <row r="6982" spans="9:10" x14ac:dyDescent="0.45">
      <c r="I6982"/>
      <c r="J6982"/>
    </row>
    <row r="6983" spans="9:10" x14ac:dyDescent="0.45">
      <c r="I6983"/>
      <c r="J6983"/>
    </row>
    <row r="6984" spans="9:10" x14ac:dyDescent="0.45">
      <c r="I6984"/>
      <c r="J6984"/>
    </row>
    <row r="6985" spans="9:10" x14ac:dyDescent="0.45">
      <c r="I6985"/>
      <c r="J6985"/>
    </row>
    <row r="6986" spans="9:10" x14ac:dyDescent="0.45">
      <c r="I6986"/>
      <c r="J6986"/>
    </row>
    <row r="6987" spans="9:10" x14ac:dyDescent="0.45">
      <c r="I6987"/>
      <c r="J6987"/>
    </row>
    <row r="6988" spans="9:10" x14ac:dyDescent="0.45">
      <c r="I6988"/>
      <c r="J6988"/>
    </row>
    <row r="6989" spans="9:10" x14ac:dyDescent="0.45">
      <c r="I6989"/>
      <c r="J6989"/>
    </row>
    <row r="6990" spans="9:10" x14ac:dyDescent="0.45">
      <c r="I6990"/>
      <c r="J6990"/>
    </row>
    <row r="6991" spans="9:10" x14ac:dyDescent="0.45">
      <c r="I6991"/>
      <c r="J6991"/>
    </row>
    <row r="6992" spans="9:10" x14ac:dyDescent="0.45">
      <c r="I6992"/>
      <c r="J6992"/>
    </row>
    <row r="6993" spans="9:10" x14ac:dyDescent="0.45">
      <c r="I6993"/>
      <c r="J6993"/>
    </row>
    <row r="6994" spans="9:10" x14ac:dyDescent="0.45">
      <c r="I6994"/>
      <c r="J6994"/>
    </row>
    <row r="6995" spans="9:10" x14ac:dyDescent="0.45">
      <c r="I6995"/>
      <c r="J6995"/>
    </row>
    <row r="6996" spans="9:10" x14ac:dyDescent="0.45">
      <c r="I6996"/>
      <c r="J6996"/>
    </row>
    <row r="6997" spans="9:10" x14ac:dyDescent="0.45">
      <c r="I6997"/>
      <c r="J6997"/>
    </row>
    <row r="6998" spans="9:10" x14ac:dyDescent="0.45">
      <c r="I6998"/>
      <c r="J6998"/>
    </row>
    <row r="6999" spans="9:10" x14ac:dyDescent="0.45">
      <c r="I6999"/>
      <c r="J6999"/>
    </row>
    <row r="7000" spans="9:10" x14ac:dyDescent="0.45">
      <c r="I7000"/>
      <c r="J7000"/>
    </row>
    <row r="7001" spans="9:10" x14ac:dyDescent="0.45">
      <c r="I7001"/>
      <c r="J7001"/>
    </row>
    <row r="7002" spans="9:10" x14ac:dyDescent="0.45">
      <c r="I7002"/>
      <c r="J7002"/>
    </row>
    <row r="7003" spans="9:10" x14ac:dyDescent="0.45">
      <c r="I7003"/>
      <c r="J7003"/>
    </row>
    <row r="7004" spans="9:10" x14ac:dyDescent="0.45">
      <c r="I7004"/>
      <c r="J7004"/>
    </row>
    <row r="7005" spans="9:10" x14ac:dyDescent="0.45">
      <c r="I7005"/>
      <c r="J7005"/>
    </row>
    <row r="7006" spans="9:10" x14ac:dyDescent="0.45">
      <c r="I7006"/>
      <c r="J7006"/>
    </row>
    <row r="7007" spans="9:10" x14ac:dyDescent="0.45">
      <c r="I7007"/>
      <c r="J7007"/>
    </row>
    <row r="7008" spans="9:10" x14ac:dyDescent="0.45">
      <c r="I7008"/>
      <c r="J7008"/>
    </row>
    <row r="7009" spans="9:10" x14ac:dyDescent="0.45">
      <c r="I7009"/>
      <c r="J7009"/>
    </row>
    <row r="7010" spans="9:10" x14ac:dyDescent="0.45">
      <c r="I7010"/>
      <c r="J7010"/>
    </row>
    <row r="7011" spans="9:10" x14ac:dyDescent="0.45">
      <c r="I7011"/>
      <c r="J7011"/>
    </row>
    <row r="7012" spans="9:10" x14ac:dyDescent="0.45">
      <c r="I7012"/>
      <c r="J7012"/>
    </row>
    <row r="7013" spans="9:10" x14ac:dyDescent="0.45">
      <c r="I7013"/>
      <c r="J7013"/>
    </row>
    <row r="7014" spans="9:10" x14ac:dyDescent="0.45">
      <c r="I7014"/>
      <c r="J7014"/>
    </row>
    <row r="7015" spans="9:10" x14ac:dyDescent="0.45">
      <c r="I7015"/>
      <c r="J7015"/>
    </row>
    <row r="7016" spans="9:10" x14ac:dyDescent="0.45">
      <c r="I7016"/>
      <c r="J7016"/>
    </row>
    <row r="7017" spans="9:10" x14ac:dyDescent="0.45">
      <c r="I7017"/>
      <c r="J7017"/>
    </row>
    <row r="7018" spans="9:10" x14ac:dyDescent="0.45">
      <c r="I7018"/>
      <c r="J7018"/>
    </row>
    <row r="7019" spans="9:10" x14ac:dyDescent="0.45">
      <c r="I7019"/>
      <c r="J7019"/>
    </row>
    <row r="7020" spans="9:10" x14ac:dyDescent="0.45">
      <c r="I7020"/>
      <c r="J7020"/>
    </row>
    <row r="7021" spans="9:10" x14ac:dyDescent="0.45">
      <c r="I7021"/>
      <c r="J7021"/>
    </row>
    <row r="7022" spans="9:10" x14ac:dyDescent="0.45">
      <c r="I7022"/>
      <c r="J7022"/>
    </row>
    <row r="7023" spans="9:10" x14ac:dyDescent="0.45">
      <c r="I7023"/>
      <c r="J7023"/>
    </row>
    <row r="7024" spans="9:10" x14ac:dyDescent="0.45">
      <c r="I7024"/>
      <c r="J7024"/>
    </row>
    <row r="7025" spans="9:10" x14ac:dyDescent="0.45">
      <c r="I7025"/>
      <c r="J7025"/>
    </row>
    <row r="7026" spans="9:10" x14ac:dyDescent="0.45">
      <c r="I7026"/>
      <c r="J7026"/>
    </row>
    <row r="7027" spans="9:10" x14ac:dyDescent="0.45">
      <c r="I7027"/>
      <c r="J7027"/>
    </row>
    <row r="7028" spans="9:10" x14ac:dyDescent="0.45">
      <c r="I7028"/>
      <c r="J7028"/>
    </row>
    <row r="7029" spans="9:10" x14ac:dyDescent="0.45">
      <c r="I7029"/>
      <c r="J7029"/>
    </row>
    <row r="7030" spans="9:10" x14ac:dyDescent="0.45">
      <c r="I7030"/>
      <c r="J7030"/>
    </row>
    <row r="7031" spans="9:10" x14ac:dyDescent="0.45">
      <c r="I7031"/>
      <c r="J7031"/>
    </row>
    <row r="7032" spans="9:10" x14ac:dyDescent="0.45">
      <c r="I7032"/>
      <c r="J7032"/>
    </row>
    <row r="7033" spans="9:10" x14ac:dyDescent="0.45">
      <c r="I7033"/>
      <c r="J7033"/>
    </row>
    <row r="7034" spans="9:10" x14ac:dyDescent="0.45">
      <c r="I7034"/>
      <c r="J7034"/>
    </row>
    <row r="7035" spans="9:10" x14ac:dyDescent="0.45">
      <c r="I7035"/>
      <c r="J7035"/>
    </row>
    <row r="7036" spans="9:10" x14ac:dyDescent="0.45">
      <c r="I7036"/>
      <c r="J7036"/>
    </row>
    <row r="7037" spans="9:10" x14ac:dyDescent="0.45">
      <c r="I7037"/>
      <c r="J7037"/>
    </row>
    <row r="7038" spans="9:10" x14ac:dyDescent="0.45">
      <c r="I7038"/>
      <c r="J7038"/>
    </row>
    <row r="7039" spans="9:10" x14ac:dyDescent="0.45">
      <c r="I7039"/>
      <c r="J7039"/>
    </row>
    <row r="7040" spans="9:10" x14ac:dyDescent="0.45">
      <c r="I7040"/>
      <c r="J7040"/>
    </row>
    <row r="7041" spans="9:10" x14ac:dyDescent="0.45">
      <c r="I7041"/>
      <c r="J7041"/>
    </row>
    <row r="7042" spans="9:10" x14ac:dyDescent="0.45">
      <c r="I7042"/>
      <c r="J7042"/>
    </row>
    <row r="7043" spans="9:10" x14ac:dyDescent="0.45">
      <c r="I7043"/>
      <c r="J7043"/>
    </row>
    <row r="7044" spans="9:10" x14ac:dyDescent="0.45">
      <c r="I7044"/>
      <c r="J7044"/>
    </row>
    <row r="7045" spans="9:10" x14ac:dyDescent="0.45">
      <c r="I7045"/>
      <c r="J7045"/>
    </row>
    <row r="7046" spans="9:10" x14ac:dyDescent="0.45">
      <c r="I7046"/>
      <c r="J7046"/>
    </row>
    <row r="7047" spans="9:10" x14ac:dyDescent="0.45">
      <c r="I7047"/>
      <c r="J7047"/>
    </row>
    <row r="7048" spans="9:10" x14ac:dyDescent="0.45">
      <c r="I7048"/>
      <c r="J7048"/>
    </row>
    <row r="7049" spans="9:10" x14ac:dyDescent="0.45">
      <c r="I7049"/>
      <c r="J7049"/>
    </row>
    <row r="7050" spans="9:10" x14ac:dyDescent="0.45">
      <c r="I7050"/>
      <c r="J7050"/>
    </row>
    <row r="7051" spans="9:10" x14ac:dyDescent="0.45">
      <c r="I7051"/>
      <c r="J7051"/>
    </row>
    <row r="7052" spans="9:10" x14ac:dyDescent="0.45">
      <c r="I7052"/>
      <c r="J7052"/>
    </row>
    <row r="7053" spans="9:10" x14ac:dyDescent="0.45">
      <c r="I7053"/>
      <c r="J7053"/>
    </row>
    <row r="7054" spans="9:10" x14ac:dyDescent="0.45">
      <c r="I7054"/>
      <c r="J7054"/>
    </row>
    <row r="7055" spans="9:10" x14ac:dyDescent="0.45">
      <c r="I7055"/>
      <c r="J7055"/>
    </row>
    <row r="7056" spans="9:10" x14ac:dyDescent="0.45">
      <c r="I7056"/>
      <c r="J7056"/>
    </row>
    <row r="7057" spans="9:10" x14ac:dyDescent="0.45">
      <c r="I7057"/>
      <c r="J7057"/>
    </row>
    <row r="7058" spans="9:10" x14ac:dyDescent="0.45">
      <c r="I7058"/>
      <c r="J7058"/>
    </row>
    <row r="7059" spans="9:10" x14ac:dyDescent="0.45">
      <c r="I7059"/>
      <c r="J7059"/>
    </row>
    <row r="7060" spans="9:10" x14ac:dyDescent="0.45">
      <c r="I7060"/>
      <c r="J7060"/>
    </row>
    <row r="7061" spans="9:10" x14ac:dyDescent="0.45">
      <c r="I7061"/>
      <c r="J7061"/>
    </row>
    <row r="7062" spans="9:10" x14ac:dyDescent="0.45">
      <c r="I7062"/>
      <c r="J7062"/>
    </row>
    <row r="7063" spans="9:10" x14ac:dyDescent="0.45">
      <c r="I7063"/>
      <c r="J7063"/>
    </row>
    <row r="7064" spans="9:10" x14ac:dyDescent="0.45">
      <c r="I7064"/>
      <c r="J7064"/>
    </row>
    <row r="7065" spans="9:10" x14ac:dyDescent="0.45">
      <c r="I7065"/>
      <c r="J7065"/>
    </row>
    <row r="7066" spans="9:10" x14ac:dyDescent="0.45">
      <c r="I7066"/>
      <c r="J7066"/>
    </row>
    <row r="7067" spans="9:10" x14ac:dyDescent="0.45">
      <c r="I7067"/>
      <c r="J7067"/>
    </row>
    <row r="7068" spans="9:10" x14ac:dyDescent="0.45">
      <c r="I7068"/>
      <c r="J7068"/>
    </row>
    <row r="7069" spans="9:10" x14ac:dyDescent="0.45">
      <c r="I7069"/>
      <c r="J7069"/>
    </row>
    <row r="7070" spans="9:10" x14ac:dyDescent="0.45">
      <c r="I7070"/>
      <c r="J7070"/>
    </row>
    <row r="7071" spans="9:10" x14ac:dyDescent="0.45">
      <c r="I7071"/>
      <c r="J7071"/>
    </row>
    <row r="7072" spans="9:10" x14ac:dyDescent="0.45">
      <c r="I7072"/>
      <c r="J7072"/>
    </row>
    <row r="7073" spans="9:10" x14ac:dyDescent="0.45">
      <c r="I7073"/>
      <c r="J7073"/>
    </row>
    <row r="7074" spans="9:10" x14ac:dyDescent="0.45">
      <c r="I7074"/>
      <c r="J7074"/>
    </row>
    <row r="7075" spans="9:10" x14ac:dyDescent="0.45">
      <c r="I7075"/>
      <c r="J7075"/>
    </row>
    <row r="7076" spans="9:10" x14ac:dyDescent="0.45">
      <c r="I7076"/>
      <c r="J7076"/>
    </row>
    <row r="7077" spans="9:10" x14ac:dyDescent="0.45">
      <c r="I7077"/>
      <c r="J7077"/>
    </row>
    <row r="7078" spans="9:10" x14ac:dyDescent="0.45">
      <c r="I7078"/>
      <c r="J7078"/>
    </row>
    <row r="7079" spans="9:10" x14ac:dyDescent="0.45">
      <c r="I7079"/>
      <c r="J7079"/>
    </row>
    <row r="7080" spans="9:10" x14ac:dyDescent="0.45">
      <c r="I7080"/>
      <c r="J7080"/>
    </row>
    <row r="7081" spans="9:10" x14ac:dyDescent="0.45">
      <c r="I7081"/>
      <c r="J7081"/>
    </row>
    <row r="7082" spans="9:10" x14ac:dyDescent="0.45">
      <c r="I7082"/>
      <c r="J7082"/>
    </row>
    <row r="7083" spans="9:10" x14ac:dyDescent="0.45">
      <c r="I7083"/>
      <c r="J7083"/>
    </row>
    <row r="7084" spans="9:10" x14ac:dyDescent="0.45">
      <c r="I7084"/>
      <c r="J7084"/>
    </row>
    <row r="7085" spans="9:10" x14ac:dyDescent="0.45">
      <c r="I7085"/>
      <c r="J7085"/>
    </row>
    <row r="7086" spans="9:10" x14ac:dyDescent="0.45">
      <c r="I7086"/>
      <c r="J7086"/>
    </row>
    <row r="7087" spans="9:10" x14ac:dyDescent="0.45">
      <c r="I7087"/>
      <c r="J7087"/>
    </row>
    <row r="7088" spans="9:10" x14ac:dyDescent="0.45">
      <c r="I7088"/>
      <c r="J7088"/>
    </row>
    <row r="7089" spans="9:10" x14ac:dyDescent="0.45">
      <c r="I7089"/>
      <c r="J7089"/>
    </row>
    <row r="7090" spans="9:10" x14ac:dyDescent="0.45">
      <c r="I7090"/>
      <c r="J7090"/>
    </row>
    <row r="7091" spans="9:10" x14ac:dyDescent="0.45">
      <c r="I7091"/>
      <c r="J7091"/>
    </row>
    <row r="7092" spans="9:10" x14ac:dyDescent="0.45">
      <c r="I7092"/>
      <c r="J7092"/>
    </row>
    <row r="7093" spans="9:10" x14ac:dyDescent="0.45">
      <c r="I7093"/>
      <c r="J7093"/>
    </row>
    <row r="7094" spans="9:10" x14ac:dyDescent="0.45">
      <c r="I7094"/>
      <c r="J7094"/>
    </row>
    <row r="7095" spans="9:10" x14ac:dyDescent="0.45">
      <c r="I7095"/>
      <c r="J7095"/>
    </row>
    <row r="7096" spans="9:10" x14ac:dyDescent="0.45">
      <c r="I7096"/>
      <c r="J7096"/>
    </row>
    <row r="7097" spans="9:10" x14ac:dyDescent="0.45">
      <c r="I7097"/>
      <c r="J7097"/>
    </row>
    <row r="7098" spans="9:10" x14ac:dyDescent="0.45">
      <c r="I7098"/>
      <c r="J7098"/>
    </row>
    <row r="7099" spans="9:10" x14ac:dyDescent="0.45">
      <c r="I7099"/>
      <c r="J7099"/>
    </row>
    <row r="7100" spans="9:10" x14ac:dyDescent="0.45">
      <c r="I7100"/>
      <c r="J7100"/>
    </row>
    <row r="7101" spans="9:10" x14ac:dyDescent="0.45">
      <c r="I7101"/>
      <c r="J7101"/>
    </row>
    <row r="7102" spans="9:10" x14ac:dyDescent="0.45">
      <c r="I7102"/>
      <c r="J7102"/>
    </row>
    <row r="7103" spans="9:10" x14ac:dyDescent="0.45">
      <c r="I7103"/>
      <c r="J7103"/>
    </row>
    <row r="7104" spans="9:10" x14ac:dyDescent="0.45">
      <c r="I7104"/>
      <c r="J7104"/>
    </row>
    <row r="7105" spans="9:10" x14ac:dyDescent="0.45">
      <c r="I7105"/>
      <c r="J7105"/>
    </row>
    <row r="7106" spans="9:10" x14ac:dyDescent="0.45">
      <c r="I7106"/>
      <c r="J7106"/>
    </row>
    <row r="7107" spans="9:10" x14ac:dyDescent="0.45">
      <c r="I7107"/>
      <c r="J7107"/>
    </row>
    <row r="7108" spans="9:10" x14ac:dyDescent="0.45">
      <c r="I7108"/>
      <c r="J7108"/>
    </row>
    <row r="7109" spans="9:10" x14ac:dyDescent="0.45">
      <c r="I7109"/>
      <c r="J7109"/>
    </row>
    <row r="7110" spans="9:10" x14ac:dyDescent="0.45">
      <c r="I7110"/>
      <c r="J7110"/>
    </row>
    <row r="7111" spans="9:10" x14ac:dyDescent="0.45">
      <c r="I7111"/>
      <c r="J7111"/>
    </row>
    <row r="7112" spans="9:10" x14ac:dyDescent="0.45">
      <c r="I7112"/>
      <c r="J7112"/>
    </row>
    <row r="7113" spans="9:10" x14ac:dyDescent="0.45">
      <c r="I7113"/>
      <c r="J7113"/>
    </row>
    <row r="7114" spans="9:10" x14ac:dyDescent="0.45">
      <c r="I7114"/>
      <c r="J7114"/>
    </row>
    <row r="7115" spans="9:10" x14ac:dyDescent="0.45">
      <c r="I7115"/>
      <c r="J7115"/>
    </row>
    <row r="7116" spans="9:10" x14ac:dyDescent="0.45">
      <c r="I7116"/>
      <c r="J7116"/>
    </row>
    <row r="7117" spans="9:10" x14ac:dyDescent="0.45">
      <c r="I7117"/>
      <c r="J7117"/>
    </row>
    <row r="7118" spans="9:10" x14ac:dyDescent="0.45">
      <c r="I7118"/>
      <c r="J7118"/>
    </row>
    <row r="7119" spans="9:10" x14ac:dyDescent="0.45">
      <c r="I7119"/>
      <c r="J7119"/>
    </row>
    <row r="7120" spans="9:10" x14ac:dyDescent="0.45">
      <c r="I7120"/>
      <c r="J7120"/>
    </row>
    <row r="7121" spans="9:10" x14ac:dyDescent="0.45">
      <c r="I7121"/>
      <c r="J7121"/>
    </row>
    <row r="7122" spans="9:10" x14ac:dyDescent="0.45">
      <c r="I7122"/>
      <c r="J7122"/>
    </row>
    <row r="7123" spans="9:10" x14ac:dyDescent="0.45">
      <c r="I7123"/>
      <c r="J7123"/>
    </row>
    <row r="7124" spans="9:10" x14ac:dyDescent="0.45">
      <c r="I7124"/>
      <c r="J7124"/>
    </row>
    <row r="7125" spans="9:10" x14ac:dyDescent="0.45">
      <c r="I7125"/>
      <c r="J7125"/>
    </row>
    <row r="7126" spans="9:10" x14ac:dyDescent="0.45">
      <c r="I7126"/>
      <c r="J7126"/>
    </row>
    <row r="7127" spans="9:10" x14ac:dyDescent="0.45">
      <c r="I7127"/>
      <c r="J7127"/>
    </row>
    <row r="7128" spans="9:10" x14ac:dyDescent="0.45">
      <c r="I7128"/>
      <c r="J7128"/>
    </row>
    <row r="7129" spans="9:10" x14ac:dyDescent="0.45">
      <c r="I7129"/>
      <c r="J7129"/>
    </row>
    <row r="7130" spans="9:10" x14ac:dyDescent="0.45">
      <c r="I7130"/>
      <c r="J7130"/>
    </row>
    <row r="7131" spans="9:10" x14ac:dyDescent="0.45">
      <c r="I7131"/>
      <c r="J7131"/>
    </row>
    <row r="7132" spans="9:10" x14ac:dyDescent="0.45">
      <c r="I7132"/>
      <c r="J7132"/>
    </row>
    <row r="7133" spans="9:10" x14ac:dyDescent="0.45">
      <c r="I7133"/>
      <c r="J7133"/>
    </row>
    <row r="7134" spans="9:10" x14ac:dyDescent="0.45">
      <c r="I7134"/>
      <c r="J7134"/>
    </row>
    <row r="7135" spans="9:10" x14ac:dyDescent="0.45">
      <c r="I7135"/>
      <c r="J7135"/>
    </row>
    <row r="7136" spans="9:10" x14ac:dyDescent="0.45">
      <c r="I7136"/>
      <c r="J7136"/>
    </row>
    <row r="7137" spans="9:10" x14ac:dyDescent="0.45">
      <c r="I7137"/>
      <c r="J7137"/>
    </row>
    <row r="7138" spans="9:10" x14ac:dyDescent="0.45">
      <c r="I7138"/>
      <c r="J7138"/>
    </row>
    <row r="7139" spans="9:10" x14ac:dyDescent="0.45">
      <c r="I7139"/>
      <c r="J7139"/>
    </row>
    <row r="7140" spans="9:10" x14ac:dyDescent="0.45">
      <c r="I7140"/>
      <c r="J7140"/>
    </row>
    <row r="7141" spans="9:10" x14ac:dyDescent="0.45">
      <c r="I7141"/>
      <c r="J7141"/>
    </row>
    <row r="7142" spans="9:10" x14ac:dyDescent="0.45">
      <c r="I7142"/>
      <c r="J7142"/>
    </row>
    <row r="7143" spans="9:10" x14ac:dyDescent="0.45">
      <c r="I7143"/>
      <c r="J7143"/>
    </row>
    <row r="7144" spans="9:10" x14ac:dyDescent="0.45">
      <c r="I7144"/>
      <c r="J7144"/>
    </row>
    <row r="7145" spans="9:10" x14ac:dyDescent="0.45">
      <c r="I7145"/>
      <c r="J7145"/>
    </row>
    <row r="7146" spans="9:10" x14ac:dyDescent="0.45">
      <c r="I7146"/>
      <c r="J7146"/>
    </row>
    <row r="7147" spans="9:10" x14ac:dyDescent="0.45">
      <c r="I7147"/>
      <c r="J7147"/>
    </row>
    <row r="7148" spans="9:10" x14ac:dyDescent="0.45">
      <c r="I7148"/>
      <c r="J7148"/>
    </row>
    <row r="7149" spans="9:10" x14ac:dyDescent="0.45">
      <c r="I7149"/>
      <c r="J7149"/>
    </row>
    <row r="7150" spans="9:10" x14ac:dyDescent="0.45">
      <c r="I7150"/>
      <c r="J7150"/>
    </row>
    <row r="7151" spans="9:10" x14ac:dyDescent="0.45">
      <c r="I7151"/>
      <c r="J7151"/>
    </row>
    <row r="7152" spans="9:10" x14ac:dyDescent="0.45">
      <c r="I7152"/>
      <c r="J7152"/>
    </row>
    <row r="7153" spans="9:10" x14ac:dyDescent="0.45">
      <c r="I7153"/>
      <c r="J7153"/>
    </row>
    <row r="7154" spans="9:10" x14ac:dyDescent="0.45">
      <c r="I7154"/>
      <c r="J7154"/>
    </row>
    <row r="7155" spans="9:10" x14ac:dyDescent="0.45">
      <c r="I7155"/>
      <c r="J7155"/>
    </row>
    <row r="7156" spans="9:10" x14ac:dyDescent="0.45">
      <c r="I7156"/>
      <c r="J7156"/>
    </row>
    <row r="7157" spans="9:10" x14ac:dyDescent="0.45">
      <c r="I7157"/>
      <c r="J7157"/>
    </row>
    <row r="7158" spans="9:10" x14ac:dyDescent="0.45">
      <c r="I7158"/>
      <c r="J7158"/>
    </row>
    <row r="7159" spans="9:10" x14ac:dyDescent="0.45">
      <c r="I7159"/>
      <c r="J7159"/>
    </row>
    <row r="7160" spans="9:10" x14ac:dyDescent="0.45">
      <c r="I7160"/>
      <c r="J7160"/>
    </row>
    <row r="7161" spans="9:10" x14ac:dyDescent="0.45">
      <c r="I7161"/>
      <c r="J7161"/>
    </row>
    <row r="7162" spans="9:10" x14ac:dyDescent="0.45">
      <c r="I7162"/>
      <c r="J7162"/>
    </row>
    <row r="7163" spans="9:10" x14ac:dyDescent="0.45">
      <c r="I7163"/>
      <c r="J7163"/>
    </row>
    <row r="7164" spans="9:10" x14ac:dyDescent="0.45">
      <c r="I7164"/>
      <c r="J7164"/>
    </row>
    <row r="7165" spans="9:10" x14ac:dyDescent="0.45">
      <c r="I7165"/>
      <c r="J7165"/>
    </row>
    <row r="7166" spans="9:10" x14ac:dyDescent="0.45">
      <c r="I7166"/>
      <c r="J7166"/>
    </row>
    <row r="7167" spans="9:10" x14ac:dyDescent="0.45">
      <c r="I7167"/>
      <c r="J7167"/>
    </row>
    <row r="7168" spans="9:10" x14ac:dyDescent="0.45">
      <c r="I7168"/>
      <c r="J7168"/>
    </row>
    <row r="7169" spans="9:10" x14ac:dyDescent="0.45">
      <c r="I7169"/>
      <c r="J7169"/>
    </row>
    <row r="7170" spans="9:10" x14ac:dyDescent="0.45">
      <c r="I7170"/>
      <c r="J7170"/>
    </row>
    <row r="7171" spans="9:10" x14ac:dyDescent="0.45">
      <c r="I7171"/>
      <c r="J7171"/>
    </row>
    <row r="7172" spans="9:10" x14ac:dyDescent="0.45">
      <c r="I7172"/>
      <c r="J7172"/>
    </row>
    <row r="7173" spans="9:10" x14ac:dyDescent="0.45">
      <c r="I7173"/>
      <c r="J7173"/>
    </row>
    <row r="7174" spans="9:10" x14ac:dyDescent="0.45">
      <c r="I7174"/>
      <c r="J7174"/>
    </row>
    <row r="7175" spans="9:10" x14ac:dyDescent="0.45">
      <c r="I7175"/>
      <c r="J7175"/>
    </row>
    <row r="7176" spans="9:10" x14ac:dyDescent="0.45">
      <c r="I7176"/>
      <c r="J7176"/>
    </row>
    <row r="7177" spans="9:10" x14ac:dyDescent="0.45">
      <c r="I7177"/>
      <c r="J7177"/>
    </row>
    <row r="7178" spans="9:10" x14ac:dyDescent="0.45">
      <c r="I7178"/>
      <c r="J7178"/>
    </row>
    <row r="7179" spans="9:10" x14ac:dyDescent="0.45">
      <c r="I7179"/>
      <c r="J7179"/>
    </row>
    <row r="7180" spans="9:10" x14ac:dyDescent="0.45">
      <c r="I7180"/>
      <c r="J7180"/>
    </row>
    <row r="7181" spans="9:10" x14ac:dyDescent="0.45">
      <c r="I7181"/>
      <c r="J7181"/>
    </row>
    <row r="7182" spans="9:10" x14ac:dyDescent="0.45">
      <c r="I7182"/>
      <c r="J7182"/>
    </row>
    <row r="7183" spans="9:10" x14ac:dyDescent="0.45">
      <c r="I7183"/>
      <c r="J7183"/>
    </row>
    <row r="7184" spans="9:10" x14ac:dyDescent="0.45">
      <c r="I7184"/>
      <c r="J7184"/>
    </row>
    <row r="7185" spans="9:10" x14ac:dyDescent="0.45">
      <c r="I7185"/>
      <c r="J7185"/>
    </row>
    <row r="7186" spans="9:10" x14ac:dyDescent="0.45">
      <c r="I7186"/>
      <c r="J7186"/>
    </row>
    <row r="7187" spans="9:10" x14ac:dyDescent="0.45">
      <c r="I7187"/>
      <c r="J7187"/>
    </row>
    <row r="7188" spans="9:10" x14ac:dyDescent="0.45">
      <c r="I7188"/>
      <c r="J7188"/>
    </row>
    <row r="7189" spans="9:10" x14ac:dyDescent="0.45">
      <c r="I7189"/>
      <c r="J7189"/>
    </row>
    <row r="7190" spans="9:10" x14ac:dyDescent="0.45">
      <c r="I7190"/>
      <c r="J7190"/>
    </row>
    <row r="7191" spans="9:10" x14ac:dyDescent="0.45">
      <c r="I7191"/>
      <c r="J7191"/>
    </row>
    <row r="7192" spans="9:10" x14ac:dyDescent="0.45">
      <c r="I7192"/>
      <c r="J7192"/>
    </row>
    <row r="7193" spans="9:10" x14ac:dyDescent="0.45">
      <c r="I7193"/>
      <c r="J7193"/>
    </row>
    <row r="7194" spans="9:10" x14ac:dyDescent="0.45">
      <c r="I7194"/>
      <c r="J7194"/>
    </row>
    <row r="7195" spans="9:10" x14ac:dyDescent="0.45">
      <c r="I7195"/>
      <c r="J7195"/>
    </row>
    <row r="7196" spans="9:10" x14ac:dyDescent="0.45">
      <c r="I7196"/>
      <c r="J7196"/>
    </row>
    <row r="7197" spans="9:10" x14ac:dyDescent="0.45">
      <c r="I7197"/>
      <c r="J7197"/>
    </row>
    <row r="7198" spans="9:10" x14ac:dyDescent="0.45">
      <c r="I7198"/>
      <c r="J7198"/>
    </row>
    <row r="7199" spans="9:10" x14ac:dyDescent="0.45">
      <c r="I7199"/>
      <c r="J7199"/>
    </row>
    <row r="7200" spans="9:10" x14ac:dyDescent="0.45">
      <c r="I7200"/>
      <c r="J7200"/>
    </row>
    <row r="7201" spans="9:10" x14ac:dyDescent="0.45">
      <c r="I7201"/>
      <c r="J7201"/>
    </row>
    <row r="7202" spans="9:10" x14ac:dyDescent="0.45">
      <c r="I7202"/>
      <c r="J7202"/>
    </row>
    <row r="7203" spans="9:10" x14ac:dyDescent="0.45">
      <c r="I7203"/>
      <c r="J7203"/>
    </row>
    <row r="7204" spans="9:10" x14ac:dyDescent="0.45">
      <c r="I7204"/>
      <c r="J7204"/>
    </row>
    <row r="7205" spans="9:10" x14ac:dyDescent="0.45">
      <c r="I7205"/>
      <c r="J7205"/>
    </row>
    <row r="7206" spans="9:10" x14ac:dyDescent="0.45">
      <c r="I7206"/>
      <c r="J7206"/>
    </row>
    <row r="7207" spans="9:10" x14ac:dyDescent="0.45">
      <c r="I7207"/>
      <c r="J7207"/>
    </row>
    <row r="7208" spans="9:10" x14ac:dyDescent="0.45">
      <c r="I7208"/>
      <c r="J7208"/>
    </row>
    <row r="7209" spans="9:10" x14ac:dyDescent="0.45">
      <c r="I7209"/>
      <c r="J7209"/>
    </row>
    <row r="7210" spans="9:10" x14ac:dyDescent="0.45">
      <c r="I7210"/>
      <c r="J7210"/>
    </row>
    <row r="7211" spans="9:10" x14ac:dyDescent="0.45">
      <c r="I7211"/>
      <c r="J7211"/>
    </row>
    <row r="7212" spans="9:10" x14ac:dyDescent="0.45">
      <c r="I7212"/>
      <c r="J7212"/>
    </row>
    <row r="7213" spans="9:10" x14ac:dyDescent="0.45">
      <c r="I7213"/>
      <c r="J7213"/>
    </row>
    <row r="7214" spans="9:10" x14ac:dyDescent="0.45">
      <c r="I7214"/>
      <c r="J7214"/>
    </row>
    <row r="7215" spans="9:10" x14ac:dyDescent="0.45">
      <c r="I7215"/>
      <c r="J7215"/>
    </row>
    <row r="7216" spans="9:10" x14ac:dyDescent="0.45">
      <c r="I7216"/>
      <c r="J7216"/>
    </row>
    <row r="7217" spans="9:10" x14ac:dyDescent="0.45">
      <c r="I7217"/>
      <c r="J7217"/>
    </row>
    <row r="7218" spans="9:10" x14ac:dyDescent="0.45">
      <c r="I7218"/>
      <c r="J7218"/>
    </row>
    <row r="7219" spans="9:10" x14ac:dyDescent="0.45">
      <c r="I7219"/>
      <c r="J7219"/>
    </row>
    <row r="7220" spans="9:10" x14ac:dyDescent="0.45">
      <c r="I7220"/>
      <c r="J7220"/>
    </row>
    <row r="7221" spans="9:10" x14ac:dyDescent="0.45">
      <c r="I7221"/>
      <c r="J7221"/>
    </row>
    <row r="7222" spans="9:10" x14ac:dyDescent="0.45">
      <c r="I7222"/>
      <c r="J7222"/>
    </row>
    <row r="7223" spans="9:10" x14ac:dyDescent="0.45">
      <c r="I7223"/>
      <c r="J7223"/>
    </row>
    <row r="7224" spans="9:10" x14ac:dyDescent="0.45">
      <c r="I7224"/>
      <c r="J7224"/>
    </row>
    <row r="7225" spans="9:10" x14ac:dyDescent="0.45">
      <c r="I7225"/>
      <c r="J7225"/>
    </row>
    <row r="7226" spans="9:10" x14ac:dyDescent="0.45">
      <c r="I7226"/>
      <c r="J7226"/>
    </row>
    <row r="7227" spans="9:10" x14ac:dyDescent="0.45">
      <c r="I7227"/>
      <c r="J7227"/>
    </row>
    <row r="7228" spans="9:10" x14ac:dyDescent="0.45">
      <c r="I7228"/>
      <c r="J7228"/>
    </row>
    <row r="7229" spans="9:10" x14ac:dyDescent="0.45">
      <c r="I7229"/>
      <c r="J7229"/>
    </row>
    <row r="7230" spans="9:10" x14ac:dyDescent="0.45">
      <c r="I7230"/>
      <c r="J7230"/>
    </row>
    <row r="7231" spans="9:10" x14ac:dyDescent="0.45">
      <c r="I7231"/>
      <c r="J7231"/>
    </row>
    <row r="7232" spans="9:10" x14ac:dyDescent="0.45">
      <c r="I7232"/>
      <c r="J7232"/>
    </row>
    <row r="7233" spans="9:10" x14ac:dyDescent="0.45">
      <c r="I7233"/>
      <c r="J7233"/>
    </row>
    <row r="7234" spans="9:10" x14ac:dyDescent="0.45">
      <c r="I7234"/>
      <c r="J7234"/>
    </row>
    <row r="7235" spans="9:10" x14ac:dyDescent="0.45">
      <c r="I7235"/>
      <c r="J7235"/>
    </row>
    <row r="7236" spans="9:10" x14ac:dyDescent="0.45">
      <c r="I7236"/>
      <c r="J7236"/>
    </row>
    <row r="7237" spans="9:10" x14ac:dyDescent="0.45">
      <c r="I7237"/>
      <c r="J7237"/>
    </row>
    <row r="7238" spans="9:10" x14ac:dyDescent="0.45">
      <c r="I7238"/>
      <c r="J7238"/>
    </row>
    <row r="7239" spans="9:10" x14ac:dyDescent="0.45">
      <c r="I7239"/>
      <c r="J7239"/>
    </row>
    <row r="7240" spans="9:10" x14ac:dyDescent="0.45">
      <c r="I7240"/>
      <c r="J7240"/>
    </row>
    <row r="7241" spans="9:10" x14ac:dyDescent="0.45">
      <c r="I7241"/>
      <c r="J7241"/>
    </row>
    <row r="7242" spans="9:10" x14ac:dyDescent="0.45">
      <c r="I7242"/>
      <c r="J7242"/>
    </row>
    <row r="7243" spans="9:10" x14ac:dyDescent="0.45">
      <c r="I7243"/>
      <c r="J7243"/>
    </row>
    <row r="7244" spans="9:10" x14ac:dyDescent="0.45">
      <c r="I7244"/>
      <c r="J7244"/>
    </row>
    <row r="7245" spans="9:10" x14ac:dyDescent="0.45">
      <c r="I7245"/>
      <c r="J7245"/>
    </row>
    <row r="7246" spans="9:10" x14ac:dyDescent="0.45">
      <c r="I7246"/>
      <c r="J7246"/>
    </row>
    <row r="7247" spans="9:10" x14ac:dyDescent="0.45">
      <c r="I7247"/>
      <c r="J7247"/>
    </row>
    <row r="7248" spans="9:10" x14ac:dyDescent="0.45">
      <c r="I7248"/>
      <c r="J7248"/>
    </row>
    <row r="7249" spans="9:10" x14ac:dyDescent="0.45">
      <c r="I7249"/>
      <c r="J7249"/>
    </row>
    <row r="7250" spans="9:10" x14ac:dyDescent="0.45">
      <c r="I7250"/>
      <c r="J7250"/>
    </row>
    <row r="7251" spans="9:10" x14ac:dyDescent="0.45">
      <c r="I7251"/>
      <c r="J7251"/>
    </row>
    <row r="7252" spans="9:10" x14ac:dyDescent="0.45">
      <c r="I7252"/>
      <c r="J7252"/>
    </row>
    <row r="7253" spans="9:10" x14ac:dyDescent="0.45">
      <c r="I7253"/>
      <c r="J7253"/>
    </row>
    <row r="7254" spans="9:10" x14ac:dyDescent="0.45">
      <c r="I7254"/>
      <c r="J7254"/>
    </row>
    <row r="7255" spans="9:10" x14ac:dyDescent="0.45">
      <c r="I7255"/>
      <c r="J7255"/>
    </row>
    <row r="7256" spans="9:10" x14ac:dyDescent="0.45">
      <c r="I7256"/>
      <c r="J7256"/>
    </row>
    <row r="7257" spans="9:10" x14ac:dyDescent="0.45">
      <c r="I7257"/>
      <c r="J7257"/>
    </row>
    <row r="7258" spans="9:10" x14ac:dyDescent="0.45">
      <c r="I7258"/>
      <c r="J7258"/>
    </row>
    <row r="7259" spans="9:10" x14ac:dyDescent="0.45">
      <c r="I7259"/>
      <c r="J7259"/>
    </row>
    <row r="7260" spans="9:10" x14ac:dyDescent="0.45">
      <c r="I7260"/>
      <c r="J7260"/>
    </row>
    <row r="7261" spans="9:10" x14ac:dyDescent="0.45">
      <c r="I7261"/>
      <c r="J7261"/>
    </row>
    <row r="7262" spans="9:10" x14ac:dyDescent="0.45">
      <c r="I7262"/>
      <c r="J7262"/>
    </row>
    <row r="7263" spans="9:10" x14ac:dyDescent="0.45">
      <c r="I7263"/>
      <c r="J7263"/>
    </row>
    <row r="7264" spans="9:10" x14ac:dyDescent="0.45">
      <c r="I7264"/>
      <c r="J7264"/>
    </row>
    <row r="7265" spans="9:10" x14ac:dyDescent="0.45">
      <c r="I7265"/>
      <c r="J7265"/>
    </row>
    <row r="7266" spans="9:10" x14ac:dyDescent="0.45">
      <c r="I7266"/>
      <c r="J7266"/>
    </row>
    <row r="7267" spans="9:10" x14ac:dyDescent="0.45">
      <c r="I7267"/>
      <c r="J7267"/>
    </row>
    <row r="7268" spans="9:10" x14ac:dyDescent="0.45">
      <c r="I7268"/>
      <c r="J7268"/>
    </row>
    <row r="7269" spans="9:10" x14ac:dyDescent="0.45">
      <c r="I7269"/>
      <c r="J7269"/>
    </row>
    <row r="7270" spans="9:10" x14ac:dyDescent="0.45">
      <c r="I7270"/>
      <c r="J7270"/>
    </row>
    <row r="7271" spans="9:10" x14ac:dyDescent="0.45">
      <c r="I7271"/>
      <c r="J7271"/>
    </row>
    <row r="7272" spans="9:10" x14ac:dyDescent="0.45">
      <c r="I7272"/>
      <c r="J7272"/>
    </row>
    <row r="7273" spans="9:10" x14ac:dyDescent="0.45">
      <c r="I7273"/>
      <c r="J7273"/>
    </row>
    <row r="7274" spans="9:10" x14ac:dyDescent="0.45">
      <c r="I7274"/>
      <c r="J7274"/>
    </row>
    <row r="7275" spans="9:10" x14ac:dyDescent="0.45">
      <c r="I7275"/>
      <c r="J7275"/>
    </row>
    <row r="7276" spans="9:10" x14ac:dyDescent="0.45">
      <c r="I7276"/>
      <c r="J7276"/>
    </row>
    <row r="7277" spans="9:10" x14ac:dyDescent="0.45">
      <c r="I7277"/>
      <c r="J7277"/>
    </row>
    <row r="7278" spans="9:10" x14ac:dyDescent="0.45">
      <c r="I7278"/>
      <c r="J7278"/>
    </row>
    <row r="7279" spans="9:10" x14ac:dyDescent="0.45">
      <c r="I7279"/>
      <c r="J7279"/>
    </row>
    <row r="7280" spans="9:10" x14ac:dyDescent="0.45">
      <c r="I7280"/>
      <c r="J7280"/>
    </row>
    <row r="7281" spans="9:10" x14ac:dyDescent="0.45">
      <c r="I7281"/>
      <c r="J7281"/>
    </row>
    <row r="7282" spans="9:10" x14ac:dyDescent="0.45">
      <c r="I7282"/>
      <c r="J7282"/>
    </row>
    <row r="7283" spans="9:10" x14ac:dyDescent="0.45">
      <c r="I7283"/>
      <c r="J7283"/>
    </row>
    <row r="7284" spans="9:10" x14ac:dyDescent="0.45">
      <c r="I7284"/>
      <c r="J7284"/>
    </row>
    <row r="7285" spans="9:10" x14ac:dyDescent="0.45">
      <c r="I7285"/>
      <c r="J7285"/>
    </row>
    <row r="7286" spans="9:10" x14ac:dyDescent="0.45">
      <c r="I7286"/>
      <c r="J7286"/>
    </row>
    <row r="7287" spans="9:10" x14ac:dyDescent="0.45">
      <c r="I7287"/>
      <c r="J7287"/>
    </row>
    <row r="7288" spans="9:10" x14ac:dyDescent="0.45">
      <c r="I7288"/>
      <c r="J7288"/>
    </row>
    <row r="7289" spans="9:10" x14ac:dyDescent="0.45">
      <c r="I7289"/>
      <c r="J7289"/>
    </row>
    <row r="7290" spans="9:10" x14ac:dyDescent="0.45">
      <c r="I7290"/>
      <c r="J7290"/>
    </row>
    <row r="7291" spans="9:10" x14ac:dyDescent="0.45">
      <c r="I7291"/>
      <c r="J7291"/>
    </row>
    <row r="7292" spans="9:10" x14ac:dyDescent="0.45">
      <c r="I7292"/>
      <c r="J7292"/>
    </row>
    <row r="7293" spans="9:10" x14ac:dyDescent="0.45">
      <c r="I7293"/>
      <c r="J7293"/>
    </row>
    <row r="7294" spans="9:10" x14ac:dyDescent="0.45">
      <c r="I7294"/>
      <c r="J7294"/>
    </row>
    <row r="7295" spans="9:10" x14ac:dyDescent="0.45">
      <c r="I7295"/>
      <c r="J7295"/>
    </row>
    <row r="7296" spans="9:10" x14ac:dyDescent="0.45">
      <c r="I7296"/>
      <c r="J7296"/>
    </row>
    <row r="7297" spans="9:10" x14ac:dyDescent="0.45">
      <c r="I7297"/>
      <c r="J7297"/>
    </row>
    <row r="7298" spans="9:10" x14ac:dyDescent="0.45">
      <c r="I7298"/>
      <c r="J7298"/>
    </row>
    <row r="7299" spans="9:10" x14ac:dyDescent="0.45">
      <c r="I7299"/>
      <c r="J7299"/>
    </row>
    <row r="7300" spans="9:10" x14ac:dyDescent="0.45">
      <c r="I7300"/>
      <c r="J7300"/>
    </row>
    <row r="7301" spans="9:10" x14ac:dyDescent="0.45">
      <c r="I7301"/>
      <c r="J7301"/>
    </row>
    <row r="7302" spans="9:10" x14ac:dyDescent="0.45">
      <c r="I7302"/>
      <c r="J7302"/>
    </row>
    <row r="7303" spans="9:10" x14ac:dyDescent="0.45">
      <c r="I7303"/>
      <c r="J7303"/>
    </row>
    <row r="7304" spans="9:10" x14ac:dyDescent="0.45">
      <c r="I7304"/>
      <c r="J7304"/>
    </row>
    <row r="7305" spans="9:10" x14ac:dyDescent="0.45">
      <c r="I7305"/>
      <c r="J7305"/>
    </row>
    <row r="7306" spans="9:10" x14ac:dyDescent="0.45">
      <c r="I7306"/>
      <c r="J7306"/>
    </row>
    <row r="7307" spans="9:10" x14ac:dyDescent="0.45">
      <c r="I7307"/>
      <c r="J7307"/>
    </row>
    <row r="7308" spans="9:10" x14ac:dyDescent="0.45">
      <c r="I7308"/>
      <c r="J7308"/>
    </row>
    <row r="7309" spans="9:10" x14ac:dyDescent="0.45">
      <c r="I7309"/>
      <c r="J7309"/>
    </row>
    <row r="7310" spans="9:10" x14ac:dyDescent="0.45">
      <c r="I7310"/>
      <c r="J7310"/>
    </row>
    <row r="7311" spans="9:10" x14ac:dyDescent="0.45">
      <c r="I7311"/>
      <c r="J7311"/>
    </row>
    <row r="7312" spans="9:10" x14ac:dyDescent="0.45">
      <c r="I7312"/>
      <c r="J7312"/>
    </row>
    <row r="7313" spans="9:10" x14ac:dyDescent="0.45">
      <c r="I7313"/>
      <c r="J7313"/>
    </row>
    <row r="7314" spans="9:10" x14ac:dyDescent="0.45">
      <c r="I7314"/>
      <c r="J7314"/>
    </row>
    <row r="7315" spans="9:10" x14ac:dyDescent="0.45">
      <c r="I7315"/>
      <c r="J7315"/>
    </row>
    <row r="7316" spans="9:10" x14ac:dyDescent="0.45">
      <c r="I7316"/>
      <c r="J7316"/>
    </row>
    <row r="7317" spans="9:10" x14ac:dyDescent="0.45">
      <c r="I7317"/>
      <c r="J7317"/>
    </row>
    <row r="7318" spans="9:10" x14ac:dyDescent="0.45">
      <c r="I7318"/>
      <c r="J7318"/>
    </row>
    <row r="7319" spans="9:10" x14ac:dyDescent="0.45">
      <c r="I7319"/>
      <c r="J7319"/>
    </row>
    <row r="7320" spans="9:10" x14ac:dyDescent="0.45">
      <c r="I7320"/>
      <c r="J7320"/>
    </row>
    <row r="7321" spans="9:10" x14ac:dyDescent="0.45">
      <c r="I7321"/>
      <c r="J7321"/>
    </row>
    <row r="7322" spans="9:10" x14ac:dyDescent="0.45">
      <c r="I7322"/>
      <c r="J7322"/>
    </row>
    <row r="7323" spans="9:10" x14ac:dyDescent="0.45">
      <c r="I7323"/>
      <c r="J7323"/>
    </row>
    <row r="7324" spans="9:10" x14ac:dyDescent="0.45">
      <c r="I7324"/>
      <c r="J7324"/>
    </row>
    <row r="7325" spans="9:10" x14ac:dyDescent="0.45">
      <c r="I7325"/>
      <c r="J7325"/>
    </row>
    <row r="7326" spans="9:10" x14ac:dyDescent="0.45">
      <c r="I7326"/>
      <c r="J7326"/>
    </row>
    <row r="7327" spans="9:10" x14ac:dyDescent="0.45">
      <c r="I7327"/>
      <c r="J7327"/>
    </row>
    <row r="7328" spans="9:10" x14ac:dyDescent="0.45">
      <c r="I7328"/>
      <c r="J7328"/>
    </row>
    <row r="7329" spans="9:10" x14ac:dyDescent="0.45">
      <c r="I7329"/>
      <c r="J7329"/>
    </row>
    <row r="7330" spans="9:10" x14ac:dyDescent="0.45">
      <c r="I7330"/>
      <c r="J7330"/>
    </row>
    <row r="7331" spans="9:10" x14ac:dyDescent="0.45">
      <c r="I7331"/>
      <c r="J7331"/>
    </row>
    <row r="7332" spans="9:10" x14ac:dyDescent="0.45">
      <c r="I7332"/>
      <c r="J7332"/>
    </row>
    <row r="7333" spans="9:10" x14ac:dyDescent="0.45">
      <c r="I7333"/>
      <c r="J7333"/>
    </row>
    <row r="7334" spans="9:10" x14ac:dyDescent="0.45">
      <c r="I7334"/>
      <c r="J7334"/>
    </row>
    <row r="7335" spans="9:10" x14ac:dyDescent="0.45">
      <c r="I7335"/>
      <c r="J7335"/>
    </row>
    <row r="7336" spans="9:10" x14ac:dyDescent="0.45">
      <c r="I7336"/>
      <c r="J7336"/>
    </row>
    <row r="7337" spans="9:10" x14ac:dyDescent="0.45">
      <c r="I7337"/>
      <c r="J7337"/>
    </row>
    <row r="7338" spans="9:10" x14ac:dyDescent="0.45">
      <c r="I7338"/>
      <c r="J7338"/>
    </row>
    <row r="7339" spans="9:10" x14ac:dyDescent="0.45">
      <c r="I7339"/>
      <c r="J7339"/>
    </row>
    <row r="7340" spans="9:10" x14ac:dyDescent="0.45">
      <c r="I7340"/>
      <c r="J7340"/>
    </row>
    <row r="7341" spans="9:10" x14ac:dyDescent="0.45">
      <c r="I7341"/>
      <c r="J7341"/>
    </row>
    <row r="7342" spans="9:10" x14ac:dyDescent="0.45">
      <c r="I7342"/>
      <c r="J7342"/>
    </row>
    <row r="7343" spans="9:10" x14ac:dyDescent="0.45">
      <c r="I7343"/>
      <c r="J7343"/>
    </row>
    <row r="7344" spans="9:10" x14ac:dyDescent="0.45">
      <c r="I7344"/>
      <c r="J7344"/>
    </row>
    <row r="7345" spans="9:10" x14ac:dyDescent="0.45">
      <c r="I7345"/>
      <c r="J7345"/>
    </row>
    <row r="7346" spans="9:10" x14ac:dyDescent="0.45">
      <c r="I7346"/>
      <c r="J7346"/>
    </row>
    <row r="7347" spans="9:10" x14ac:dyDescent="0.45">
      <c r="I7347"/>
      <c r="J7347"/>
    </row>
    <row r="7348" spans="9:10" x14ac:dyDescent="0.45">
      <c r="I7348"/>
      <c r="J7348"/>
    </row>
    <row r="7349" spans="9:10" x14ac:dyDescent="0.45">
      <c r="I7349"/>
      <c r="J7349"/>
    </row>
    <row r="7350" spans="9:10" x14ac:dyDescent="0.45">
      <c r="I7350"/>
      <c r="J7350"/>
    </row>
    <row r="7351" spans="9:10" x14ac:dyDescent="0.45">
      <c r="I7351"/>
      <c r="J7351"/>
    </row>
    <row r="7352" spans="9:10" x14ac:dyDescent="0.45">
      <c r="I7352"/>
      <c r="J7352"/>
    </row>
    <row r="7353" spans="9:10" x14ac:dyDescent="0.45">
      <c r="I7353"/>
      <c r="J7353"/>
    </row>
    <row r="7354" spans="9:10" x14ac:dyDescent="0.45">
      <c r="I7354"/>
      <c r="J7354"/>
    </row>
    <row r="7355" spans="9:10" x14ac:dyDescent="0.45">
      <c r="I7355"/>
      <c r="J7355"/>
    </row>
    <row r="7356" spans="9:10" x14ac:dyDescent="0.45">
      <c r="I7356"/>
      <c r="J7356"/>
    </row>
    <row r="7357" spans="9:10" x14ac:dyDescent="0.45">
      <c r="I7357"/>
      <c r="J7357"/>
    </row>
    <row r="7358" spans="9:10" x14ac:dyDescent="0.45">
      <c r="I7358"/>
      <c r="J7358"/>
    </row>
    <row r="7359" spans="9:10" x14ac:dyDescent="0.45">
      <c r="I7359"/>
      <c r="J7359"/>
    </row>
    <row r="7360" spans="9:10" x14ac:dyDescent="0.45">
      <c r="I7360"/>
      <c r="J7360"/>
    </row>
    <row r="7361" spans="9:10" x14ac:dyDescent="0.45">
      <c r="I7361"/>
      <c r="J7361"/>
    </row>
    <row r="7362" spans="9:10" x14ac:dyDescent="0.45">
      <c r="I7362"/>
      <c r="J7362"/>
    </row>
    <row r="7363" spans="9:10" x14ac:dyDescent="0.45">
      <c r="I7363"/>
      <c r="J7363"/>
    </row>
    <row r="7364" spans="9:10" x14ac:dyDescent="0.45">
      <c r="I7364"/>
      <c r="J7364"/>
    </row>
    <row r="7365" spans="9:10" x14ac:dyDescent="0.45">
      <c r="I7365"/>
      <c r="J7365"/>
    </row>
    <row r="7366" spans="9:10" x14ac:dyDescent="0.45">
      <c r="I7366"/>
      <c r="J7366"/>
    </row>
    <row r="7367" spans="9:10" x14ac:dyDescent="0.45">
      <c r="I7367"/>
      <c r="J7367"/>
    </row>
    <row r="7368" spans="9:10" x14ac:dyDescent="0.45">
      <c r="I7368"/>
      <c r="J7368"/>
    </row>
    <row r="7369" spans="9:10" x14ac:dyDescent="0.45">
      <c r="I7369"/>
      <c r="J7369"/>
    </row>
    <row r="7370" spans="9:10" x14ac:dyDescent="0.45">
      <c r="I7370"/>
      <c r="J7370"/>
    </row>
    <row r="7371" spans="9:10" x14ac:dyDescent="0.45">
      <c r="I7371"/>
      <c r="J7371"/>
    </row>
    <row r="7372" spans="9:10" x14ac:dyDescent="0.45">
      <c r="I7372"/>
      <c r="J7372"/>
    </row>
    <row r="7373" spans="9:10" x14ac:dyDescent="0.45">
      <c r="I7373"/>
      <c r="J7373"/>
    </row>
    <row r="7374" spans="9:10" x14ac:dyDescent="0.45">
      <c r="I7374"/>
      <c r="J7374"/>
    </row>
    <row r="7375" spans="9:10" x14ac:dyDescent="0.45">
      <c r="I7375"/>
      <c r="J7375"/>
    </row>
    <row r="7376" spans="9:10" x14ac:dyDescent="0.45">
      <c r="I7376"/>
      <c r="J7376"/>
    </row>
    <row r="7377" spans="9:10" x14ac:dyDescent="0.45">
      <c r="I7377"/>
      <c r="J7377"/>
    </row>
    <row r="7378" spans="9:10" x14ac:dyDescent="0.45">
      <c r="I7378"/>
      <c r="J7378"/>
    </row>
    <row r="7379" spans="9:10" x14ac:dyDescent="0.45">
      <c r="I7379"/>
      <c r="J7379"/>
    </row>
    <row r="7380" spans="9:10" x14ac:dyDescent="0.45">
      <c r="I7380"/>
      <c r="J7380"/>
    </row>
    <row r="7381" spans="9:10" x14ac:dyDescent="0.45">
      <c r="I7381"/>
      <c r="J7381"/>
    </row>
    <row r="7382" spans="9:10" x14ac:dyDescent="0.45">
      <c r="I7382"/>
      <c r="J7382"/>
    </row>
    <row r="7383" spans="9:10" x14ac:dyDescent="0.45">
      <c r="I7383"/>
      <c r="J7383"/>
    </row>
    <row r="7384" spans="9:10" x14ac:dyDescent="0.45">
      <c r="I7384"/>
      <c r="J7384"/>
    </row>
    <row r="7385" spans="9:10" x14ac:dyDescent="0.45">
      <c r="I7385"/>
      <c r="J7385"/>
    </row>
    <row r="7386" spans="9:10" x14ac:dyDescent="0.45">
      <c r="I7386"/>
      <c r="J7386"/>
    </row>
    <row r="7387" spans="9:10" x14ac:dyDescent="0.45">
      <c r="I7387"/>
      <c r="J7387"/>
    </row>
    <row r="7388" spans="9:10" x14ac:dyDescent="0.45">
      <c r="I7388"/>
      <c r="J7388"/>
    </row>
    <row r="7389" spans="9:10" x14ac:dyDescent="0.45">
      <c r="I7389"/>
      <c r="J7389"/>
    </row>
    <row r="7390" spans="9:10" x14ac:dyDescent="0.45">
      <c r="I7390"/>
      <c r="J7390"/>
    </row>
    <row r="7391" spans="9:10" x14ac:dyDescent="0.45">
      <c r="I7391"/>
      <c r="J7391"/>
    </row>
    <row r="7392" spans="9:10" x14ac:dyDescent="0.45">
      <c r="I7392"/>
      <c r="J7392"/>
    </row>
    <row r="7393" spans="9:10" x14ac:dyDescent="0.45">
      <c r="I7393"/>
      <c r="J7393"/>
    </row>
    <row r="7394" spans="9:10" x14ac:dyDescent="0.45">
      <c r="I7394"/>
      <c r="J7394"/>
    </row>
    <row r="7395" spans="9:10" x14ac:dyDescent="0.45">
      <c r="I7395"/>
      <c r="J7395"/>
    </row>
    <row r="7396" spans="9:10" x14ac:dyDescent="0.45">
      <c r="I7396"/>
      <c r="J7396"/>
    </row>
    <row r="7397" spans="9:10" x14ac:dyDescent="0.45">
      <c r="I7397"/>
      <c r="J7397"/>
    </row>
    <row r="7398" spans="9:10" x14ac:dyDescent="0.45">
      <c r="I7398"/>
      <c r="J7398"/>
    </row>
    <row r="7399" spans="9:10" x14ac:dyDescent="0.45">
      <c r="I7399"/>
      <c r="J7399"/>
    </row>
    <row r="7400" spans="9:10" x14ac:dyDescent="0.45">
      <c r="I7400"/>
      <c r="J7400"/>
    </row>
    <row r="7401" spans="9:10" x14ac:dyDescent="0.45">
      <c r="I7401"/>
      <c r="J7401"/>
    </row>
    <row r="7402" spans="9:10" x14ac:dyDescent="0.45">
      <c r="I7402"/>
      <c r="J7402"/>
    </row>
    <row r="7403" spans="9:10" x14ac:dyDescent="0.45">
      <c r="I7403"/>
      <c r="J7403"/>
    </row>
    <row r="7404" spans="9:10" x14ac:dyDescent="0.45">
      <c r="I7404"/>
      <c r="J7404"/>
    </row>
    <row r="7405" spans="9:10" x14ac:dyDescent="0.45">
      <c r="I7405"/>
      <c r="J7405"/>
    </row>
    <row r="7406" spans="9:10" x14ac:dyDescent="0.45">
      <c r="I7406"/>
      <c r="J7406"/>
    </row>
    <row r="7407" spans="9:10" x14ac:dyDescent="0.45">
      <c r="I7407"/>
      <c r="J7407"/>
    </row>
    <row r="7408" spans="9:10" x14ac:dyDescent="0.45">
      <c r="I7408"/>
      <c r="J7408"/>
    </row>
    <row r="7409" spans="9:10" x14ac:dyDescent="0.45">
      <c r="I7409"/>
      <c r="J7409"/>
    </row>
    <row r="7410" spans="9:10" x14ac:dyDescent="0.45">
      <c r="I7410"/>
      <c r="J7410"/>
    </row>
    <row r="7411" spans="9:10" x14ac:dyDescent="0.45">
      <c r="I7411"/>
      <c r="J7411"/>
    </row>
    <row r="7412" spans="9:10" x14ac:dyDescent="0.45">
      <c r="I7412"/>
      <c r="J7412"/>
    </row>
    <row r="7413" spans="9:10" x14ac:dyDescent="0.45">
      <c r="I7413"/>
      <c r="J7413"/>
    </row>
    <row r="7414" spans="9:10" x14ac:dyDescent="0.45">
      <c r="I7414"/>
      <c r="J7414"/>
    </row>
    <row r="7415" spans="9:10" x14ac:dyDescent="0.45">
      <c r="I7415"/>
      <c r="J7415"/>
    </row>
    <row r="7416" spans="9:10" x14ac:dyDescent="0.45">
      <c r="I7416"/>
      <c r="J7416"/>
    </row>
    <row r="7417" spans="9:10" x14ac:dyDescent="0.45">
      <c r="I7417"/>
      <c r="J7417"/>
    </row>
    <row r="7418" spans="9:10" x14ac:dyDescent="0.45">
      <c r="I7418"/>
      <c r="J7418"/>
    </row>
    <row r="7419" spans="9:10" x14ac:dyDescent="0.45">
      <c r="I7419"/>
      <c r="J7419"/>
    </row>
    <row r="7420" spans="9:10" x14ac:dyDescent="0.45">
      <c r="I7420"/>
      <c r="J7420"/>
    </row>
    <row r="7421" spans="9:10" x14ac:dyDescent="0.45">
      <c r="I7421"/>
      <c r="J7421"/>
    </row>
    <row r="7422" spans="9:10" x14ac:dyDescent="0.45">
      <c r="I7422"/>
      <c r="J7422"/>
    </row>
    <row r="7423" spans="9:10" x14ac:dyDescent="0.45">
      <c r="I7423"/>
      <c r="J7423"/>
    </row>
    <row r="7424" spans="9:10" x14ac:dyDescent="0.45">
      <c r="I7424"/>
      <c r="J7424"/>
    </row>
    <row r="7425" spans="9:10" x14ac:dyDescent="0.45">
      <c r="I7425"/>
      <c r="J7425"/>
    </row>
    <row r="7426" spans="9:10" x14ac:dyDescent="0.45">
      <c r="I7426"/>
      <c r="J7426"/>
    </row>
    <row r="7427" spans="9:10" x14ac:dyDescent="0.45">
      <c r="I7427"/>
      <c r="J7427"/>
    </row>
    <row r="7428" spans="9:10" x14ac:dyDescent="0.45">
      <c r="I7428"/>
      <c r="J7428"/>
    </row>
    <row r="7429" spans="9:10" x14ac:dyDescent="0.45">
      <c r="I7429"/>
      <c r="J7429"/>
    </row>
    <row r="7430" spans="9:10" x14ac:dyDescent="0.45">
      <c r="I7430"/>
      <c r="J7430"/>
    </row>
    <row r="7431" spans="9:10" x14ac:dyDescent="0.45">
      <c r="I7431"/>
      <c r="J7431"/>
    </row>
    <row r="7432" spans="9:10" x14ac:dyDescent="0.45">
      <c r="I7432"/>
      <c r="J7432"/>
    </row>
    <row r="7433" spans="9:10" x14ac:dyDescent="0.45">
      <c r="I7433"/>
      <c r="J7433"/>
    </row>
    <row r="7434" spans="9:10" x14ac:dyDescent="0.45">
      <c r="I7434"/>
      <c r="J7434"/>
    </row>
    <row r="7435" spans="9:10" x14ac:dyDescent="0.45">
      <c r="I7435"/>
      <c r="J7435"/>
    </row>
    <row r="7436" spans="9:10" x14ac:dyDescent="0.45">
      <c r="I7436"/>
      <c r="J7436"/>
    </row>
    <row r="7437" spans="9:10" x14ac:dyDescent="0.45">
      <c r="I7437"/>
      <c r="J7437"/>
    </row>
    <row r="7438" spans="9:10" x14ac:dyDescent="0.45">
      <c r="I7438"/>
      <c r="J7438"/>
    </row>
    <row r="7439" spans="9:10" x14ac:dyDescent="0.45">
      <c r="I7439"/>
      <c r="J7439"/>
    </row>
    <row r="7440" spans="9:10" x14ac:dyDescent="0.45">
      <c r="I7440"/>
      <c r="J7440"/>
    </row>
    <row r="7441" spans="9:10" x14ac:dyDescent="0.45">
      <c r="I7441"/>
      <c r="J7441"/>
    </row>
    <row r="7442" spans="9:10" x14ac:dyDescent="0.45">
      <c r="I7442"/>
      <c r="J7442"/>
    </row>
    <row r="7443" spans="9:10" x14ac:dyDescent="0.45">
      <c r="I7443"/>
      <c r="J7443"/>
    </row>
    <row r="7444" spans="9:10" x14ac:dyDescent="0.45">
      <c r="I7444"/>
      <c r="J7444"/>
    </row>
    <row r="7445" spans="9:10" x14ac:dyDescent="0.45">
      <c r="I7445"/>
      <c r="J7445"/>
    </row>
    <row r="7446" spans="9:10" x14ac:dyDescent="0.45">
      <c r="I7446"/>
      <c r="J7446"/>
    </row>
    <row r="7447" spans="9:10" x14ac:dyDescent="0.45">
      <c r="I7447"/>
      <c r="J7447"/>
    </row>
    <row r="7448" spans="9:10" x14ac:dyDescent="0.45">
      <c r="I7448"/>
      <c r="J7448"/>
    </row>
    <row r="7449" spans="9:10" x14ac:dyDescent="0.45">
      <c r="I7449"/>
      <c r="J7449"/>
    </row>
    <row r="7450" spans="9:10" x14ac:dyDescent="0.45">
      <c r="I7450"/>
      <c r="J7450"/>
    </row>
    <row r="7451" spans="9:10" x14ac:dyDescent="0.45">
      <c r="I7451"/>
      <c r="J7451"/>
    </row>
    <row r="7452" spans="9:10" x14ac:dyDescent="0.45">
      <c r="I7452"/>
      <c r="J7452"/>
    </row>
    <row r="7453" spans="9:10" x14ac:dyDescent="0.45">
      <c r="I7453"/>
      <c r="J7453"/>
    </row>
    <row r="7454" spans="9:10" x14ac:dyDescent="0.45">
      <c r="I7454"/>
      <c r="J7454"/>
    </row>
    <row r="7455" spans="9:10" x14ac:dyDescent="0.45">
      <c r="I7455"/>
      <c r="J7455"/>
    </row>
    <row r="7456" spans="9:10" x14ac:dyDescent="0.45">
      <c r="I7456"/>
      <c r="J7456"/>
    </row>
    <row r="7457" spans="9:10" x14ac:dyDescent="0.45">
      <c r="I7457"/>
      <c r="J7457"/>
    </row>
    <row r="7458" spans="9:10" x14ac:dyDescent="0.45">
      <c r="I7458"/>
      <c r="J7458"/>
    </row>
    <row r="7459" spans="9:10" x14ac:dyDescent="0.45">
      <c r="I7459"/>
      <c r="J7459"/>
    </row>
    <row r="7460" spans="9:10" x14ac:dyDescent="0.45">
      <c r="I7460"/>
      <c r="J7460"/>
    </row>
    <row r="7461" spans="9:10" x14ac:dyDescent="0.45">
      <c r="I7461"/>
      <c r="J7461"/>
    </row>
    <row r="7462" spans="9:10" x14ac:dyDescent="0.45">
      <c r="I7462"/>
      <c r="J7462"/>
    </row>
    <row r="7463" spans="9:10" x14ac:dyDescent="0.45">
      <c r="I7463"/>
      <c r="J7463"/>
    </row>
    <row r="7464" spans="9:10" x14ac:dyDescent="0.45">
      <c r="I7464"/>
      <c r="J7464"/>
    </row>
    <row r="7465" spans="9:10" x14ac:dyDescent="0.45">
      <c r="I7465"/>
      <c r="J7465"/>
    </row>
    <row r="7466" spans="9:10" x14ac:dyDescent="0.45">
      <c r="I7466"/>
      <c r="J7466"/>
    </row>
    <row r="7467" spans="9:10" x14ac:dyDescent="0.45">
      <c r="I7467"/>
      <c r="J7467"/>
    </row>
    <row r="7468" spans="9:10" x14ac:dyDescent="0.45">
      <c r="I7468"/>
      <c r="J7468"/>
    </row>
    <row r="7469" spans="9:10" x14ac:dyDescent="0.45">
      <c r="I7469"/>
      <c r="J7469"/>
    </row>
    <row r="7470" spans="9:10" x14ac:dyDescent="0.45">
      <c r="I7470"/>
      <c r="J7470"/>
    </row>
    <row r="7471" spans="9:10" x14ac:dyDescent="0.45">
      <c r="I7471"/>
      <c r="J7471"/>
    </row>
    <row r="7472" spans="9:10" x14ac:dyDescent="0.45">
      <c r="I7472"/>
      <c r="J7472"/>
    </row>
    <row r="7473" spans="9:10" x14ac:dyDescent="0.45">
      <c r="I7473"/>
      <c r="J7473"/>
    </row>
    <row r="7474" spans="9:10" x14ac:dyDescent="0.45">
      <c r="I7474"/>
      <c r="J7474"/>
    </row>
    <row r="7475" spans="9:10" x14ac:dyDescent="0.45">
      <c r="I7475"/>
      <c r="J7475"/>
    </row>
    <row r="7476" spans="9:10" x14ac:dyDescent="0.45">
      <c r="I7476"/>
      <c r="J7476"/>
    </row>
    <row r="7477" spans="9:10" x14ac:dyDescent="0.45">
      <c r="I7477"/>
      <c r="J7477"/>
    </row>
    <row r="7478" spans="9:10" x14ac:dyDescent="0.45">
      <c r="I7478"/>
      <c r="J7478"/>
    </row>
    <row r="7479" spans="9:10" x14ac:dyDescent="0.45">
      <c r="I7479"/>
      <c r="J7479"/>
    </row>
    <row r="7480" spans="9:10" x14ac:dyDescent="0.45">
      <c r="I7480"/>
      <c r="J7480"/>
    </row>
    <row r="7481" spans="9:10" x14ac:dyDescent="0.45">
      <c r="I7481"/>
      <c r="J7481"/>
    </row>
    <row r="7482" spans="9:10" x14ac:dyDescent="0.45">
      <c r="I7482"/>
      <c r="J7482"/>
    </row>
    <row r="7483" spans="9:10" x14ac:dyDescent="0.45">
      <c r="I7483"/>
      <c r="J7483"/>
    </row>
    <row r="7484" spans="9:10" x14ac:dyDescent="0.45">
      <c r="I7484"/>
      <c r="J7484"/>
    </row>
    <row r="7485" spans="9:10" x14ac:dyDescent="0.45">
      <c r="I7485"/>
      <c r="J7485"/>
    </row>
    <row r="7486" spans="9:10" x14ac:dyDescent="0.45">
      <c r="I7486"/>
      <c r="J7486"/>
    </row>
    <row r="7487" spans="9:10" x14ac:dyDescent="0.45">
      <c r="I7487"/>
      <c r="J7487"/>
    </row>
    <row r="7488" spans="9:10" x14ac:dyDescent="0.45">
      <c r="I7488"/>
      <c r="J7488"/>
    </row>
    <row r="7489" spans="9:10" x14ac:dyDescent="0.45">
      <c r="I7489"/>
      <c r="J7489"/>
    </row>
    <row r="7490" spans="9:10" x14ac:dyDescent="0.45">
      <c r="I7490"/>
      <c r="J7490"/>
    </row>
    <row r="7491" spans="9:10" x14ac:dyDescent="0.45">
      <c r="I7491"/>
      <c r="J7491"/>
    </row>
    <row r="7492" spans="9:10" x14ac:dyDescent="0.45">
      <c r="I7492"/>
      <c r="J7492"/>
    </row>
    <row r="7493" spans="9:10" x14ac:dyDescent="0.45">
      <c r="I7493"/>
      <c r="J7493"/>
    </row>
    <row r="7494" spans="9:10" x14ac:dyDescent="0.45">
      <c r="I7494"/>
      <c r="J7494"/>
    </row>
    <row r="7495" spans="9:10" x14ac:dyDescent="0.45">
      <c r="I7495"/>
      <c r="J7495"/>
    </row>
    <row r="7496" spans="9:10" x14ac:dyDescent="0.45">
      <c r="I7496"/>
      <c r="J7496"/>
    </row>
    <row r="7497" spans="9:10" x14ac:dyDescent="0.45">
      <c r="I7497"/>
      <c r="J7497"/>
    </row>
    <row r="7498" spans="9:10" x14ac:dyDescent="0.45">
      <c r="I7498"/>
      <c r="J7498"/>
    </row>
    <row r="7499" spans="9:10" x14ac:dyDescent="0.45">
      <c r="I7499"/>
      <c r="J7499"/>
    </row>
    <row r="7500" spans="9:10" x14ac:dyDescent="0.45">
      <c r="I7500"/>
      <c r="J7500"/>
    </row>
    <row r="7501" spans="9:10" x14ac:dyDescent="0.45">
      <c r="I7501"/>
      <c r="J7501"/>
    </row>
    <row r="7502" spans="9:10" x14ac:dyDescent="0.45">
      <c r="I7502"/>
      <c r="J7502"/>
    </row>
    <row r="7503" spans="9:10" x14ac:dyDescent="0.45">
      <c r="I7503"/>
      <c r="J7503"/>
    </row>
    <row r="7504" spans="9:10" x14ac:dyDescent="0.45">
      <c r="I7504"/>
      <c r="J7504"/>
    </row>
    <row r="7505" spans="9:10" x14ac:dyDescent="0.45">
      <c r="I7505"/>
      <c r="J7505"/>
    </row>
    <row r="7506" spans="9:10" x14ac:dyDescent="0.45">
      <c r="I7506"/>
      <c r="J7506"/>
    </row>
    <row r="7507" spans="9:10" x14ac:dyDescent="0.45">
      <c r="I7507"/>
      <c r="J7507"/>
    </row>
    <row r="7508" spans="9:10" x14ac:dyDescent="0.45">
      <c r="I7508"/>
      <c r="J7508"/>
    </row>
    <row r="7509" spans="9:10" x14ac:dyDescent="0.45">
      <c r="I7509"/>
      <c r="J7509"/>
    </row>
    <row r="7510" spans="9:10" x14ac:dyDescent="0.45">
      <c r="I7510"/>
      <c r="J7510"/>
    </row>
    <row r="7511" spans="9:10" x14ac:dyDescent="0.45">
      <c r="I7511"/>
      <c r="J7511"/>
    </row>
    <row r="7512" spans="9:10" x14ac:dyDescent="0.45">
      <c r="I7512"/>
      <c r="J7512"/>
    </row>
    <row r="7513" spans="9:10" x14ac:dyDescent="0.45">
      <c r="I7513"/>
      <c r="J7513"/>
    </row>
    <row r="7514" spans="9:10" x14ac:dyDescent="0.45">
      <c r="I7514"/>
      <c r="J7514"/>
    </row>
    <row r="7515" spans="9:10" x14ac:dyDescent="0.45">
      <c r="I7515"/>
      <c r="J7515"/>
    </row>
    <row r="7516" spans="9:10" x14ac:dyDescent="0.45">
      <c r="I7516"/>
      <c r="J7516"/>
    </row>
    <row r="7517" spans="9:10" x14ac:dyDescent="0.45">
      <c r="I7517"/>
      <c r="J7517"/>
    </row>
    <row r="7518" spans="9:10" x14ac:dyDescent="0.45">
      <c r="I7518"/>
      <c r="J7518"/>
    </row>
    <row r="7519" spans="9:10" x14ac:dyDescent="0.45">
      <c r="I7519"/>
      <c r="J7519"/>
    </row>
  </sheetData>
  <conditionalFormatting sqref="G202">
    <cfRule type="containsBlanks" dxfId="88" priority="129">
      <formula>LEN(TRIM(G202))=0</formula>
    </cfRule>
  </conditionalFormatting>
  <conditionalFormatting sqref="F203 F212">
    <cfRule type="containsBlanks" dxfId="87" priority="127">
      <formula>LEN(TRIM(F203))=0</formula>
    </cfRule>
  </conditionalFormatting>
  <conditionalFormatting sqref="D161">
    <cfRule type="containsBlanks" dxfId="86" priority="158">
      <formula>LEN(TRIM(D161))=0</formula>
    </cfRule>
  </conditionalFormatting>
  <conditionalFormatting sqref="D162">
    <cfRule type="containsBlanks" dxfId="85" priority="157">
      <formula>LEN(TRIM(D162))=0</formula>
    </cfRule>
  </conditionalFormatting>
  <conditionalFormatting sqref="F204">
    <cfRule type="containsBlanks" dxfId="84" priority="124">
      <formula>LEN(TRIM(F204))=0</formula>
    </cfRule>
  </conditionalFormatting>
  <conditionalFormatting sqref="D204">
    <cfRule type="containsBlanks" dxfId="83" priority="123">
      <formula>LEN(TRIM(D204))=0</formula>
    </cfRule>
  </conditionalFormatting>
  <conditionalFormatting sqref="D205">
    <cfRule type="containsBlanks" dxfId="82" priority="122">
      <formula>LEN(TRIM(D205))=0</formula>
    </cfRule>
  </conditionalFormatting>
  <conditionalFormatting sqref="F205">
    <cfRule type="containsBlanks" dxfId="81" priority="121">
      <formula>LEN(TRIM(F205))=0</formula>
    </cfRule>
  </conditionalFormatting>
  <conditionalFormatting sqref="D206">
    <cfRule type="containsBlanks" dxfId="80" priority="119">
      <formula>LEN(TRIM(D206))=0</formula>
    </cfRule>
  </conditionalFormatting>
  <conditionalFormatting sqref="D207">
    <cfRule type="containsBlanks" dxfId="79" priority="116">
      <formula>LEN(TRIM(D207))=0</formula>
    </cfRule>
  </conditionalFormatting>
  <conditionalFormatting sqref="F206">
    <cfRule type="containsBlanks" dxfId="78" priority="118">
      <formula>LEN(TRIM(F206))=0</formula>
    </cfRule>
  </conditionalFormatting>
  <conditionalFormatting sqref="F207">
    <cfRule type="containsBlanks" dxfId="77" priority="115">
      <formula>LEN(TRIM(F207))=0</formula>
    </cfRule>
  </conditionalFormatting>
  <conditionalFormatting sqref="H2:H213">
    <cfRule type="containsBlanks" dxfId="76" priority="145">
      <formula>LEN(TRIM(H2))=0</formula>
    </cfRule>
  </conditionalFormatting>
  <conditionalFormatting sqref="E2:E4">
    <cfRule type="containsBlanks" dxfId="75" priority="142">
      <formula>LEN(TRIM(E2))=0</formula>
    </cfRule>
  </conditionalFormatting>
  <conditionalFormatting sqref="D2:D213">
    <cfRule type="containsBlanks" dxfId="74" priority="144">
      <formula>LEN(TRIM(D2))=0</formula>
    </cfRule>
  </conditionalFormatting>
  <conditionalFormatting sqref="F2:F213">
    <cfRule type="containsBlanks" dxfId="73" priority="143">
      <formula>LEN(TRIM(F2))=0</formula>
    </cfRule>
  </conditionalFormatting>
  <conditionalFormatting sqref="G2:G200 G203:G208 G211:G213">
    <cfRule type="containsBlanks" dxfId="72" priority="141">
      <formula>LEN(TRIM(G2))=0</formula>
    </cfRule>
  </conditionalFormatting>
  <conditionalFormatting sqref="H209:H210">
    <cfRule type="containsBlanks" dxfId="71" priority="108">
      <formula>LEN(TRIM(H209))=0</formula>
    </cfRule>
  </conditionalFormatting>
  <conditionalFormatting sqref="H201">
    <cfRule type="containsBlanks" dxfId="70" priority="139">
      <formula>LEN(TRIM(H201))=0</formula>
    </cfRule>
  </conditionalFormatting>
  <conditionalFormatting sqref="G209:G210">
    <cfRule type="containsBlanks" dxfId="69" priority="104">
      <formula>LEN(TRIM(G209))=0</formula>
    </cfRule>
  </conditionalFormatting>
  <conditionalFormatting sqref="D201">
    <cfRule type="containsBlanks" dxfId="68" priority="138">
      <formula>LEN(TRIM(D201))=0</formula>
    </cfRule>
  </conditionalFormatting>
  <conditionalFormatting sqref="F201">
    <cfRule type="containsBlanks" dxfId="67" priority="137">
      <formula>LEN(TRIM(F201))=0</formula>
    </cfRule>
  </conditionalFormatting>
  <conditionalFormatting sqref="G201">
    <cfRule type="containsBlanks" dxfId="66" priority="135">
      <formula>LEN(TRIM(G201))=0</formula>
    </cfRule>
  </conditionalFormatting>
  <conditionalFormatting sqref="F210">
    <cfRule type="containsBlanks" dxfId="65" priority="102">
      <formula>LEN(TRIM(F210))=0</formula>
    </cfRule>
  </conditionalFormatting>
  <conditionalFormatting sqref="H202">
    <cfRule type="containsBlanks" dxfId="64" priority="133">
      <formula>LEN(TRIM(H202))=0</formula>
    </cfRule>
  </conditionalFormatting>
  <conditionalFormatting sqref="D202">
    <cfRule type="containsBlanks" dxfId="63" priority="132">
      <formula>LEN(TRIM(D202))=0</formula>
    </cfRule>
  </conditionalFormatting>
  <conditionalFormatting sqref="F202">
    <cfRule type="containsBlanks" dxfId="62" priority="131">
      <formula>LEN(TRIM(F202))=0</formula>
    </cfRule>
  </conditionalFormatting>
  <conditionalFormatting sqref="F212">
    <cfRule type="containsBlanks" dxfId="61" priority="96">
      <formula>LEN(TRIM(F212))=0</formula>
    </cfRule>
  </conditionalFormatting>
  <conditionalFormatting sqref="D203 D212">
    <cfRule type="containsBlanks" dxfId="60" priority="126">
      <formula>LEN(TRIM(D203))=0</formula>
    </cfRule>
  </conditionalFormatting>
  <conditionalFormatting sqref="H213">
    <cfRule type="containsBlanks" dxfId="59" priority="93">
      <formula>LEN(TRIM(H213))=0</formula>
    </cfRule>
  </conditionalFormatting>
  <conditionalFormatting sqref="H207">
    <cfRule type="containsBlanks" dxfId="58" priority="113">
      <formula>LEN(TRIM(H207))=0</formula>
    </cfRule>
  </conditionalFormatting>
  <conditionalFormatting sqref="D210">
    <cfRule type="containsBlanks" dxfId="57" priority="103">
      <formula>LEN(TRIM(D210))=0</formula>
    </cfRule>
  </conditionalFormatting>
  <conditionalFormatting sqref="D208">
    <cfRule type="containsBlanks" dxfId="56" priority="112">
      <formula>LEN(TRIM(D208))=0</formula>
    </cfRule>
  </conditionalFormatting>
  <conditionalFormatting sqref="F208">
    <cfRule type="containsBlanks" dxfId="55" priority="111">
      <formula>LEN(TRIM(F208))=0</formula>
    </cfRule>
  </conditionalFormatting>
  <conditionalFormatting sqref="D209">
    <cfRule type="containsBlanks" dxfId="54" priority="107">
      <formula>LEN(TRIM(D209))=0</formula>
    </cfRule>
  </conditionalFormatting>
  <conditionalFormatting sqref="F209">
    <cfRule type="containsBlanks" dxfId="53" priority="106">
      <formula>LEN(TRIM(F209))=0</formula>
    </cfRule>
  </conditionalFormatting>
  <conditionalFormatting sqref="D211">
    <cfRule type="containsBlanks" dxfId="52" priority="100">
      <formula>LEN(TRIM(D211))=0</formula>
    </cfRule>
  </conditionalFormatting>
  <conditionalFormatting sqref="F211">
    <cfRule type="containsBlanks" dxfId="51" priority="99">
      <formula>LEN(TRIM(F211))=0</formula>
    </cfRule>
  </conditionalFormatting>
  <conditionalFormatting sqref="D212">
    <cfRule type="containsBlanks" dxfId="50" priority="97">
      <formula>LEN(TRIM(D212))=0</formula>
    </cfRule>
  </conditionalFormatting>
  <conditionalFormatting sqref="D213">
    <cfRule type="containsBlanks" dxfId="49" priority="94">
      <formula>LEN(TRIM(D213))=0</formula>
    </cfRule>
  </conditionalFormatting>
  <conditionalFormatting sqref="I1:J1 I2:I3">
    <cfRule type="containsBlanks" dxfId="48" priority="92">
      <formula>LEN(TRIM(I1))=0</formula>
    </cfRule>
  </conditionalFormatting>
  <conditionalFormatting sqref="I4:I32">
    <cfRule type="containsBlanks" dxfId="47" priority="91">
      <formula>LEN(TRIM(I4))=0</formula>
    </cfRule>
  </conditionalFormatting>
  <conditionalFormatting sqref="E5:E213">
    <cfRule type="containsBlanks" dxfId="46" priority="34">
      <formula>LEN(TRIM(E5))=0</formula>
    </cfRule>
  </conditionalFormatting>
  <conditionalFormatting sqref="I33:I35">
    <cfRule type="containsBlanks" dxfId="45" priority="33">
      <formula>LEN(TRIM(I33))=0</formula>
    </cfRule>
  </conditionalFormatting>
  <conditionalFormatting sqref="I36:I58">
    <cfRule type="containsBlanks" dxfId="44" priority="32">
      <formula>LEN(TRIM(I36))=0</formula>
    </cfRule>
  </conditionalFormatting>
  <conditionalFormatting sqref="J56:J65">
    <cfRule type="containsBlanks" dxfId="43" priority="2">
      <formula>LEN(TRIM(J56))=0</formula>
    </cfRule>
  </conditionalFormatting>
  <conditionalFormatting sqref="K177:K238">
    <cfRule type="containsBlanks" dxfId="42" priority="1">
      <formula>LEN(TRIM(K177))=0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  <pageSetUpPr fitToPage="1"/>
  </sheetPr>
  <dimension ref="A1:CH77"/>
  <sheetViews>
    <sheetView tabSelected="1" zoomScale="55" zoomScaleNormal="55" zoomScaleSheetLayoutView="70" workbookViewId="0">
      <selection activeCell="B18" sqref="B18:N18"/>
    </sheetView>
  </sheetViews>
  <sheetFormatPr defaultColWidth="3.3984375" defaultRowHeight="14.25" x14ac:dyDescent="0.45"/>
  <cols>
    <col min="1" max="6" width="3.3984375" style="15"/>
    <col min="7" max="7" width="3.265625" style="15" customWidth="1"/>
    <col min="8" max="22" width="3.3984375" style="15"/>
    <col min="23" max="23" width="4.3984375" style="15" customWidth="1"/>
    <col min="24" max="16384" width="3.3984375" style="15"/>
  </cols>
  <sheetData>
    <row r="1" spans="1:86" ht="15" customHeight="1" x14ac:dyDescent="0.45">
      <c r="A1" s="1"/>
      <c r="B1" s="173" t="s">
        <v>1</v>
      </c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4"/>
      <c r="AZ1" s="174"/>
      <c r="BA1" s="174"/>
      <c r="BB1" s="174"/>
      <c r="BC1" s="174"/>
      <c r="BD1" s="174"/>
      <c r="BE1" s="174"/>
      <c r="BF1" s="174"/>
      <c r="BG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5"/>
      <c r="CA1" s="1"/>
      <c r="CB1" s="1"/>
      <c r="CC1" s="1"/>
      <c r="CD1" s="1"/>
      <c r="CE1" s="1"/>
      <c r="CF1" s="1"/>
      <c r="CG1" s="1"/>
      <c r="CH1" s="1"/>
    </row>
    <row r="2" spans="1:86" ht="15" customHeight="1" x14ac:dyDescent="0.45">
      <c r="A2" s="1"/>
      <c r="B2" s="176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77"/>
      <c r="AJ2" s="177"/>
      <c r="AK2" s="177"/>
      <c r="AL2" s="177"/>
      <c r="AM2" s="177"/>
      <c r="AN2" s="177"/>
      <c r="AO2" s="177"/>
      <c r="AP2" s="177"/>
      <c r="AQ2" s="177"/>
      <c r="AR2" s="177"/>
      <c r="AS2" s="177"/>
      <c r="AT2" s="177"/>
      <c r="AU2" s="177"/>
      <c r="AV2" s="177"/>
      <c r="AW2" s="177"/>
      <c r="AX2" s="177"/>
      <c r="AY2" s="177"/>
      <c r="AZ2" s="177"/>
      <c r="BA2" s="177"/>
      <c r="BB2" s="177"/>
      <c r="BC2" s="177"/>
      <c r="BD2" s="177"/>
      <c r="BE2" s="177"/>
      <c r="BF2" s="177"/>
      <c r="BG2" s="177"/>
      <c r="BH2" s="177"/>
      <c r="BI2" s="177"/>
      <c r="BJ2" s="177"/>
      <c r="BK2" s="177"/>
      <c r="BL2" s="177"/>
      <c r="BM2" s="177"/>
      <c r="BN2" s="177"/>
      <c r="BO2" s="177"/>
      <c r="BP2" s="177"/>
      <c r="BQ2" s="177"/>
      <c r="BR2" s="177"/>
      <c r="BS2" s="177"/>
      <c r="BT2" s="177"/>
      <c r="BU2" s="177"/>
      <c r="BV2" s="177"/>
      <c r="BW2" s="177"/>
      <c r="BX2" s="177"/>
      <c r="BY2" s="177"/>
      <c r="BZ2" s="178"/>
      <c r="CA2" s="1"/>
      <c r="CB2" s="1"/>
      <c r="CC2" s="1"/>
      <c r="CD2" s="1"/>
      <c r="CE2" s="1"/>
      <c r="CF2" s="1"/>
      <c r="CG2" s="1"/>
      <c r="CH2" s="1"/>
    </row>
    <row r="3" spans="1:86" ht="15" customHeight="1" x14ac:dyDescent="0.45">
      <c r="A3" s="1"/>
      <c r="B3" s="176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  <c r="AJ3" s="177"/>
      <c r="AK3" s="177"/>
      <c r="AL3" s="177"/>
      <c r="AM3" s="177"/>
      <c r="AN3" s="177"/>
      <c r="AO3" s="177"/>
      <c r="AP3" s="177"/>
      <c r="AQ3" s="177"/>
      <c r="AR3" s="177"/>
      <c r="AS3" s="177"/>
      <c r="AT3" s="177"/>
      <c r="AU3" s="177"/>
      <c r="AV3" s="177"/>
      <c r="AW3" s="177"/>
      <c r="AX3" s="177"/>
      <c r="AY3" s="177"/>
      <c r="AZ3" s="177"/>
      <c r="BA3" s="177"/>
      <c r="BB3" s="177"/>
      <c r="BC3" s="177"/>
      <c r="BD3" s="177"/>
      <c r="BE3" s="177"/>
      <c r="BF3" s="177"/>
      <c r="BG3" s="177"/>
      <c r="BH3" s="177"/>
      <c r="BI3" s="177"/>
      <c r="BJ3" s="177"/>
      <c r="BK3" s="177"/>
      <c r="BL3" s="177"/>
      <c r="BM3" s="177"/>
      <c r="BN3" s="177"/>
      <c r="BO3" s="177"/>
      <c r="BP3" s="177"/>
      <c r="BQ3" s="177"/>
      <c r="BR3" s="177"/>
      <c r="BS3" s="177"/>
      <c r="BT3" s="177"/>
      <c r="BU3" s="177"/>
      <c r="BV3" s="177"/>
      <c r="BW3" s="177"/>
      <c r="BX3" s="177"/>
      <c r="BY3" s="177"/>
      <c r="BZ3" s="178"/>
      <c r="CA3" s="1"/>
      <c r="CB3" s="1"/>
      <c r="CC3" s="1"/>
      <c r="CD3" s="1"/>
      <c r="CE3" s="1"/>
      <c r="CF3" s="1"/>
      <c r="CG3" s="1"/>
      <c r="CH3" s="1"/>
    </row>
    <row r="4" spans="1:86" ht="15" customHeight="1" x14ac:dyDescent="0.45">
      <c r="A4" s="1"/>
      <c r="B4" s="179"/>
      <c r="C4" s="180"/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  <c r="AR4" s="180"/>
      <c r="AS4" s="180"/>
      <c r="AT4" s="180"/>
      <c r="AU4" s="180"/>
      <c r="AV4" s="180"/>
      <c r="AW4" s="180"/>
      <c r="AX4" s="180"/>
      <c r="AY4" s="180"/>
      <c r="AZ4" s="180"/>
      <c r="BA4" s="180"/>
      <c r="BB4" s="180"/>
      <c r="BC4" s="180"/>
      <c r="BD4" s="180"/>
      <c r="BE4" s="180"/>
      <c r="BF4" s="180"/>
      <c r="BG4" s="180"/>
      <c r="BH4" s="180"/>
      <c r="BI4" s="180"/>
      <c r="BJ4" s="180"/>
      <c r="BK4" s="180"/>
      <c r="BL4" s="180"/>
      <c r="BM4" s="180"/>
      <c r="BN4" s="180"/>
      <c r="BO4" s="180"/>
      <c r="BP4" s="180"/>
      <c r="BQ4" s="180"/>
      <c r="BR4" s="180"/>
      <c r="BS4" s="180"/>
      <c r="BT4" s="180"/>
      <c r="BU4" s="180"/>
      <c r="BV4" s="180"/>
      <c r="BW4" s="180"/>
      <c r="BX4" s="180"/>
      <c r="BY4" s="180"/>
      <c r="BZ4" s="181"/>
      <c r="CA4" s="1"/>
      <c r="CB4" s="1"/>
      <c r="CC4" s="1"/>
      <c r="CD4" s="1"/>
      <c r="CE4" s="1"/>
      <c r="CF4" s="1"/>
      <c r="CG4" s="1"/>
      <c r="CH4" s="1"/>
    </row>
    <row r="5" spans="1:86" x14ac:dyDescent="0.45">
      <c r="A5" s="1"/>
      <c r="B5" s="35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7"/>
      <c r="AT5" s="37"/>
      <c r="AU5" s="37"/>
      <c r="AV5" s="37"/>
      <c r="AW5" s="37"/>
      <c r="AX5" s="37"/>
      <c r="AY5" s="37"/>
      <c r="AZ5" s="37"/>
      <c r="BA5" s="37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8"/>
      <c r="CA5" s="1"/>
      <c r="CB5" s="1"/>
      <c r="CC5" s="1"/>
      <c r="CD5" s="1"/>
      <c r="CE5" s="1"/>
      <c r="CF5" s="1"/>
      <c r="CG5" s="1"/>
      <c r="CH5" s="1"/>
    </row>
    <row r="6" spans="1:86" x14ac:dyDescent="0.45">
      <c r="A6" s="1"/>
      <c r="B6" s="39"/>
      <c r="C6" s="182" t="s">
        <v>5766</v>
      </c>
      <c r="D6" s="183"/>
      <c r="E6" s="183"/>
      <c r="F6" s="183"/>
      <c r="G6" s="183"/>
      <c r="H6" s="183"/>
      <c r="I6" s="184"/>
      <c r="J6" s="187" t="s">
        <v>6414</v>
      </c>
      <c r="K6" s="188"/>
      <c r="L6" s="188"/>
      <c r="M6" s="188"/>
      <c r="N6" s="188"/>
      <c r="O6" s="188"/>
      <c r="P6" s="188"/>
      <c r="Q6" s="188"/>
      <c r="R6" s="188"/>
      <c r="S6" s="189"/>
      <c r="T6" s="95"/>
      <c r="U6" s="37"/>
      <c r="V6" s="37"/>
      <c r="W6" s="182" t="s">
        <v>5770</v>
      </c>
      <c r="X6" s="183"/>
      <c r="Y6" s="183"/>
      <c r="Z6" s="183"/>
      <c r="AA6" s="183"/>
      <c r="AB6" s="183"/>
      <c r="AC6" s="184"/>
      <c r="AD6" s="141" t="s">
        <v>5836</v>
      </c>
      <c r="AE6" s="141"/>
      <c r="AF6" s="141"/>
      <c r="AG6" s="141"/>
      <c r="AH6" s="141"/>
      <c r="AI6" s="141"/>
      <c r="AJ6" s="141"/>
      <c r="AK6" s="141"/>
      <c r="AL6" s="141"/>
      <c r="AM6" s="37"/>
      <c r="AN6" s="37"/>
      <c r="AO6" s="36"/>
      <c r="AP6" s="182" t="s">
        <v>5771</v>
      </c>
      <c r="AQ6" s="183"/>
      <c r="AR6" s="183"/>
      <c r="AS6" s="183"/>
      <c r="AT6" s="183"/>
      <c r="AU6" s="183"/>
      <c r="AV6" s="184"/>
      <c r="AW6" s="185" t="s">
        <v>74</v>
      </c>
      <c r="AX6" s="185"/>
      <c r="AY6" s="185"/>
      <c r="AZ6" s="185"/>
      <c r="BA6" s="185"/>
      <c r="BB6" s="185"/>
      <c r="BC6" s="185"/>
      <c r="BD6" s="185"/>
      <c r="BE6" s="185"/>
      <c r="BF6" s="36"/>
      <c r="BG6" s="36"/>
      <c r="BH6" s="182" t="s">
        <v>9</v>
      </c>
      <c r="BI6" s="183"/>
      <c r="BJ6" s="183"/>
      <c r="BK6" s="183"/>
      <c r="BL6" s="183"/>
      <c r="BM6" s="183"/>
      <c r="BN6" s="184"/>
      <c r="BO6" s="141" t="s">
        <v>6425</v>
      </c>
      <c r="BP6" s="141"/>
      <c r="BQ6" s="141"/>
      <c r="BR6" s="141"/>
      <c r="BS6" s="141"/>
      <c r="BT6" s="141"/>
      <c r="BU6" s="141"/>
      <c r="BV6" s="141"/>
      <c r="BW6" s="141"/>
      <c r="BX6" s="36"/>
      <c r="BY6" s="36"/>
      <c r="BZ6" s="38"/>
      <c r="CA6" s="1"/>
      <c r="CB6" s="1"/>
      <c r="CC6" s="1"/>
      <c r="CD6" s="1"/>
      <c r="CE6" s="1"/>
      <c r="CF6" s="1"/>
      <c r="CG6" s="1"/>
      <c r="CH6" s="1"/>
    </row>
    <row r="7" spans="1:86" x14ac:dyDescent="0.45">
      <c r="A7" s="1"/>
      <c r="B7" s="41"/>
      <c r="C7" s="37"/>
      <c r="D7" s="37"/>
      <c r="E7" s="37"/>
      <c r="F7" s="37"/>
      <c r="G7" s="37"/>
      <c r="H7" s="37"/>
      <c r="I7" s="42"/>
      <c r="J7" s="42"/>
      <c r="K7" s="42"/>
      <c r="L7" s="42"/>
      <c r="M7" s="42"/>
      <c r="N7" s="42"/>
      <c r="O7" s="42"/>
      <c r="P7" s="37"/>
      <c r="Q7" s="42"/>
      <c r="R7" s="42"/>
      <c r="S7" s="42"/>
      <c r="T7" s="42"/>
      <c r="U7" s="42"/>
      <c r="V7" s="37"/>
      <c r="W7" s="42"/>
      <c r="X7" s="42"/>
      <c r="Y7" s="42"/>
      <c r="Z7" s="42"/>
      <c r="AA7" s="42"/>
      <c r="AB7" s="42"/>
      <c r="AC7" s="42"/>
      <c r="AD7" s="37"/>
      <c r="AE7" s="42"/>
      <c r="AF7" s="42"/>
      <c r="AG7" s="42"/>
      <c r="AH7" s="42"/>
      <c r="AI7" s="37"/>
      <c r="AJ7" s="37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8"/>
      <c r="CA7" s="1"/>
      <c r="CB7" s="1"/>
      <c r="CC7" s="1"/>
      <c r="CD7" s="1"/>
      <c r="CE7" s="1"/>
      <c r="CF7" s="1"/>
      <c r="CG7" s="1"/>
      <c r="CH7" s="1"/>
    </row>
    <row r="8" spans="1:86" x14ac:dyDescent="0.45">
      <c r="A8" s="1"/>
      <c r="B8" s="41"/>
      <c r="C8" s="182" t="s">
        <v>5</v>
      </c>
      <c r="D8" s="183"/>
      <c r="E8" s="183"/>
      <c r="F8" s="183"/>
      <c r="G8" s="183"/>
      <c r="H8" s="183"/>
      <c r="I8" s="184"/>
      <c r="J8" s="187" t="s">
        <v>6423</v>
      </c>
      <c r="K8" s="188"/>
      <c r="L8" s="188"/>
      <c r="M8" s="188"/>
      <c r="N8" s="188"/>
      <c r="O8" s="188"/>
      <c r="P8" s="188"/>
      <c r="Q8" s="188"/>
      <c r="R8" s="188"/>
      <c r="S8" s="189"/>
      <c r="T8" s="95"/>
      <c r="U8" s="37"/>
      <c r="V8" s="37"/>
      <c r="W8" s="182" t="s">
        <v>103</v>
      </c>
      <c r="X8" s="183"/>
      <c r="Y8" s="183"/>
      <c r="Z8" s="183"/>
      <c r="AA8" s="183"/>
      <c r="AB8" s="183"/>
      <c r="AC8" s="184"/>
      <c r="AD8" s="141" t="s">
        <v>73</v>
      </c>
      <c r="AE8" s="141"/>
      <c r="AF8" s="141"/>
      <c r="AG8" s="141"/>
      <c r="AH8" s="141"/>
      <c r="AI8" s="141"/>
      <c r="AJ8" s="141"/>
      <c r="AK8" s="141"/>
      <c r="AL8" s="141"/>
      <c r="AM8" s="37"/>
      <c r="AN8" s="37"/>
      <c r="AO8" s="37"/>
      <c r="AP8" s="182" t="s">
        <v>5772</v>
      </c>
      <c r="AQ8" s="183"/>
      <c r="AR8" s="183"/>
      <c r="AS8" s="183"/>
      <c r="AT8" s="183"/>
      <c r="AU8" s="183"/>
      <c r="AV8" s="184"/>
      <c r="AW8" s="141" t="s">
        <v>6424</v>
      </c>
      <c r="AX8" s="141"/>
      <c r="AY8" s="141"/>
      <c r="AZ8" s="141"/>
      <c r="BA8" s="141"/>
      <c r="BB8" s="141"/>
      <c r="BC8" s="141"/>
      <c r="BD8" s="141"/>
      <c r="BE8" s="141"/>
      <c r="BF8" s="37"/>
      <c r="BG8" s="37"/>
      <c r="BH8" s="182" t="s">
        <v>6</v>
      </c>
      <c r="BI8" s="183"/>
      <c r="BJ8" s="183"/>
      <c r="BK8" s="183"/>
      <c r="BL8" s="183"/>
      <c r="BM8" s="183"/>
      <c r="BN8" s="184"/>
      <c r="BO8" s="193" t="s">
        <v>6426</v>
      </c>
      <c r="BP8" s="193"/>
      <c r="BQ8" s="193"/>
      <c r="BR8" s="193"/>
      <c r="BS8" s="193"/>
      <c r="BT8" s="193"/>
      <c r="BU8" s="193"/>
      <c r="BV8" s="193"/>
      <c r="BW8" s="193"/>
      <c r="BX8" s="37"/>
      <c r="BY8" s="37"/>
      <c r="BZ8" s="38"/>
      <c r="CA8" s="1"/>
      <c r="CB8" s="1"/>
      <c r="CC8" s="1"/>
      <c r="CD8" s="1"/>
      <c r="CE8" s="1"/>
      <c r="CF8" s="1"/>
      <c r="CG8" s="1"/>
      <c r="CH8" s="1"/>
    </row>
    <row r="9" spans="1:86" x14ac:dyDescent="0.45">
      <c r="A9" s="1"/>
      <c r="B9" s="41"/>
      <c r="C9" s="37"/>
      <c r="D9" s="37"/>
      <c r="E9" s="37"/>
      <c r="F9" s="37"/>
      <c r="G9" s="37"/>
      <c r="H9" s="37"/>
      <c r="I9" s="42"/>
      <c r="J9" s="42"/>
      <c r="K9" s="42"/>
      <c r="L9" s="42"/>
      <c r="M9" s="42"/>
      <c r="N9" s="42"/>
      <c r="O9" s="42"/>
      <c r="P9" s="37"/>
      <c r="Q9" s="42"/>
      <c r="R9" s="42"/>
      <c r="S9" s="42"/>
      <c r="T9" s="42"/>
      <c r="U9" s="42"/>
      <c r="V9" s="42"/>
      <c r="W9" s="37"/>
      <c r="X9" s="42"/>
      <c r="Y9" s="42"/>
      <c r="Z9" s="42"/>
      <c r="AA9" s="42"/>
      <c r="AB9" s="42"/>
      <c r="AC9" s="42"/>
      <c r="AD9" s="37"/>
      <c r="AE9" s="37"/>
      <c r="AF9" s="37"/>
      <c r="AG9" s="37"/>
      <c r="AH9" s="37"/>
      <c r="AI9" s="43"/>
      <c r="AJ9" s="43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8"/>
      <c r="CA9" s="1"/>
      <c r="CB9" s="1"/>
      <c r="CC9" s="1"/>
      <c r="CD9" s="1"/>
      <c r="CE9" s="1"/>
      <c r="CF9" s="1"/>
      <c r="CG9" s="1"/>
      <c r="CH9" s="1"/>
    </row>
    <row r="10" spans="1:86" x14ac:dyDescent="0.45">
      <c r="A10" s="1"/>
      <c r="B10" s="41"/>
      <c r="C10" s="182" t="s">
        <v>4</v>
      </c>
      <c r="D10" s="183"/>
      <c r="E10" s="183"/>
      <c r="F10" s="183"/>
      <c r="G10" s="183"/>
      <c r="H10" s="183"/>
      <c r="I10" s="184"/>
      <c r="J10" s="190" t="str">
        <f>IFERROR(VLOOKUP(J8,Data!N:O,2,0),"")</f>
        <v/>
      </c>
      <c r="K10" s="191"/>
      <c r="L10" s="191"/>
      <c r="M10" s="191"/>
      <c r="N10" s="191"/>
      <c r="O10" s="191"/>
      <c r="P10" s="191"/>
      <c r="Q10" s="191"/>
      <c r="R10" s="191"/>
      <c r="S10" s="192"/>
      <c r="T10" s="95"/>
      <c r="U10" s="37"/>
      <c r="V10" s="37"/>
      <c r="W10" s="182" t="s">
        <v>67</v>
      </c>
      <c r="X10" s="183"/>
      <c r="Y10" s="183"/>
      <c r="Z10" s="183"/>
      <c r="AA10" s="183"/>
      <c r="AB10" s="183"/>
      <c r="AC10" s="184"/>
      <c r="AD10" s="141" t="s">
        <v>89</v>
      </c>
      <c r="AE10" s="141"/>
      <c r="AF10" s="141"/>
      <c r="AG10" s="141"/>
      <c r="AH10" s="141"/>
      <c r="AI10" s="141"/>
      <c r="AJ10" s="141"/>
      <c r="AK10" s="141"/>
      <c r="AL10" s="141"/>
      <c r="AM10" s="37"/>
      <c r="AN10" s="37"/>
      <c r="AO10" s="37"/>
      <c r="AP10" s="182" t="s">
        <v>5773</v>
      </c>
      <c r="AQ10" s="183"/>
      <c r="AR10" s="183"/>
      <c r="AS10" s="183"/>
      <c r="AT10" s="183"/>
      <c r="AU10" s="183"/>
      <c r="AV10" s="184"/>
      <c r="AW10" s="186">
        <v>560277</v>
      </c>
      <c r="AX10" s="141"/>
      <c r="AY10" s="141"/>
      <c r="AZ10" s="141"/>
      <c r="BA10" s="141"/>
      <c r="BB10" s="141"/>
      <c r="BC10" s="141"/>
      <c r="BD10" s="141"/>
      <c r="BE10" s="141"/>
      <c r="BF10" s="37"/>
      <c r="BG10" s="37"/>
      <c r="BH10" s="182" t="s">
        <v>307</v>
      </c>
      <c r="BI10" s="183"/>
      <c r="BJ10" s="183"/>
      <c r="BK10" s="183"/>
      <c r="BL10" s="183"/>
      <c r="BM10" s="183"/>
      <c r="BN10" s="184"/>
      <c r="BO10" s="193" t="s">
        <v>310</v>
      </c>
      <c r="BP10" s="193"/>
      <c r="BQ10" s="193"/>
      <c r="BR10" s="193"/>
      <c r="BS10" s="193"/>
      <c r="BT10" s="193"/>
      <c r="BU10" s="193"/>
      <c r="BV10" s="193"/>
      <c r="BW10" s="193"/>
      <c r="BX10" s="37"/>
      <c r="BY10" s="37"/>
      <c r="BZ10" s="38"/>
      <c r="CA10" s="1"/>
      <c r="CB10" s="1"/>
      <c r="CC10" s="1"/>
      <c r="CD10" s="1"/>
      <c r="CE10" s="1"/>
      <c r="CF10" s="1"/>
      <c r="CG10" s="1"/>
      <c r="CH10" s="1"/>
    </row>
    <row r="11" spans="1:86" x14ac:dyDescent="0.45">
      <c r="A11" s="1"/>
      <c r="B11" s="41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0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8"/>
      <c r="CA11" s="1"/>
      <c r="CB11" s="1"/>
      <c r="CC11" s="1"/>
      <c r="CD11" s="1"/>
      <c r="CE11" s="1"/>
      <c r="CF11" s="1"/>
      <c r="CG11" s="1"/>
      <c r="CH11" s="1"/>
    </row>
    <row r="12" spans="1:86" x14ac:dyDescent="0.45">
      <c r="A12" s="1"/>
      <c r="B12" s="166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8"/>
      <c r="CA12" s="1"/>
      <c r="CB12" s="1"/>
      <c r="CC12" s="1"/>
      <c r="CD12" s="1"/>
      <c r="CE12" s="1"/>
      <c r="CF12" s="1"/>
      <c r="CG12" s="1"/>
      <c r="CH12" s="1"/>
    </row>
    <row r="13" spans="1:86" ht="15.75" x14ac:dyDescent="0.45">
      <c r="A13" s="1"/>
      <c r="B13" s="116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8"/>
      <c r="O13" s="198" t="s">
        <v>5774</v>
      </c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200"/>
      <c r="AT13" s="3"/>
      <c r="AU13" s="3"/>
      <c r="AV13" s="198" t="s">
        <v>5775</v>
      </c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199"/>
      <c r="BN13" s="199"/>
      <c r="BO13" s="199"/>
      <c r="BP13" s="199"/>
      <c r="BQ13" s="199"/>
      <c r="BR13" s="199"/>
      <c r="BS13" s="199"/>
      <c r="BT13" s="199"/>
      <c r="BU13" s="199"/>
      <c r="BV13" s="199"/>
      <c r="BW13" s="199"/>
      <c r="BX13" s="199"/>
      <c r="BY13" s="199"/>
      <c r="BZ13" s="200"/>
      <c r="CA13" s="1"/>
      <c r="CB13" s="1"/>
      <c r="CC13" s="1"/>
      <c r="CD13" s="1"/>
      <c r="CE13" s="1"/>
      <c r="CF13" s="1"/>
      <c r="CG13" s="1"/>
      <c r="CH13" s="1"/>
    </row>
    <row r="14" spans="1:86" x14ac:dyDescent="0.45">
      <c r="A14" s="1"/>
      <c r="B14" s="122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4"/>
      <c r="O14" s="169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1"/>
      <c r="AT14" s="1"/>
      <c r="AU14" s="1"/>
      <c r="AV14" s="6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"/>
      <c r="BX14" s="1"/>
      <c r="BY14" s="1"/>
      <c r="BZ14" s="4"/>
      <c r="CA14" s="1"/>
      <c r="CB14" s="1"/>
      <c r="CC14" s="1"/>
      <c r="CD14" s="1"/>
      <c r="CE14" s="1"/>
      <c r="CF14" s="1"/>
      <c r="CG14" s="1"/>
      <c r="CH14" s="1"/>
    </row>
    <row r="15" spans="1:86" x14ac:dyDescent="0.45">
      <c r="A15" s="1"/>
      <c r="B15" s="125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7"/>
      <c r="O15" s="194" t="s">
        <v>66</v>
      </c>
      <c r="P15" s="194"/>
      <c r="Q15" s="194"/>
      <c r="R15" s="194"/>
      <c r="S15" s="194"/>
      <c r="T15" s="194"/>
      <c r="U15" s="194"/>
      <c r="V15" s="11"/>
      <c r="W15" s="110"/>
      <c r="X15" s="111"/>
      <c r="Y15" s="111"/>
      <c r="Z15" s="111"/>
      <c r="AA15" s="111"/>
      <c r="AB15" s="111"/>
      <c r="AC15" s="112"/>
      <c r="AD15" s="12"/>
      <c r="AE15" s="110"/>
      <c r="AF15" s="111"/>
      <c r="AG15" s="111"/>
      <c r="AH15" s="111"/>
      <c r="AI15" s="111"/>
      <c r="AJ15" s="111"/>
      <c r="AK15" s="112"/>
      <c r="AL15" s="13"/>
      <c r="AM15" s="13"/>
      <c r="AN15" s="13"/>
      <c r="AO15" s="13"/>
      <c r="AP15" s="11"/>
      <c r="AQ15" s="11"/>
      <c r="AR15" s="11"/>
      <c r="AS15" s="5"/>
      <c r="AT15" s="1"/>
      <c r="AU15" s="1"/>
      <c r="AV15" s="194" t="s">
        <v>66</v>
      </c>
      <c r="AW15" s="194"/>
      <c r="AX15" s="194"/>
      <c r="AY15" s="194"/>
      <c r="AZ15" s="194"/>
      <c r="BA15" s="194"/>
      <c r="BB15" s="194"/>
      <c r="BC15" s="11"/>
      <c r="BD15" s="110"/>
      <c r="BE15" s="111"/>
      <c r="BF15" s="111"/>
      <c r="BG15" s="111"/>
      <c r="BH15" s="111"/>
      <c r="BI15" s="111"/>
      <c r="BJ15" s="112"/>
      <c r="BK15" s="12"/>
      <c r="BL15" s="110"/>
      <c r="BM15" s="111"/>
      <c r="BN15" s="111"/>
      <c r="BO15" s="111"/>
      <c r="BP15" s="111"/>
      <c r="BQ15" s="111"/>
      <c r="BR15" s="112"/>
      <c r="BS15" s="13"/>
      <c r="BT15" s="13"/>
      <c r="BU15" s="13"/>
      <c r="BV15" s="13"/>
      <c r="BW15" s="11"/>
      <c r="BX15" s="11"/>
      <c r="BY15" s="11"/>
      <c r="BZ15" s="5"/>
      <c r="CA15" s="1"/>
      <c r="CB15" s="1"/>
      <c r="CC15" s="1"/>
      <c r="CD15" s="1"/>
      <c r="CE15" s="1"/>
      <c r="CF15" s="1"/>
      <c r="CG15" s="1"/>
      <c r="CH15" s="1"/>
    </row>
    <row r="16" spans="1:86" x14ac:dyDescent="0.45">
      <c r="A16" s="1"/>
      <c r="B16" s="125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7"/>
      <c r="O16" s="194" t="s">
        <v>5767</v>
      </c>
      <c r="P16" s="194"/>
      <c r="Q16" s="194"/>
      <c r="R16" s="194"/>
      <c r="S16" s="194"/>
      <c r="T16" s="194"/>
      <c r="U16" s="194"/>
      <c r="V16" s="11"/>
      <c r="W16" s="119"/>
      <c r="X16" s="120"/>
      <c r="Y16" s="120"/>
      <c r="Z16" s="120"/>
      <c r="AA16" s="120"/>
      <c r="AB16" s="120"/>
      <c r="AC16" s="121"/>
      <c r="AD16" s="12"/>
      <c r="AE16" s="119"/>
      <c r="AF16" s="120"/>
      <c r="AG16" s="120"/>
      <c r="AH16" s="120"/>
      <c r="AI16" s="120"/>
      <c r="AJ16" s="120"/>
      <c r="AK16" s="121"/>
      <c r="AL16" s="13"/>
      <c r="AM16" s="13"/>
      <c r="AN16" s="13"/>
      <c r="AO16" s="13"/>
      <c r="AP16" s="11"/>
      <c r="AQ16" s="11"/>
      <c r="AR16" s="11"/>
      <c r="AS16" s="5"/>
      <c r="AT16" s="1"/>
      <c r="AU16" s="1"/>
      <c r="AV16" s="194" t="s">
        <v>5767</v>
      </c>
      <c r="AW16" s="194"/>
      <c r="AX16" s="194"/>
      <c r="AY16" s="194"/>
      <c r="AZ16" s="194"/>
      <c r="BA16" s="194"/>
      <c r="BB16" s="194"/>
      <c r="BC16" s="11"/>
      <c r="BD16" s="138" t="s">
        <v>6434</v>
      </c>
      <c r="BE16" s="139"/>
      <c r="BF16" s="139"/>
      <c r="BG16" s="139"/>
      <c r="BH16" s="139"/>
      <c r="BI16" s="139"/>
      <c r="BJ16" s="140"/>
      <c r="BK16" s="12"/>
      <c r="BL16" s="138" t="s">
        <v>6435</v>
      </c>
      <c r="BM16" s="139"/>
      <c r="BN16" s="139"/>
      <c r="BO16" s="139"/>
      <c r="BP16" s="139"/>
      <c r="BQ16" s="139"/>
      <c r="BR16" s="140"/>
      <c r="BS16" s="13"/>
      <c r="BT16" s="13"/>
      <c r="BU16" s="13"/>
      <c r="BV16" s="13"/>
      <c r="BW16" s="11"/>
      <c r="BX16" s="11"/>
      <c r="BY16" s="11"/>
      <c r="BZ16" s="5"/>
      <c r="CA16" s="1"/>
      <c r="CB16" s="1"/>
      <c r="CC16" s="1"/>
      <c r="CD16" s="1"/>
      <c r="CE16" s="1"/>
      <c r="CF16" s="1"/>
      <c r="CG16" s="1"/>
      <c r="CH16" s="1"/>
    </row>
    <row r="17" spans="1:86" x14ac:dyDescent="0.45">
      <c r="A17" s="1"/>
      <c r="B17" s="125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7"/>
      <c r="O17" s="195" t="s">
        <v>36</v>
      </c>
      <c r="P17" s="196"/>
      <c r="Q17" s="197"/>
      <c r="R17" s="195" t="s">
        <v>5768</v>
      </c>
      <c r="S17" s="196"/>
      <c r="T17" s="196"/>
      <c r="U17" s="197"/>
      <c r="V17" s="11"/>
      <c r="W17" s="110" t="s">
        <v>5597</v>
      </c>
      <c r="X17" s="111"/>
      <c r="Y17" s="112"/>
      <c r="Z17" s="110" t="s">
        <v>6427</v>
      </c>
      <c r="AA17" s="111"/>
      <c r="AB17" s="111"/>
      <c r="AC17" s="112"/>
      <c r="AD17" s="11"/>
      <c r="AE17" s="110" t="s">
        <v>5597</v>
      </c>
      <c r="AF17" s="111"/>
      <c r="AG17" s="112"/>
      <c r="AH17" s="110" t="s">
        <v>6427</v>
      </c>
      <c r="AI17" s="111"/>
      <c r="AJ17" s="111"/>
      <c r="AK17" s="112"/>
      <c r="AL17" s="14"/>
      <c r="AM17" s="14"/>
      <c r="AN17" s="14"/>
      <c r="AO17" s="14"/>
      <c r="AP17" s="11"/>
      <c r="AQ17" s="11"/>
      <c r="AR17" s="11"/>
      <c r="AS17" s="5"/>
      <c r="AT17" s="1"/>
      <c r="AU17" s="1"/>
      <c r="AV17" s="195" t="s">
        <v>36</v>
      </c>
      <c r="AW17" s="196"/>
      <c r="AX17" s="197"/>
      <c r="AY17" s="195" t="s">
        <v>5768</v>
      </c>
      <c r="AZ17" s="196"/>
      <c r="BA17" s="196"/>
      <c r="BB17" s="197"/>
      <c r="BC17" s="11"/>
      <c r="BD17" s="110" t="s">
        <v>142</v>
      </c>
      <c r="BE17" s="111"/>
      <c r="BF17" s="112"/>
      <c r="BG17" s="110" t="s">
        <v>5801</v>
      </c>
      <c r="BH17" s="111"/>
      <c r="BI17" s="111"/>
      <c r="BJ17" s="112"/>
      <c r="BK17" s="11"/>
      <c r="BL17" s="110" t="s">
        <v>142</v>
      </c>
      <c r="BM17" s="111"/>
      <c r="BN17" s="112"/>
      <c r="BO17" s="110" t="s">
        <v>5801</v>
      </c>
      <c r="BP17" s="111"/>
      <c r="BQ17" s="111"/>
      <c r="BR17" s="112"/>
      <c r="BS17" s="14"/>
      <c r="BT17" s="14"/>
      <c r="BU17" s="14"/>
      <c r="BV17" s="14"/>
      <c r="BW17" s="11"/>
      <c r="BX17" s="11"/>
      <c r="BY17" s="11"/>
      <c r="BZ17" s="5"/>
      <c r="CA17" s="1"/>
      <c r="CB17" s="1"/>
      <c r="CC17" s="1"/>
      <c r="CD17" s="1"/>
      <c r="CE17" s="1"/>
      <c r="CF17" s="1"/>
      <c r="CG17" s="1"/>
      <c r="CH17" s="1"/>
    </row>
    <row r="18" spans="1:86" x14ac:dyDescent="0.45">
      <c r="A18" s="1"/>
      <c r="B18" s="125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7"/>
      <c r="O18" s="195" t="s">
        <v>3</v>
      </c>
      <c r="P18" s="196"/>
      <c r="Q18" s="196"/>
      <c r="R18" s="196"/>
      <c r="S18" s="196"/>
      <c r="T18" s="196"/>
      <c r="U18" s="197"/>
      <c r="V18" s="13"/>
      <c r="W18" s="110" t="s">
        <v>123</v>
      </c>
      <c r="X18" s="111"/>
      <c r="Y18" s="111"/>
      <c r="Z18" s="111"/>
      <c r="AA18" s="111"/>
      <c r="AB18" s="111"/>
      <c r="AC18" s="112"/>
      <c r="AD18" s="14"/>
      <c r="AE18" s="110" t="s">
        <v>123</v>
      </c>
      <c r="AF18" s="111"/>
      <c r="AG18" s="111"/>
      <c r="AH18" s="111"/>
      <c r="AI18" s="111"/>
      <c r="AJ18" s="111"/>
      <c r="AK18" s="112"/>
      <c r="AL18" s="14"/>
      <c r="AM18" s="14"/>
      <c r="AN18" s="14"/>
      <c r="AO18" s="14"/>
      <c r="AP18" s="11"/>
      <c r="AQ18" s="11"/>
      <c r="AR18" s="11"/>
      <c r="AS18" s="5"/>
      <c r="AT18" s="1"/>
      <c r="AU18" s="1"/>
      <c r="AV18" s="195" t="s">
        <v>3</v>
      </c>
      <c r="AW18" s="196"/>
      <c r="AX18" s="196"/>
      <c r="AY18" s="196"/>
      <c r="AZ18" s="196"/>
      <c r="BA18" s="196"/>
      <c r="BB18" s="197"/>
      <c r="BC18" s="13"/>
      <c r="BD18" s="110" t="s">
        <v>123</v>
      </c>
      <c r="BE18" s="111"/>
      <c r="BF18" s="111"/>
      <c r="BG18" s="111"/>
      <c r="BH18" s="111"/>
      <c r="BI18" s="111"/>
      <c r="BJ18" s="112"/>
      <c r="BK18" s="14"/>
      <c r="BL18" s="110" t="s">
        <v>123</v>
      </c>
      <c r="BM18" s="111"/>
      <c r="BN18" s="111"/>
      <c r="BO18" s="111"/>
      <c r="BP18" s="111"/>
      <c r="BQ18" s="111"/>
      <c r="BR18" s="112"/>
      <c r="BS18" s="14"/>
      <c r="BT18" s="14"/>
      <c r="BU18" s="14"/>
      <c r="BV18" s="14"/>
      <c r="BW18" s="11"/>
      <c r="BX18" s="11"/>
      <c r="BY18" s="11"/>
      <c r="BZ18" s="5"/>
      <c r="CA18" s="1"/>
      <c r="CB18" s="1"/>
      <c r="CC18" s="1"/>
      <c r="CD18" s="1"/>
      <c r="CE18" s="1"/>
      <c r="CF18" s="1"/>
      <c r="CG18" s="1"/>
      <c r="CH18" s="1"/>
    </row>
    <row r="19" spans="1:86" x14ac:dyDescent="0.45">
      <c r="A19" s="1"/>
      <c r="B19" s="125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7"/>
      <c r="O19" s="194" t="s">
        <v>7</v>
      </c>
      <c r="P19" s="194"/>
      <c r="Q19" s="194"/>
      <c r="R19" s="195" t="s">
        <v>5769</v>
      </c>
      <c r="S19" s="196"/>
      <c r="T19" s="196"/>
      <c r="U19" s="197"/>
      <c r="V19" s="13"/>
      <c r="W19" s="113">
        <v>8.5</v>
      </c>
      <c r="X19" s="114"/>
      <c r="Y19" s="115"/>
      <c r="Z19" s="107" t="s">
        <v>5843</v>
      </c>
      <c r="AA19" s="107"/>
      <c r="AB19" s="107"/>
      <c r="AC19" s="107" t="s">
        <v>5920</v>
      </c>
      <c r="AD19" s="14"/>
      <c r="AE19" s="113">
        <v>8.6</v>
      </c>
      <c r="AF19" s="114"/>
      <c r="AG19" s="115"/>
      <c r="AH19" s="107" t="s">
        <v>6428</v>
      </c>
      <c r="AI19" s="107"/>
      <c r="AJ19" s="107"/>
      <c r="AK19" s="108" t="s">
        <v>5843</v>
      </c>
      <c r="AL19" s="14"/>
      <c r="AM19" s="14"/>
      <c r="AN19" s="14"/>
      <c r="AO19" s="14"/>
      <c r="AP19" s="11"/>
      <c r="AQ19" s="11"/>
      <c r="AR19" s="11"/>
      <c r="AS19" s="5"/>
      <c r="AT19" s="1"/>
      <c r="AU19" s="1"/>
      <c r="AV19" s="194" t="s">
        <v>7</v>
      </c>
      <c r="AW19" s="194"/>
      <c r="AX19" s="194"/>
      <c r="AY19" s="195" t="s">
        <v>5769</v>
      </c>
      <c r="AZ19" s="196"/>
      <c r="BA19" s="196"/>
      <c r="BB19" s="197"/>
      <c r="BC19" s="13"/>
      <c r="BD19" s="113">
        <v>9</v>
      </c>
      <c r="BE19" s="114"/>
      <c r="BF19" s="115"/>
      <c r="BG19" s="107" t="s">
        <v>6433</v>
      </c>
      <c r="BH19" s="107"/>
      <c r="BI19" s="107"/>
      <c r="BJ19" s="107" t="s">
        <v>6433</v>
      </c>
      <c r="BK19" s="14"/>
      <c r="BL19" s="113">
        <v>9</v>
      </c>
      <c r="BM19" s="114"/>
      <c r="BN19" s="115"/>
      <c r="BO19" s="107" t="s">
        <v>6433</v>
      </c>
      <c r="BP19" s="107"/>
      <c r="BQ19" s="107"/>
      <c r="BR19" s="107" t="s">
        <v>6433</v>
      </c>
      <c r="BS19" s="14"/>
      <c r="BT19" s="14"/>
      <c r="BU19" s="14"/>
      <c r="BV19" s="14"/>
      <c r="BW19" s="11"/>
      <c r="BX19" s="11"/>
      <c r="BY19" s="11"/>
      <c r="BZ19" s="5"/>
      <c r="CA19" s="1"/>
      <c r="CB19" s="1"/>
      <c r="CC19" s="1"/>
      <c r="CD19" s="1"/>
      <c r="CE19" s="1"/>
      <c r="CF19" s="1"/>
      <c r="CG19" s="1"/>
      <c r="CH19" s="1"/>
    </row>
    <row r="20" spans="1:86" x14ac:dyDescent="0.45">
      <c r="A20" s="1"/>
      <c r="B20" s="128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0"/>
      <c r="O20" s="116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8"/>
      <c r="AT20" s="1"/>
      <c r="AU20" s="1"/>
      <c r="AV20" s="9"/>
      <c r="AW20" s="29"/>
      <c r="AX20" s="29"/>
      <c r="AY20" s="29"/>
      <c r="AZ20" s="29"/>
      <c r="BA20" s="29"/>
      <c r="BB20" s="29"/>
      <c r="BC20" s="13"/>
      <c r="BD20" s="30"/>
      <c r="BE20" s="30"/>
      <c r="BF20" s="30"/>
      <c r="BG20" s="31"/>
      <c r="BH20" s="31"/>
      <c r="BI20" s="31"/>
      <c r="BJ20" s="31"/>
      <c r="BK20" s="14"/>
      <c r="BL20" s="30"/>
      <c r="BM20" s="30"/>
      <c r="BN20" s="30"/>
      <c r="BO20" s="31"/>
      <c r="BP20" s="31"/>
      <c r="BQ20" s="31"/>
      <c r="BR20" s="31"/>
      <c r="BS20" s="14"/>
      <c r="BT20" s="14"/>
      <c r="BU20" s="14"/>
      <c r="BV20" s="14"/>
      <c r="BW20" s="11"/>
      <c r="BX20" s="11"/>
      <c r="BY20" s="11"/>
      <c r="BZ20" s="5"/>
      <c r="CA20" s="1"/>
      <c r="CB20" s="1"/>
      <c r="CC20" s="1"/>
      <c r="CD20" s="1"/>
      <c r="CE20" s="1"/>
      <c r="CF20" s="1"/>
      <c r="CG20" s="1"/>
      <c r="CH20" s="1"/>
    </row>
    <row r="21" spans="1:86" x14ac:dyDescent="0.45">
      <c r="A21" s="1"/>
      <c r="B21" s="122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4"/>
      <c r="O21" s="116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/>
      <c r="AO21" s="117"/>
      <c r="AP21" s="117"/>
      <c r="AQ21" s="117"/>
      <c r="AR21" s="117"/>
      <c r="AS21" s="118"/>
      <c r="AT21" s="1"/>
      <c r="AU21" s="1"/>
      <c r="AV21" s="9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4"/>
      <c r="BQ21" s="14"/>
      <c r="BR21" s="14"/>
      <c r="BS21" s="14"/>
      <c r="BT21" s="14"/>
      <c r="BU21" s="14"/>
      <c r="BV21" s="14"/>
      <c r="BW21" s="11"/>
      <c r="BX21" s="11"/>
      <c r="BY21" s="11"/>
      <c r="BZ21" s="5"/>
      <c r="CA21" s="1"/>
      <c r="CB21" s="1"/>
      <c r="CC21" s="1"/>
      <c r="CD21" s="1"/>
      <c r="CE21" s="1"/>
      <c r="CF21" s="1"/>
      <c r="CG21" s="1"/>
      <c r="CH21" s="1"/>
    </row>
    <row r="22" spans="1:86" x14ac:dyDescent="0.45">
      <c r="A22" s="1"/>
      <c r="B22" s="125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7"/>
      <c r="O22" s="119"/>
      <c r="P22" s="120"/>
      <c r="Q22" s="120"/>
      <c r="R22" s="120"/>
      <c r="S22" s="120"/>
      <c r="T22" s="120"/>
      <c r="U22" s="121"/>
      <c r="V22" s="14"/>
      <c r="W22" s="119"/>
      <c r="X22" s="120"/>
      <c r="Y22" s="120"/>
      <c r="Z22" s="120"/>
      <c r="AA22" s="120"/>
      <c r="AB22" s="120"/>
      <c r="AC22" s="121"/>
      <c r="AD22" s="14"/>
      <c r="AE22" s="119"/>
      <c r="AF22" s="120"/>
      <c r="AG22" s="120"/>
      <c r="AH22" s="120"/>
      <c r="AI22" s="120"/>
      <c r="AJ22" s="120"/>
      <c r="AK22" s="121"/>
      <c r="AL22" s="14"/>
      <c r="AM22" s="119"/>
      <c r="AN22" s="120"/>
      <c r="AO22" s="120"/>
      <c r="AP22" s="120"/>
      <c r="AQ22" s="120"/>
      <c r="AR22" s="120"/>
      <c r="AS22" s="121"/>
      <c r="AT22" s="1"/>
      <c r="AU22" s="1"/>
      <c r="AV22" s="119"/>
      <c r="AW22" s="120"/>
      <c r="AX22" s="120"/>
      <c r="AY22" s="120"/>
      <c r="AZ22" s="120"/>
      <c r="BA22" s="120"/>
      <c r="BB22" s="121"/>
      <c r="BC22" s="14"/>
      <c r="BD22" s="119"/>
      <c r="BE22" s="120"/>
      <c r="BF22" s="120"/>
      <c r="BG22" s="120"/>
      <c r="BH22" s="120"/>
      <c r="BI22" s="120"/>
      <c r="BJ22" s="121"/>
      <c r="BK22" s="14"/>
      <c r="BL22" s="119"/>
      <c r="BM22" s="120"/>
      <c r="BN22" s="120"/>
      <c r="BO22" s="120"/>
      <c r="BP22" s="120"/>
      <c r="BQ22" s="120"/>
      <c r="BR22" s="121"/>
      <c r="BS22" s="14"/>
      <c r="BT22" s="119"/>
      <c r="BU22" s="120"/>
      <c r="BV22" s="120"/>
      <c r="BW22" s="120"/>
      <c r="BX22" s="120"/>
      <c r="BY22" s="120"/>
      <c r="BZ22" s="121"/>
      <c r="CA22" s="1"/>
      <c r="CB22" s="1"/>
      <c r="CC22" s="1"/>
      <c r="CD22" s="1"/>
      <c r="CE22" s="1"/>
      <c r="CF22" s="1"/>
      <c r="CG22" s="1"/>
      <c r="CH22" s="1"/>
    </row>
    <row r="23" spans="1:86" x14ac:dyDescent="0.45">
      <c r="A23" s="1"/>
      <c r="B23" s="125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7"/>
      <c r="O23" s="119"/>
      <c r="P23" s="120"/>
      <c r="Q23" s="120"/>
      <c r="R23" s="120"/>
      <c r="S23" s="120"/>
      <c r="T23" s="120"/>
      <c r="U23" s="121"/>
      <c r="V23" s="12"/>
      <c r="W23" s="119"/>
      <c r="X23" s="120"/>
      <c r="Y23" s="120"/>
      <c r="Z23" s="120"/>
      <c r="AA23" s="120"/>
      <c r="AB23" s="120"/>
      <c r="AC23" s="121"/>
      <c r="AD23" s="12"/>
      <c r="AE23" s="119"/>
      <c r="AF23" s="120"/>
      <c r="AG23" s="120"/>
      <c r="AH23" s="120"/>
      <c r="AI23" s="120"/>
      <c r="AJ23" s="120"/>
      <c r="AK23" s="121"/>
      <c r="AL23" s="12"/>
      <c r="AM23" s="119"/>
      <c r="AN23" s="120"/>
      <c r="AO23" s="120"/>
      <c r="AP23" s="120"/>
      <c r="AQ23" s="120"/>
      <c r="AR23" s="120"/>
      <c r="AS23" s="121"/>
      <c r="AT23" s="1"/>
      <c r="AU23" s="1"/>
      <c r="AV23" s="119"/>
      <c r="AW23" s="120"/>
      <c r="AX23" s="120"/>
      <c r="AY23" s="120"/>
      <c r="AZ23" s="120"/>
      <c r="BA23" s="120"/>
      <c r="BB23" s="121"/>
      <c r="BC23" s="12"/>
      <c r="BD23" s="119"/>
      <c r="BE23" s="120"/>
      <c r="BF23" s="120"/>
      <c r="BG23" s="120"/>
      <c r="BH23" s="120"/>
      <c r="BI23" s="120"/>
      <c r="BJ23" s="121"/>
      <c r="BK23" s="12"/>
      <c r="BL23" s="119"/>
      <c r="BM23" s="120"/>
      <c r="BN23" s="120"/>
      <c r="BO23" s="120"/>
      <c r="BP23" s="120"/>
      <c r="BQ23" s="120"/>
      <c r="BR23" s="121"/>
      <c r="BS23" s="12"/>
      <c r="BT23" s="119"/>
      <c r="BU23" s="120"/>
      <c r="BV23" s="120"/>
      <c r="BW23" s="120"/>
      <c r="BX23" s="120"/>
      <c r="BY23" s="120"/>
      <c r="BZ23" s="121"/>
      <c r="CA23" s="1"/>
      <c r="CB23" s="1"/>
      <c r="CC23" s="1"/>
      <c r="CD23" s="1"/>
      <c r="CE23" s="1"/>
      <c r="CF23" s="1"/>
      <c r="CG23" s="1"/>
      <c r="CH23" s="1"/>
    </row>
    <row r="24" spans="1:86" x14ac:dyDescent="0.45">
      <c r="A24" s="1"/>
      <c r="B24" s="125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7"/>
      <c r="O24" s="110"/>
      <c r="P24" s="111"/>
      <c r="Q24" s="112"/>
      <c r="R24" s="110"/>
      <c r="S24" s="111"/>
      <c r="T24" s="111"/>
      <c r="U24" s="112"/>
      <c r="V24" s="12"/>
      <c r="W24" s="131" t="s">
        <v>115</v>
      </c>
      <c r="X24" s="132"/>
      <c r="Y24" s="133"/>
      <c r="Z24" s="110" t="s">
        <v>6429</v>
      </c>
      <c r="AA24" s="111"/>
      <c r="AB24" s="111"/>
      <c r="AC24" s="112"/>
      <c r="AD24" s="12"/>
      <c r="AE24" s="131" t="s">
        <v>115</v>
      </c>
      <c r="AF24" s="132"/>
      <c r="AG24" s="133"/>
      <c r="AH24" s="110" t="s">
        <v>6429</v>
      </c>
      <c r="AI24" s="111"/>
      <c r="AJ24" s="111"/>
      <c r="AK24" s="112"/>
      <c r="AL24" s="12"/>
      <c r="AM24" s="110"/>
      <c r="AN24" s="111"/>
      <c r="AO24" s="112"/>
      <c r="AP24" s="110"/>
      <c r="AQ24" s="111"/>
      <c r="AR24" s="111"/>
      <c r="AS24" s="112"/>
      <c r="AT24" s="1"/>
      <c r="AU24" s="1"/>
      <c r="AV24" s="110"/>
      <c r="AW24" s="111"/>
      <c r="AX24" s="112"/>
      <c r="AY24" s="110"/>
      <c r="AZ24" s="111"/>
      <c r="BA24" s="111"/>
      <c r="BB24" s="112"/>
      <c r="BC24" s="12"/>
      <c r="BD24" s="110" t="s">
        <v>5597</v>
      </c>
      <c r="BE24" s="111"/>
      <c r="BF24" s="112"/>
      <c r="BG24" s="110" t="s">
        <v>6427</v>
      </c>
      <c r="BH24" s="111"/>
      <c r="BI24" s="111"/>
      <c r="BJ24" s="112"/>
      <c r="BK24" s="12"/>
      <c r="BL24" s="110" t="s">
        <v>5597</v>
      </c>
      <c r="BM24" s="111"/>
      <c r="BN24" s="112"/>
      <c r="BO24" s="110" t="s">
        <v>6427</v>
      </c>
      <c r="BP24" s="111"/>
      <c r="BQ24" s="111"/>
      <c r="BR24" s="112"/>
      <c r="BS24" s="12"/>
      <c r="BT24" s="110"/>
      <c r="BU24" s="111"/>
      <c r="BV24" s="112"/>
      <c r="BW24" s="110"/>
      <c r="BX24" s="111"/>
      <c r="BY24" s="111"/>
      <c r="BZ24" s="112"/>
      <c r="CA24" s="1"/>
      <c r="CB24" s="1"/>
      <c r="CC24" s="1"/>
      <c r="CD24" s="1"/>
      <c r="CE24" s="1"/>
      <c r="CF24" s="1"/>
      <c r="CG24" s="1"/>
      <c r="CH24" s="1"/>
    </row>
    <row r="25" spans="1:86" x14ac:dyDescent="0.45">
      <c r="A25" s="1"/>
      <c r="B25" s="12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7"/>
      <c r="O25" s="110"/>
      <c r="P25" s="111"/>
      <c r="Q25" s="111"/>
      <c r="R25" s="111"/>
      <c r="S25" s="111"/>
      <c r="T25" s="111"/>
      <c r="U25" s="112"/>
      <c r="V25" s="2"/>
      <c r="W25" s="110" t="s">
        <v>123</v>
      </c>
      <c r="X25" s="111"/>
      <c r="Y25" s="111"/>
      <c r="Z25" s="111"/>
      <c r="AA25" s="111"/>
      <c r="AB25" s="111"/>
      <c r="AC25" s="112"/>
      <c r="AD25" s="2"/>
      <c r="AE25" s="110" t="s">
        <v>123</v>
      </c>
      <c r="AF25" s="111"/>
      <c r="AG25" s="111"/>
      <c r="AH25" s="111"/>
      <c r="AI25" s="111"/>
      <c r="AJ25" s="111"/>
      <c r="AK25" s="112"/>
      <c r="AL25" s="2"/>
      <c r="AM25" s="110"/>
      <c r="AN25" s="111"/>
      <c r="AO25" s="111"/>
      <c r="AP25" s="111"/>
      <c r="AQ25" s="111"/>
      <c r="AR25" s="111"/>
      <c r="AS25" s="112"/>
      <c r="AT25" s="1"/>
      <c r="AU25" s="1"/>
      <c r="AV25" s="110"/>
      <c r="AW25" s="111"/>
      <c r="AX25" s="111"/>
      <c r="AY25" s="111"/>
      <c r="AZ25" s="111"/>
      <c r="BA25" s="111"/>
      <c r="BB25" s="112"/>
      <c r="BC25" s="2"/>
      <c r="BD25" s="110" t="s">
        <v>123</v>
      </c>
      <c r="BE25" s="111"/>
      <c r="BF25" s="111"/>
      <c r="BG25" s="111"/>
      <c r="BH25" s="111"/>
      <c r="BI25" s="111"/>
      <c r="BJ25" s="112"/>
      <c r="BK25" s="2"/>
      <c r="BL25" s="110" t="s">
        <v>123</v>
      </c>
      <c r="BM25" s="111"/>
      <c r="BN25" s="111"/>
      <c r="BO25" s="111"/>
      <c r="BP25" s="111"/>
      <c r="BQ25" s="111"/>
      <c r="BR25" s="112"/>
      <c r="BS25" s="2"/>
      <c r="BT25" s="110"/>
      <c r="BU25" s="111"/>
      <c r="BV25" s="111"/>
      <c r="BW25" s="111"/>
      <c r="BX25" s="111"/>
      <c r="BY25" s="111"/>
      <c r="BZ25" s="112"/>
      <c r="CA25" s="1"/>
      <c r="CB25" s="1"/>
      <c r="CC25" s="1"/>
      <c r="CD25" s="1"/>
      <c r="CE25" s="1"/>
      <c r="CF25" s="1"/>
      <c r="CG25" s="1"/>
      <c r="CH25" s="1"/>
    </row>
    <row r="26" spans="1:86" x14ac:dyDescent="0.45">
      <c r="A26" s="1"/>
      <c r="B26" s="125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7"/>
      <c r="O26" s="113"/>
      <c r="P26" s="114"/>
      <c r="Q26" s="115"/>
      <c r="R26" s="107"/>
      <c r="S26" s="107"/>
      <c r="T26" s="107"/>
      <c r="U26" s="107"/>
      <c r="V26" s="32"/>
      <c r="W26" s="113">
        <v>8.5</v>
      </c>
      <c r="X26" s="114"/>
      <c r="Y26" s="115"/>
      <c r="Z26" s="107" t="s">
        <v>5943</v>
      </c>
      <c r="AA26" s="107"/>
      <c r="AB26" s="107"/>
      <c r="AC26" s="107" t="s">
        <v>5800</v>
      </c>
      <c r="AD26" s="32"/>
      <c r="AE26" s="113">
        <v>8.8000000000000007</v>
      </c>
      <c r="AF26" s="114"/>
      <c r="AG26" s="115"/>
      <c r="AH26" s="107" t="s">
        <v>5795</v>
      </c>
      <c r="AI26" s="107"/>
      <c r="AJ26" s="107"/>
      <c r="AK26" s="107" t="s">
        <v>5848</v>
      </c>
      <c r="AL26" s="32"/>
      <c r="AM26" s="113"/>
      <c r="AN26" s="114"/>
      <c r="AO26" s="115"/>
      <c r="AP26" s="107"/>
      <c r="AQ26" s="107"/>
      <c r="AR26" s="107"/>
      <c r="AS26" s="107"/>
      <c r="AT26" s="1"/>
      <c r="AU26" s="1"/>
      <c r="AV26" s="113"/>
      <c r="AW26" s="114"/>
      <c r="AX26" s="115"/>
      <c r="AY26" s="107"/>
      <c r="AZ26" s="107"/>
      <c r="BA26" s="107"/>
      <c r="BB26" s="107"/>
      <c r="BC26" s="32"/>
      <c r="BD26" s="113">
        <v>9</v>
      </c>
      <c r="BE26" s="114"/>
      <c r="BF26" s="115"/>
      <c r="BG26" s="107" t="s">
        <v>5843</v>
      </c>
      <c r="BH26" s="107"/>
      <c r="BI26" s="107"/>
      <c r="BJ26" s="107" t="s">
        <v>5920</v>
      </c>
      <c r="BK26" s="32"/>
      <c r="BL26" s="113">
        <v>9</v>
      </c>
      <c r="BM26" s="114"/>
      <c r="BN26" s="115"/>
      <c r="BO26" s="107" t="s">
        <v>6428</v>
      </c>
      <c r="BP26" s="107"/>
      <c r="BQ26" s="107"/>
      <c r="BR26" s="108" t="s">
        <v>5843</v>
      </c>
      <c r="BS26" s="32"/>
      <c r="BT26" s="113"/>
      <c r="BU26" s="114"/>
      <c r="BV26" s="115"/>
      <c r="BW26" s="107"/>
      <c r="BX26" s="107"/>
      <c r="BY26" s="107"/>
      <c r="BZ26" s="107"/>
      <c r="CA26" s="1"/>
      <c r="CB26" s="1"/>
      <c r="CC26" s="1"/>
      <c r="CD26" s="1"/>
      <c r="CE26" s="1"/>
      <c r="CF26" s="1"/>
      <c r="CG26" s="1"/>
      <c r="CH26" s="1"/>
    </row>
    <row r="27" spans="1:86" x14ac:dyDescent="0.45">
      <c r="A27" s="1"/>
      <c r="B27" s="128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30"/>
      <c r="O27" s="116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8"/>
      <c r="AT27" s="1"/>
      <c r="AU27" s="1"/>
      <c r="AV27" s="116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8"/>
      <c r="CA27" s="1"/>
      <c r="CB27" s="1"/>
      <c r="CC27" s="1"/>
      <c r="CD27" s="1"/>
      <c r="CE27" s="1"/>
      <c r="CF27" s="1"/>
      <c r="CG27" s="1"/>
      <c r="CH27" s="1"/>
    </row>
    <row r="28" spans="1:86" x14ac:dyDescent="0.45">
      <c r="A28" s="1"/>
      <c r="B28" s="122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4"/>
      <c r="O28" s="116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8"/>
      <c r="AT28" s="1"/>
      <c r="AU28" s="1"/>
      <c r="AV28" s="116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8"/>
      <c r="CA28" s="1"/>
      <c r="CB28" s="1"/>
      <c r="CC28" s="1"/>
      <c r="CD28" s="1"/>
      <c r="CE28" s="1"/>
      <c r="CF28" s="1"/>
      <c r="CG28" s="1"/>
      <c r="CH28" s="1"/>
    </row>
    <row r="29" spans="1:86" x14ac:dyDescent="0.45">
      <c r="A29" s="1"/>
      <c r="B29" s="125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7"/>
      <c r="O29" s="119"/>
      <c r="P29" s="120"/>
      <c r="Q29" s="120"/>
      <c r="R29" s="120"/>
      <c r="S29" s="120"/>
      <c r="T29" s="120"/>
      <c r="U29" s="121"/>
      <c r="V29" s="10"/>
      <c r="W29" s="119"/>
      <c r="X29" s="120"/>
      <c r="Y29" s="120"/>
      <c r="Z29" s="120"/>
      <c r="AA29" s="120"/>
      <c r="AB29" s="120"/>
      <c r="AC29" s="121"/>
      <c r="AD29" s="10"/>
      <c r="AE29" s="119"/>
      <c r="AF29" s="120"/>
      <c r="AG29" s="120"/>
      <c r="AH29" s="120"/>
      <c r="AI29" s="120"/>
      <c r="AJ29" s="120"/>
      <c r="AK29" s="121"/>
      <c r="AL29" s="10"/>
      <c r="AM29" s="119"/>
      <c r="AN29" s="120"/>
      <c r="AO29" s="120"/>
      <c r="AP29" s="120"/>
      <c r="AQ29" s="120"/>
      <c r="AR29" s="120"/>
      <c r="AS29" s="121"/>
      <c r="AT29" s="1"/>
      <c r="AU29" s="1"/>
      <c r="AV29" s="119"/>
      <c r="AW29" s="120"/>
      <c r="AX29" s="120"/>
      <c r="AY29" s="120"/>
      <c r="AZ29" s="120"/>
      <c r="BA29" s="120"/>
      <c r="BB29" s="121"/>
      <c r="BC29" s="10"/>
      <c r="BD29" s="119"/>
      <c r="BE29" s="120"/>
      <c r="BF29" s="120"/>
      <c r="BG29" s="120"/>
      <c r="BH29" s="120"/>
      <c r="BI29" s="120"/>
      <c r="BJ29" s="121"/>
      <c r="BK29" s="10"/>
      <c r="BL29" s="119"/>
      <c r="BM29" s="120"/>
      <c r="BN29" s="120"/>
      <c r="BO29" s="120"/>
      <c r="BP29" s="120"/>
      <c r="BQ29" s="120"/>
      <c r="BR29" s="121"/>
      <c r="BS29" s="10"/>
      <c r="BT29" s="119"/>
      <c r="BU29" s="120"/>
      <c r="BV29" s="120"/>
      <c r="BW29" s="120"/>
      <c r="BX29" s="120"/>
      <c r="BY29" s="120"/>
      <c r="BZ29" s="121"/>
      <c r="CA29" s="1"/>
      <c r="CB29" s="1"/>
      <c r="CC29" s="1"/>
      <c r="CD29" s="1"/>
      <c r="CE29" s="1"/>
      <c r="CF29" s="1"/>
      <c r="CG29" s="1"/>
      <c r="CH29" s="1"/>
    </row>
    <row r="30" spans="1:86" x14ac:dyDescent="0.45">
      <c r="A30" s="1"/>
      <c r="B30" s="125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7"/>
      <c r="O30" s="119"/>
      <c r="P30" s="120"/>
      <c r="Q30" s="120"/>
      <c r="R30" s="120"/>
      <c r="S30" s="120"/>
      <c r="T30" s="120"/>
      <c r="U30" s="121"/>
      <c r="V30" s="10"/>
      <c r="W30" s="119"/>
      <c r="X30" s="120"/>
      <c r="Y30" s="120"/>
      <c r="Z30" s="120"/>
      <c r="AA30" s="120"/>
      <c r="AB30" s="120"/>
      <c r="AC30" s="121"/>
      <c r="AD30" s="10"/>
      <c r="AE30" s="119"/>
      <c r="AF30" s="120"/>
      <c r="AG30" s="120"/>
      <c r="AH30" s="120"/>
      <c r="AI30" s="120"/>
      <c r="AJ30" s="120"/>
      <c r="AK30" s="121"/>
      <c r="AL30" s="10"/>
      <c r="AM30" s="119"/>
      <c r="AN30" s="120"/>
      <c r="AO30" s="120"/>
      <c r="AP30" s="120"/>
      <c r="AQ30" s="120"/>
      <c r="AR30" s="120"/>
      <c r="AS30" s="121"/>
      <c r="AT30" s="1"/>
      <c r="AU30" s="1"/>
      <c r="AV30" s="119"/>
      <c r="AW30" s="120"/>
      <c r="AX30" s="120"/>
      <c r="AY30" s="120"/>
      <c r="AZ30" s="120"/>
      <c r="BA30" s="120"/>
      <c r="BB30" s="121"/>
      <c r="BC30" s="10"/>
      <c r="BD30" s="119"/>
      <c r="BE30" s="120"/>
      <c r="BF30" s="120"/>
      <c r="BG30" s="120"/>
      <c r="BH30" s="120"/>
      <c r="BI30" s="120"/>
      <c r="BJ30" s="121"/>
      <c r="BK30" s="10"/>
      <c r="BL30" s="119"/>
      <c r="BM30" s="120"/>
      <c r="BN30" s="120"/>
      <c r="BO30" s="120"/>
      <c r="BP30" s="120"/>
      <c r="BQ30" s="120"/>
      <c r="BR30" s="121"/>
      <c r="BS30" s="10"/>
      <c r="BT30" s="119"/>
      <c r="BU30" s="120"/>
      <c r="BV30" s="120"/>
      <c r="BW30" s="120"/>
      <c r="BX30" s="120"/>
      <c r="BY30" s="120"/>
      <c r="BZ30" s="121"/>
      <c r="CA30" s="1"/>
      <c r="CB30" s="1"/>
      <c r="CC30" s="1"/>
      <c r="CD30" s="1"/>
      <c r="CE30" s="1"/>
      <c r="CF30" s="1"/>
      <c r="CG30" s="1"/>
      <c r="CH30" s="1"/>
    </row>
    <row r="31" spans="1:86" x14ac:dyDescent="0.45">
      <c r="A31" s="1"/>
      <c r="B31" s="125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7"/>
      <c r="O31" s="110" t="s">
        <v>5608</v>
      </c>
      <c r="P31" s="111"/>
      <c r="Q31" s="112"/>
      <c r="R31" s="110" t="s">
        <v>6430</v>
      </c>
      <c r="S31" s="111"/>
      <c r="T31" s="111"/>
      <c r="U31" s="112"/>
      <c r="V31" s="10"/>
      <c r="W31" s="110" t="s">
        <v>5608</v>
      </c>
      <c r="X31" s="111"/>
      <c r="Y31" s="112"/>
      <c r="Z31" s="110" t="s">
        <v>6430</v>
      </c>
      <c r="AA31" s="111"/>
      <c r="AB31" s="111"/>
      <c r="AC31" s="112"/>
      <c r="AD31" s="10"/>
      <c r="AE31" s="110" t="s">
        <v>5608</v>
      </c>
      <c r="AF31" s="111"/>
      <c r="AG31" s="112"/>
      <c r="AH31" s="110" t="s">
        <v>6430</v>
      </c>
      <c r="AI31" s="111"/>
      <c r="AJ31" s="111"/>
      <c r="AK31" s="112"/>
      <c r="AL31" s="10"/>
      <c r="AM31" s="110" t="s">
        <v>5608</v>
      </c>
      <c r="AN31" s="111"/>
      <c r="AO31" s="112"/>
      <c r="AP31" s="110" t="s">
        <v>6430</v>
      </c>
      <c r="AQ31" s="111"/>
      <c r="AR31" s="111"/>
      <c r="AS31" s="112"/>
      <c r="AT31" s="1"/>
      <c r="AU31" s="1"/>
      <c r="AV31" s="110" t="s">
        <v>5608</v>
      </c>
      <c r="AW31" s="111"/>
      <c r="AX31" s="112"/>
      <c r="AY31" s="110" t="s">
        <v>6430</v>
      </c>
      <c r="AZ31" s="111"/>
      <c r="BA31" s="111"/>
      <c r="BB31" s="112"/>
      <c r="BC31" s="10"/>
      <c r="BD31" s="110" t="s">
        <v>5608</v>
      </c>
      <c r="BE31" s="111"/>
      <c r="BF31" s="112"/>
      <c r="BG31" s="110" t="s">
        <v>6430</v>
      </c>
      <c r="BH31" s="111"/>
      <c r="BI31" s="111"/>
      <c r="BJ31" s="112"/>
      <c r="BK31" s="10"/>
      <c r="BL31" s="110" t="s">
        <v>5597</v>
      </c>
      <c r="BM31" s="111"/>
      <c r="BN31" s="112"/>
      <c r="BO31" s="110" t="s">
        <v>6431</v>
      </c>
      <c r="BP31" s="111"/>
      <c r="BQ31" s="111"/>
      <c r="BR31" s="112"/>
      <c r="BS31" s="10"/>
      <c r="BT31" s="110" t="s">
        <v>5597</v>
      </c>
      <c r="BU31" s="111"/>
      <c r="BV31" s="112"/>
      <c r="BW31" s="110" t="s">
        <v>6431</v>
      </c>
      <c r="BX31" s="111"/>
      <c r="BY31" s="111"/>
      <c r="BZ31" s="112"/>
      <c r="CA31" s="1"/>
      <c r="CB31" s="1"/>
      <c r="CC31" s="1"/>
      <c r="CD31" s="1"/>
      <c r="CE31" s="1"/>
      <c r="CF31" s="1"/>
      <c r="CG31" s="1"/>
      <c r="CH31" s="1"/>
    </row>
    <row r="32" spans="1:86" x14ac:dyDescent="0.45">
      <c r="A32" s="1"/>
      <c r="B32" s="125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7"/>
      <c r="O32" s="110" t="s">
        <v>123</v>
      </c>
      <c r="P32" s="111"/>
      <c r="Q32" s="111"/>
      <c r="R32" s="111"/>
      <c r="S32" s="111"/>
      <c r="T32" s="111"/>
      <c r="U32" s="112"/>
      <c r="V32" s="10"/>
      <c r="W32" s="110" t="s">
        <v>123</v>
      </c>
      <c r="X32" s="111"/>
      <c r="Y32" s="111"/>
      <c r="Z32" s="111"/>
      <c r="AA32" s="111"/>
      <c r="AB32" s="111"/>
      <c r="AC32" s="112"/>
      <c r="AD32" s="10"/>
      <c r="AE32" s="110" t="s">
        <v>123</v>
      </c>
      <c r="AF32" s="111"/>
      <c r="AG32" s="111"/>
      <c r="AH32" s="111"/>
      <c r="AI32" s="111"/>
      <c r="AJ32" s="111"/>
      <c r="AK32" s="112"/>
      <c r="AL32" s="10"/>
      <c r="AM32" s="110" t="s">
        <v>123</v>
      </c>
      <c r="AN32" s="111"/>
      <c r="AO32" s="111"/>
      <c r="AP32" s="111"/>
      <c r="AQ32" s="111"/>
      <c r="AR32" s="111"/>
      <c r="AS32" s="112"/>
      <c r="AT32" s="1"/>
      <c r="AU32" s="1"/>
      <c r="AV32" s="110" t="s">
        <v>123</v>
      </c>
      <c r="AW32" s="111"/>
      <c r="AX32" s="111"/>
      <c r="AY32" s="111"/>
      <c r="AZ32" s="111"/>
      <c r="BA32" s="111"/>
      <c r="BB32" s="112"/>
      <c r="BC32" s="10"/>
      <c r="BD32" s="110" t="s">
        <v>123</v>
      </c>
      <c r="BE32" s="111"/>
      <c r="BF32" s="111"/>
      <c r="BG32" s="111"/>
      <c r="BH32" s="111"/>
      <c r="BI32" s="111"/>
      <c r="BJ32" s="112"/>
      <c r="BK32" s="10"/>
      <c r="BL32" s="110" t="s">
        <v>123</v>
      </c>
      <c r="BM32" s="111"/>
      <c r="BN32" s="111"/>
      <c r="BO32" s="111"/>
      <c r="BP32" s="111"/>
      <c r="BQ32" s="111"/>
      <c r="BR32" s="112"/>
      <c r="BS32" s="10"/>
      <c r="BT32" s="110" t="s">
        <v>123</v>
      </c>
      <c r="BU32" s="111"/>
      <c r="BV32" s="111"/>
      <c r="BW32" s="111"/>
      <c r="BX32" s="111"/>
      <c r="BY32" s="111"/>
      <c r="BZ32" s="112"/>
      <c r="CA32" s="1"/>
      <c r="CB32" s="1"/>
      <c r="CC32" s="1"/>
      <c r="CD32" s="1"/>
      <c r="CE32" s="1"/>
      <c r="CF32" s="1"/>
      <c r="CG32" s="1"/>
      <c r="CH32" s="1"/>
    </row>
    <row r="33" spans="1:86" x14ac:dyDescent="0.45">
      <c r="A33" s="1"/>
      <c r="B33" s="125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7"/>
      <c r="O33" s="113">
        <v>8.6</v>
      </c>
      <c r="P33" s="114"/>
      <c r="Q33" s="115"/>
      <c r="R33" s="108" t="s">
        <v>6261</v>
      </c>
      <c r="S33" s="107"/>
      <c r="T33" s="107"/>
      <c r="U33" s="107" t="s">
        <v>6428</v>
      </c>
      <c r="V33" s="10"/>
      <c r="W33" s="113" t="s">
        <v>5796</v>
      </c>
      <c r="X33" s="114"/>
      <c r="Y33" s="115"/>
      <c r="Z33" s="107" t="s">
        <v>6041</v>
      </c>
      <c r="AA33" s="107"/>
      <c r="AB33" s="107"/>
      <c r="AC33" s="107" t="s">
        <v>5807</v>
      </c>
      <c r="AD33" s="10"/>
      <c r="AE33" s="113" t="s">
        <v>5796</v>
      </c>
      <c r="AF33" s="114"/>
      <c r="AG33" s="115"/>
      <c r="AH33" s="107" t="s">
        <v>5986</v>
      </c>
      <c r="AI33" s="109"/>
      <c r="AJ33" s="107"/>
      <c r="AK33" s="107" t="s">
        <v>6040</v>
      </c>
      <c r="AL33" s="10"/>
      <c r="AM33" s="113">
        <v>8.1</v>
      </c>
      <c r="AN33" s="114"/>
      <c r="AO33" s="115"/>
      <c r="AP33" s="107" t="s">
        <v>6057</v>
      </c>
      <c r="AQ33" s="107"/>
      <c r="AR33" s="107"/>
      <c r="AS33" s="107" t="s">
        <v>5958</v>
      </c>
      <c r="AT33" s="1"/>
      <c r="AU33" s="1"/>
      <c r="AV33" s="113">
        <v>9</v>
      </c>
      <c r="AW33" s="114"/>
      <c r="AX33" s="115"/>
      <c r="AY33" s="108" t="s">
        <v>6261</v>
      </c>
      <c r="AZ33" s="107"/>
      <c r="BA33" s="107"/>
      <c r="BB33" s="107" t="s">
        <v>6428</v>
      </c>
      <c r="BC33" s="10"/>
      <c r="BD33" s="113">
        <v>9</v>
      </c>
      <c r="BE33" s="114"/>
      <c r="BF33" s="115"/>
      <c r="BG33" s="107" t="s">
        <v>6041</v>
      </c>
      <c r="BH33" s="107"/>
      <c r="BI33" s="107"/>
      <c r="BJ33" s="107" t="s">
        <v>5807</v>
      </c>
      <c r="BK33" s="10"/>
      <c r="BL33" s="113">
        <v>9</v>
      </c>
      <c r="BM33" s="114"/>
      <c r="BN33" s="115"/>
      <c r="BO33" s="107" t="s">
        <v>6086</v>
      </c>
      <c r="BP33" s="107"/>
      <c r="BQ33" s="107"/>
      <c r="BR33" s="107" t="s">
        <v>5851</v>
      </c>
      <c r="BS33" s="10"/>
      <c r="BT33" s="113">
        <v>9</v>
      </c>
      <c r="BU33" s="114"/>
      <c r="BV33" s="115"/>
      <c r="BW33" s="107" t="s">
        <v>5968</v>
      </c>
      <c r="BX33" s="107"/>
      <c r="BY33" s="107"/>
      <c r="BZ33" s="107" t="s">
        <v>6408</v>
      </c>
      <c r="CA33" s="1"/>
      <c r="CB33" s="1"/>
      <c r="CC33" s="1"/>
      <c r="CD33" s="1"/>
      <c r="CE33" s="1"/>
      <c r="CF33" s="1"/>
      <c r="CG33" s="1"/>
      <c r="CH33" s="1"/>
    </row>
    <row r="34" spans="1:86" x14ac:dyDescent="0.45">
      <c r="A34" s="1"/>
      <c r="B34" s="128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30"/>
      <c r="O34" s="116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8"/>
      <c r="AT34" s="1"/>
      <c r="AU34" s="1"/>
      <c r="AV34" s="116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8"/>
      <c r="CA34" s="1"/>
      <c r="CB34" s="1"/>
      <c r="CC34" s="1"/>
      <c r="CD34" s="1"/>
      <c r="CE34" s="1"/>
      <c r="CF34" s="1"/>
      <c r="CG34" s="1"/>
      <c r="CH34" s="1"/>
    </row>
    <row r="35" spans="1:86" x14ac:dyDescent="0.45">
      <c r="A35" s="1"/>
      <c r="B35" s="122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4"/>
      <c r="O35" s="116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17"/>
      <c r="AP35" s="117"/>
      <c r="AQ35" s="117"/>
      <c r="AR35" s="117"/>
      <c r="AS35" s="118"/>
      <c r="AT35" s="1"/>
      <c r="AU35" s="1"/>
      <c r="AV35" s="116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  <c r="BG35" s="117"/>
      <c r="BH35" s="117"/>
      <c r="BI35" s="117"/>
      <c r="BJ35" s="117"/>
      <c r="BK35" s="117"/>
      <c r="BL35" s="117"/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8"/>
      <c r="CA35" s="1"/>
      <c r="CB35" s="1"/>
      <c r="CC35" s="1"/>
      <c r="CD35" s="1"/>
      <c r="CE35" s="1"/>
      <c r="CF35" s="1"/>
      <c r="CG35" s="1"/>
      <c r="CH35" s="1"/>
    </row>
    <row r="36" spans="1:86" x14ac:dyDescent="0.45">
      <c r="A36" s="1"/>
      <c r="B36" s="125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7"/>
      <c r="O36" s="141"/>
      <c r="P36" s="141"/>
      <c r="Q36" s="141"/>
      <c r="R36" s="141"/>
      <c r="S36" s="141"/>
      <c r="T36" s="141"/>
      <c r="U36" s="141"/>
      <c r="V36" s="10"/>
      <c r="W36" s="119"/>
      <c r="X36" s="120"/>
      <c r="Y36" s="120"/>
      <c r="Z36" s="120"/>
      <c r="AA36" s="120"/>
      <c r="AB36" s="120"/>
      <c r="AC36" s="121"/>
      <c r="AD36" s="10"/>
      <c r="AE36" s="119"/>
      <c r="AF36" s="120"/>
      <c r="AG36" s="120"/>
      <c r="AH36" s="120"/>
      <c r="AI36" s="120"/>
      <c r="AJ36" s="120"/>
      <c r="AK36" s="121"/>
      <c r="AL36" s="10"/>
      <c r="AM36" s="119"/>
      <c r="AN36" s="120"/>
      <c r="AO36" s="120"/>
      <c r="AP36" s="120"/>
      <c r="AQ36" s="120"/>
      <c r="AR36" s="120"/>
      <c r="AS36" s="121"/>
      <c r="AT36" s="1"/>
      <c r="AU36" s="1"/>
      <c r="AV36" s="119"/>
      <c r="AW36" s="120"/>
      <c r="AX36" s="120"/>
      <c r="AY36" s="120"/>
      <c r="AZ36" s="120"/>
      <c r="BA36" s="120"/>
      <c r="BB36" s="121"/>
      <c r="BC36" s="10"/>
      <c r="BD36" s="119"/>
      <c r="BE36" s="120"/>
      <c r="BF36" s="120"/>
      <c r="BG36" s="120"/>
      <c r="BH36" s="120"/>
      <c r="BI36" s="120"/>
      <c r="BJ36" s="121"/>
      <c r="BK36" s="10"/>
      <c r="BL36" s="119"/>
      <c r="BM36" s="120"/>
      <c r="BN36" s="120"/>
      <c r="BO36" s="120"/>
      <c r="BP36" s="120"/>
      <c r="BQ36" s="120"/>
      <c r="BR36" s="121"/>
      <c r="BS36" s="10"/>
      <c r="BT36" s="119"/>
      <c r="BU36" s="120"/>
      <c r="BV36" s="120"/>
      <c r="BW36" s="120"/>
      <c r="BX36" s="120"/>
      <c r="BY36" s="120"/>
      <c r="BZ36" s="121"/>
      <c r="CA36" s="1"/>
      <c r="CB36" s="1"/>
      <c r="CC36" s="1"/>
      <c r="CD36" s="1"/>
      <c r="CE36" s="1"/>
      <c r="CF36" s="1"/>
      <c r="CG36" s="1"/>
      <c r="CH36" s="1"/>
    </row>
    <row r="37" spans="1:86" x14ac:dyDescent="0.45">
      <c r="A37" s="1"/>
      <c r="B37" s="125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7"/>
      <c r="O37" s="119"/>
      <c r="P37" s="120"/>
      <c r="Q37" s="120"/>
      <c r="R37" s="120"/>
      <c r="S37" s="120"/>
      <c r="T37" s="120"/>
      <c r="U37" s="121"/>
      <c r="V37" s="10"/>
      <c r="W37" s="119"/>
      <c r="X37" s="120"/>
      <c r="Y37" s="120"/>
      <c r="Z37" s="120"/>
      <c r="AA37" s="120"/>
      <c r="AB37" s="120"/>
      <c r="AC37" s="121"/>
      <c r="AD37" s="10"/>
      <c r="AE37" s="119"/>
      <c r="AF37" s="120"/>
      <c r="AG37" s="120"/>
      <c r="AH37" s="120"/>
      <c r="AI37" s="120"/>
      <c r="AJ37" s="120"/>
      <c r="AK37" s="121"/>
      <c r="AL37" s="10"/>
      <c r="AM37" s="119"/>
      <c r="AN37" s="120"/>
      <c r="AO37" s="120"/>
      <c r="AP37" s="120"/>
      <c r="AQ37" s="120"/>
      <c r="AR37" s="120"/>
      <c r="AS37" s="121"/>
      <c r="AT37" s="1"/>
      <c r="AU37" s="1"/>
      <c r="AV37" s="138" t="s">
        <v>6437</v>
      </c>
      <c r="AW37" s="139"/>
      <c r="AX37" s="139"/>
      <c r="AY37" s="139"/>
      <c r="AZ37" s="139"/>
      <c r="BA37" s="139"/>
      <c r="BB37" s="140"/>
      <c r="BC37" s="10"/>
      <c r="BD37" s="138" t="s">
        <v>6438</v>
      </c>
      <c r="BE37" s="139"/>
      <c r="BF37" s="139"/>
      <c r="BG37" s="139"/>
      <c r="BH37" s="139"/>
      <c r="BI37" s="139"/>
      <c r="BJ37" s="140"/>
      <c r="BK37" s="10"/>
      <c r="BL37" s="138" t="s">
        <v>6439</v>
      </c>
      <c r="BM37" s="139"/>
      <c r="BN37" s="139"/>
      <c r="BO37" s="139"/>
      <c r="BP37" s="139"/>
      <c r="BQ37" s="139"/>
      <c r="BR37" s="140"/>
      <c r="BS37" s="10"/>
      <c r="BT37" s="138" t="s">
        <v>6440</v>
      </c>
      <c r="BU37" s="139"/>
      <c r="BV37" s="139"/>
      <c r="BW37" s="139"/>
      <c r="BX37" s="139"/>
      <c r="BY37" s="139"/>
      <c r="BZ37" s="140"/>
      <c r="CA37" s="1"/>
      <c r="CB37" s="1"/>
      <c r="CC37" s="1"/>
      <c r="CD37" s="1"/>
      <c r="CE37" s="1"/>
      <c r="CF37" s="1"/>
      <c r="CG37" s="1"/>
      <c r="CH37" s="1"/>
    </row>
    <row r="38" spans="1:86" x14ac:dyDescent="0.45">
      <c r="A38" s="1"/>
      <c r="B38" s="125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7"/>
      <c r="O38" s="110" t="s">
        <v>5597</v>
      </c>
      <c r="P38" s="111"/>
      <c r="Q38" s="112"/>
      <c r="R38" s="110" t="s">
        <v>6431</v>
      </c>
      <c r="S38" s="111"/>
      <c r="T38" s="111"/>
      <c r="U38" s="112"/>
      <c r="V38" s="10"/>
      <c r="W38" s="110" t="s">
        <v>5597</v>
      </c>
      <c r="X38" s="111"/>
      <c r="Y38" s="112"/>
      <c r="Z38" s="110" t="s">
        <v>6431</v>
      </c>
      <c r="AA38" s="111"/>
      <c r="AB38" s="111"/>
      <c r="AC38" s="112"/>
      <c r="AD38" s="10"/>
      <c r="AE38" s="110" t="s">
        <v>5597</v>
      </c>
      <c r="AF38" s="111"/>
      <c r="AG38" s="112"/>
      <c r="AH38" s="110" t="s">
        <v>6431</v>
      </c>
      <c r="AI38" s="111"/>
      <c r="AJ38" s="111"/>
      <c r="AK38" s="112"/>
      <c r="AL38" s="10"/>
      <c r="AM38" s="110" t="s">
        <v>5597</v>
      </c>
      <c r="AN38" s="111"/>
      <c r="AO38" s="112"/>
      <c r="AP38" s="110" t="s">
        <v>6431</v>
      </c>
      <c r="AQ38" s="111"/>
      <c r="AR38" s="111"/>
      <c r="AS38" s="112"/>
      <c r="AT38" s="1"/>
      <c r="AU38" s="1"/>
      <c r="AV38" s="110" t="s">
        <v>142</v>
      </c>
      <c r="AW38" s="111"/>
      <c r="AX38" s="112"/>
      <c r="AY38" s="110" t="s">
        <v>5834</v>
      </c>
      <c r="AZ38" s="111"/>
      <c r="BA38" s="111"/>
      <c r="BB38" s="112"/>
      <c r="BC38" s="10"/>
      <c r="BD38" s="110" t="s">
        <v>142</v>
      </c>
      <c r="BE38" s="111"/>
      <c r="BF38" s="112"/>
      <c r="BG38" s="110" t="s">
        <v>5834</v>
      </c>
      <c r="BH38" s="111"/>
      <c r="BI38" s="111"/>
      <c r="BJ38" s="112"/>
      <c r="BK38" s="10"/>
      <c r="BL38" s="110" t="s">
        <v>142</v>
      </c>
      <c r="BM38" s="111"/>
      <c r="BN38" s="112"/>
      <c r="BO38" s="110" t="s">
        <v>5834</v>
      </c>
      <c r="BP38" s="111"/>
      <c r="BQ38" s="111"/>
      <c r="BR38" s="112"/>
      <c r="BS38" s="10"/>
      <c r="BT38" s="110" t="s">
        <v>142</v>
      </c>
      <c r="BU38" s="111"/>
      <c r="BV38" s="112"/>
      <c r="BW38" s="110" t="s">
        <v>5834</v>
      </c>
      <c r="BX38" s="111"/>
      <c r="BY38" s="111"/>
      <c r="BZ38" s="112"/>
      <c r="CA38" s="1"/>
      <c r="CB38" s="1"/>
      <c r="CC38" s="1"/>
      <c r="CD38" s="1"/>
      <c r="CE38" s="1"/>
      <c r="CF38" s="1"/>
      <c r="CG38" s="1"/>
      <c r="CH38" s="1"/>
    </row>
    <row r="39" spans="1:86" ht="15" customHeight="1" x14ac:dyDescent="0.45">
      <c r="A39" s="1"/>
      <c r="B39" s="125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7"/>
      <c r="O39" s="110" t="s">
        <v>123</v>
      </c>
      <c r="P39" s="111"/>
      <c r="Q39" s="111"/>
      <c r="R39" s="111"/>
      <c r="S39" s="111"/>
      <c r="T39" s="111"/>
      <c r="U39" s="112"/>
      <c r="V39" s="10"/>
      <c r="W39" s="110" t="s">
        <v>123</v>
      </c>
      <c r="X39" s="111"/>
      <c r="Y39" s="111"/>
      <c r="Z39" s="111"/>
      <c r="AA39" s="111"/>
      <c r="AB39" s="111"/>
      <c r="AC39" s="112"/>
      <c r="AD39" s="10"/>
      <c r="AE39" s="110" t="s">
        <v>123</v>
      </c>
      <c r="AF39" s="111"/>
      <c r="AG39" s="111"/>
      <c r="AH39" s="111"/>
      <c r="AI39" s="111"/>
      <c r="AJ39" s="111"/>
      <c r="AK39" s="112"/>
      <c r="AL39" s="10"/>
      <c r="AM39" s="110" t="s">
        <v>123</v>
      </c>
      <c r="AN39" s="111"/>
      <c r="AO39" s="111"/>
      <c r="AP39" s="111"/>
      <c r="AQ39" s="111"/>
      <c r="AR39" s="111"/>
      <c r="AS39" s="112"/>
      <c r="AT39" s="1"/>
      <c r="AU39" s="1"/>
      <c r="AV39" s="110" t="s">
        <v>123</v>
      </c>
      <c r="AW39" s="111"/>
      <c r="AX39" s="111"/>
      <c r="AY39" s="111"/>
      <c r="AZ39" s="111"/>
      <c r="BA39" s="111"/>
      <c r="BB39" s="112"/>
      <c r="BC39" s="10"/>
      <c r="BD39" s="110" t="s">
        <v>123</v>
      </c>
      <c r="BE39" s="111"/>
      <c r="BF39" s="111"/>
      <c r="BG39" s="111"/>
      <c r="BH39" s="111"/>
      <c r="BI39" s="111"/>
      <c r="BJ39" s="112"/>
      <c r="BK39" s="10"/>
      <c r="BL39" s="110" t="s">
        <v>123</v>
      </c>
      <c r="BM39" s="111"/>
      <c r="BN39" s="111"/>
      <c r="BO39" s="111"/>
      <c r="BP39" s="111"/>
      <c r="BQ39" s="111"/>
      <c r="BR39" s="112"/>
      <c r="BS39" s="10"/>
      <c r="BT39" s="110" t="s">
        <v>123</v>
      </c>
      <c r="BU39" s="111"/>
      <c r="BV39" s="111"/>
      <c r="BW39" s="111"/>
      <c r="BX39" s="111"/>
      <c r="BY39" s="111"/>
      <c r="BZ39" s="112"/>
      <c r="CA39" s="1"/>
      <c r="CB39" s="1"/>
      <c r="CC39" s="1"/>
      <c r="CD39" s="1"/>
      <c r="CE39" s="1"/>
      <c r="CF39" s="1"/>
      <c r="CG39" s="1"/>
      <c r="CH39" s="1"/>
    </row>
    <row r="40" spans="1:86" ht="15" customHeight="1" x14ac:dyDescent="0.45">
      <c r="A40" s="1"/>
      <c r="B40" s="125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7"/>
      <c r="O40" s="201">
        <v>8.6999999999999993</v>
      </c>
      <c r="P40" s="201"/>
      <c r="Q40" s="201"/>
      <c r="R40" s="107" t="s">
        <v>5968</v>
      </c>
      <c r="S40" s="107"/>
      <c r="T40" s="107"/>
      <c r="U40" s="107" t="s">
        <v>6408</v>
      </c>
      <c r="V40" s="10"/>
      <c r="W40" s="113" t="s">
        <v>5796</v>
      </c>
      <c r="X40" s="114"/>
      <c r="Y40" s="115"/>
      <c r="Z40" s="107" t="s">
        <v>6086</v>
      </c>
      <c r="AA40" s="107"/>
      <c r="AB40" s="107"/>
      <c r="AC40" s="107" t="s">
        <v>5851</v>
      </c>
      <c r="AD40" s="10"/>
      <c r="AE40" s="113" t="s">
        <v>5796</v>
      </c>
      <c r="AF40" s="114"/>
      <c r="AG40" s="115"/>
      <c r="AH40" s="107" t="s">
        <v>6432</v>
      </c>
      <c r="AI40" s="107"/>
      <c r="AJ40" s="107"/>
      <c r="AK40" s="107" t="s">
        <v>5917</v>
      </c>
      <c r="AL40" s="10"/>
      <c r="AM40" s="113">
        <v>8.5</v>
      </c>
      <c r="AN40" s="114"/>
      <c r="AO40" s="115"/>
      <c r="AP40" s="107" t="s">
        <v>6407</v>
      </c>
      <c r="AQ40" s="107"/>
      <c r="AR40" s="107"/>
      <c r="AS40" s="107" t="s">
        <v>5854</v>
      </c>
      <c r="AT40" s="1"/>
      <c r="AU40" s="1"/>
      <c r="AV40" s="113">
        <v>9</v>
      </c>
      <c r="AW40" s="114"/>
      <c r="AX40" s="115"/>
      <c r="AY40" s="107" t="s">
        <v>6436</v>
      </c>
      <c r="AZ40" s="107"/>
      <c r="BA40" s="107"/>
      <c r="BB40" s="107" t="s">
        <v>6436</v>
      </c>
      <c r="BC40" s="10"/>
      <c r="BD40" s="113">
        <v>9</v>
      </c>
      <c r="BE40" s="114"/>
      <c r="BF40" s="115"/>
      <c r="BG40" s="107" t="s">
        <v>6436</v>
      </c>
      <c r="BH40" s="107"/>
      <c r="BI40" s="107"/>
      <c r="BJ40" s="107" t="s">
        <v>6436</v>
      </c>
      <c r="BK40" s="10"/>
      <c r="BL40" s="113">
        <v>9</v>
      </c>
      <c r="BM40" s="114"/>
      <c r="BN40" s="115"/>
      <c r="BO40" s="107" t="s">
        <v>6436</v>
      </c>
      <c r="BP40" s="107"/>
      <c r="BQ40" s="107"/>
      <c r="BR40" s="107" t="s">
        <v>6436</v>
      </c>
      <c r="BS40" s="10"/>
      <c r="BT40" s="113">
        <v>9</v>
      </c>
      <c r="BU40" s="114"/>
      <c r="BV40" s="115"/>
      <c r="BW40" s="107" t="s">
        <v>6436</v>
      </c>
      <c r="BX40" s="107"/>
      <c r="BY40" s="107"/>
      <c r="BZ40" s="107" t="s">
        <v>6436</v>
      </c>
      <c r="CA40" s="1"/>
      <c r="CB40" s="1"/>
      <c r="CC40" s="1"/>
      <c r="CD40" s="1"/>
      <c r="CE40" s="1"/>
      <c r="CF40" s="1"/>
      <c r="CG40" s="1"/>
      <c r="CH40" s="1"/>
    </row>
    <row r="41" spans="1:86" ht="15" customHeight="1" x14ac:dyDescent="0.45">
      <c r="A41" s="1"/>
      <c r="B41" s="128"/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30"/>
      <c r="O41" s="116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8"/>
      <c r="AT41" s="1"/>
      <c r="AU41" s="1"/>
      <c r="AV41" s="116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8"/>
      <c r="CA41" s="1"/>
      <c r="CB41" s="1"/>
      <c r="CC41" s="1"/>
      <c r="CD41" s="1"/>
      <c r="CE41" s="1"/>
      <c r="CF41" s="1"/>
      <c r="CG41" s="1"/>
      <c r="CH41" s="1"/>
    </row>
    <row r="42" spans="1:86" x14ac:dyDescent="0.45">
      <c r="A42" s="1"/>
      <c r="B42" s="122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4"/>
      <c r="O42" s="116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8"/>
      <c r="AT42" s="1"/>
      <c r="AU42" s="1"/>
      <c r="AV42" s="116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8"/>
      <c r="CA42" s="1"/>
      <c r="CB42" s="1"/>
      <c r="CC42" s="1"/>
      <c r="CD42" s="1"/>
      <c r="CE42" s="1"/>
      <c r="CF42" s="1"/>
      <c r="CG42" s="1"/>
      <c r="CH42" s="1"/>
    </row>
    <row r="43" spans="1:86" x14ac:dyDescent="0.45">
      <c r="A43" s="1"/>
      <c r="B43" s="125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7"/>
      <c r="O43" s="119"/>
      <c r="P43" s="120"/>
      <c r="Q43" s="120"/>
      <c r="R43" s="120"/>
      <c r="S43" s="120"/>
      <c r="T43" s="120"/>
      <c r="U43" s="121"/>
      <c r="V43" s="13"/>
      <c r="W43" s="119"/>
      <c r="X43" s="120"/>
      <c r="Y43" s="120"/>
      <c r="Z43" s="120"/>
      <c r="AA43" s="120"/>
      <c r="AB43" s="120"/>
      <c r="AC43" s="121"/>
      <c r="AD43" s="172"/>
      <c r="AE43" s="119"/>
      <c r="AF43" s="120"/>
      <c r="AG43" s="120"/>
      <c r="AH43" s="120"/>
      <c r="AI43" s="120"/>
      <c r="AJ43" s="120"/>
      <c r="AK43" s="121"/>
      <c r="AL43" s="13"/>
      <c r="AM43" s="119"/>
      <c r="AN43" s="120"/>
      <c r="AO43" s="120"/>
      <c r="AP43" s="120"/>
      <c r="AQ43" s="120"/>
      <c r="AR43" s="120"/>
      <c r="AS43" s="121"/>
      <c r="AT43" s="1"/>
      <c r="AU43" s="1"/>
      <c r="AV43" s="119"/>
      <c r="AW43" s="120"/>
      <c r="AX43" s="120"/>
      <c r="AY43" s="120"/>
      <c r="AZ43" s="120"/>
      <c r="BA43" s="120"/>
      <c r="BB43" s="121"/>
      <c r="BC43" s="13"/>
      <c r="BD43" s="119"/>
      <c r="BE43" s="120"/>
      <c r="BF43" s="120"/>
      <c r="BG43" s="120"/>
      <c r="BH43" s="120"/>
      <c r="BI43" s="120"/>
      <c r="BJ43" s="121"/>
      <c r="BK43" s="13"/>
      <c r="BL43" s="119"/>
      <c r="BM43" s="120"/>
      <c r="BN43" s="120"/>
      <c r="BO43" s="120"/>
      <c r="BP43" s="120"/>
      <c r="BQ43" s="120"/>
      <c r="BR43" s="121"/>
      <c r="BS43" s="13"/>
      <c r="BT43" s="119"/>
      <c r="BU43" s="120"/>
      <c r="BV43" s="120"/>
      <c r="BW43" s="120"/>
      <c r="BX43" s="120"/>
      <c r="BY43" s="120"/>
      <c r="BZ43" s="121"/>
      <c r="CA43" s="1"/>
      <c r="CB43" s="1"/>
      <c r="CC43" s="1"/>
      <c r="CD43" s="1"/>
      <c r="CE43" s="1"/>
      <c r="CF43" s="1"/>
      <c r="CG43" s="1"/>
      <c r="CH43" s="1"/>
    </row>
    <row r="44" spans="1:86" x14ac:dyDescent="0.45">
      <c r="A44" s="1"/>
      <c r="B44" s="125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7"/>
      <c r="O44" s="119"/>
      <c r="P44" s="120"/>
      <c r="Q44" s="120"/>
      <c r="R44" s="120"/>
      <c r="S44" s="120"/>
      <c r="T44" s="120"/>
      <c r="U44" s="121"/>
      <c r="V44" s="13"/>
      <c r="W44" s="119"/>
      <c r="X44" s="120"/>
      <c r="Y44" s="120"/>
      <c r="Z44" s="120"/>
      <c r="AA44" s="120"/>
      <c r="AB44" s="120"/>
      <c r="AC44" s="121"/>
      <c r="AD44" s="172"/>
      <c r="AE44" s="119"/>
      <c r="AF44" s="120"/>
      <c r="AG44" s="120"/>
      <c r="AH44" s="120"/>
      <c r="AI44" s="120"/>
      <c r="AJ44" s="120"/>
      <c r="AK44" s="121"/>
      <c r="AL44" s="13"/>
      <c r="AM44" s="119"/>
      <c r="AN44" s="120"/>
      <c r="AO44" s="120"/>
      <c r="AP44" s="120"/>
      <c r="AQ44" s="120"/>
      <c r="AR44" s="120"/>
      <c r="AS44" s="121"/>
      <c r="AT44" s="1"/>
      <c r="AU44" s="1"/>
      <c r="AV44" s="119"/>
      <c r="AW44" s="120"/>
      <c r="AX44" s="120"/>
      <c r="AY44" s="120"/>
      <c r="AZ44" s="120"/>
      <c r="BA44" s="120"/>
      <c r="BB44" s="121"/>
      <c r="BC44" s="13"/>
      <c r="BD44" s="119"/>
      <c r="BE44" s="120"/>
      <c r="BF44" s="120"/>
      <c r="BG44" s="120"/>
      <c r="BH44" s="120"/>
      <c r="BI44" s="120"/>
      <c r="BJ44" s="121"/>
      <c r="BK44" s="13"/>
      <c r="BL44" s="119"/>
      <c r="BM44" s="120"/>
      <c r="BN44" s="120"/>
      <c r="BO44" s="120"/>
      <c r="BP44" s="120"/>
      <c r="BQ44" s="120"/>
      <c r="BR44" s="121"/>
      <c r="BS44" s="13"/>
      <c r="BT44" s="119"/>
      <c r="BU44" s="120"/>
      <c r="BV44" s="120"/>
      <c r="BW44" s="120"/>
      <c r="BX44" s="120"/>
      <c r="BY44" s="120"/>
      <c r="BZ44" s="121"/>
      <c r="CA44" s="1"/>
      <c r="CB44" s="1"/>
      <c r="CC44" s="1"/>
      <c r="CD44" s="1"/>
      <c r="CE44" s="1"/>
      <c r="CF44" s="1"/>
      <c r="CG44" s="1"/>
      <c r="CH44" s="1"/>
    </row>
    <row r="45" spans="1:86" x14ac:dyDescent="0.45">
      <c r="A45" s="1"/>
      <c r="B45" s="125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7"/>
      <c r="O45" s="131"/>
      <c r="P45" s="132"/>
      <c r="Q45" s="133"/>
      <c r="R45" s="131"/>
      <c r="S45" s="132"/>
      <c r="T45" s="132"/>
      <c r="U45" s="133"/>
      <c r="V45" s="13"/>
      <c r="W45" s="131"/>
      <c r="X45" s="132"/>
      <c r="Y45" s="133"/>
      <c r="Z45" s="110"/>
      <c r="AA45" s="111"/>
      <c r="AB45" s="111"/>
      <c r="AC45" s="112"/>
      <c r="AD45" s="172"/>
      <c r="AE45" s="131"/>
      <c r="AF45" s="132"/>
      <c r="AG45" s="133"/>
      <c r="AH45" s="110"/>
      <c r="AI45" s="111"/>
      <c r="AJ45" s="111"/>
      <c r="AK45" s="112"/>
      <c r="AL45" s="13"/>
      <c r="AM45" s="131"/>
      <c r="AN45" s="132"/>
      <c r="AO45" s="133"/>
      <c r="AP45" s="131"/>
      <c r="AQ45" s="132"/>
      <c r="AR45" s="132"/>
      <c r="AS45" s="133"/>
      <c r="AT45" s="1"/>
      <c r="AU45" s="1"/>
      <c r="AV45" s="131"/>
      <c r="AW45" s="132"/>
      <c r="AX45" s="133"/>
      <c r="AY45" s="131"/>
      <c r="AZ45" s="132"/>
      <c r="BA45" s="132"/>
      <c r="BB45" s="133"/>
      <c r="BC45" s="13"/>
      <c r="BD45" s="110"/>
      <c r="BE45" s="111"/>
      <c r="BF45" s="112"/>
      <c r="BG45" s="110"/>
      <c r="BH45" s="111"/>
      <c r="BI45" s="111"/>
      <c r="BJ45" s="112"/>
      <c r="BK45" s="13"/>
      <c r="BL45" s="110"/>
      <c r="BM45" s="111"/>
      <c r="BN45" s="112"/>
      <c r="BO45" s="110"/>
      <c r="BP45" s="111"/>
      <c r="BQ45" s="111"/>
      <c r="BR45" s="112"/>
      <c r="BS45" s="13"/>
      <c r="BT45" s="131"/>
      <c r="BU45" s="132"/>
      <c r="BV45" s="133"/>
      <c r="BW45" s="131"/>
      <c r="BX45" s="132"/>
      <c r="BY45" s="132"/>
      <c r="BZ45" s="133"/>
      <c r="CA45" s="1"/>
      <c r="CB45" s="1"/>
      <c r="CC45" s="1"/>
      <c r="CD45" s="1"/>
      <c r="CE45" s="1"/>
      <c r="CF45" s="1"/>
      <c r="CG45" s="1"/>
      <c r="CH45" s="1"/>
    </row>
    <row r="46" spans="1:86" x14ac:dyDescent="0.45">
      <c r="A46" s="1"/>
      <c r="B46" s="125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7"/>
      <c r="O46" s="119"/>
      <c r="P46" s="120"/>
      <c r="Q46" s="120"/>
      <c r="R46" s="120"/>
      <c r="S46" s="120"/>
      <c r="T46" s="120"/>
      <c r="U46" s="121"/>
      <c r="V46" s="13"/>
      <c r="W46" s="110"/>
      <c r="X46" s="111"/>
      <c r="Y46" s="111"/>
      <c r="Z46" s="111"/>
      <c r="AA46" s="111"/>
      <c r="AB46" s="111"/>
      <c r="AC46" s="112"/>
      <c r="AD46" s="172"/>
      <c r="AE46" s="110"/>
      <c r="AF46" s="111"/>
      <c r="AG46" s="111"/>
      <c r="AH46" s="111"/>
      <c r="AI46" s="111"/>
      <c r="AJ46" s="111"/>
      <c r="AK46" s="112"/>
      <c r="AL46" s="13"/>
      <c r="AM46" s="119"/>
      <c r="AN46" s="120"/>
      <c r="AO46" s="120"/>
      <c r="AP46" s="120"/>
      <c r="AQ46" s="120"/>
      <c r="AR46" s="120"/>
      <c r="AS46" s="121"/>
      <c r="AT46" s="1"/>
      <c r="AU46" s="1"/>
      <c r="AV46" s="110"/>
      <c r="AW46" s="111"/>
      <c r="AX46" s="111"/>
      <c r="AY46" s="111"/>
      <c r="AZ46" s="111"/>
      <c r="BA46" s="111"/>
      <c r="BB46" s="112"/>
      <c r="BC46" s="13"/>
      <c r="BD46" s="110"/>
      <c r="BE46" s="111"/>
      <c r="BF46" s="111"/>
      <c r="BG46" s="111"/>
      <c r="BH46" s="111"/>
      <c r="BI46" s="111"/>
      <c r="BJ46" s="112"/>
      <c r="BK46" s="13"/>
      <c r="BL46" s="110"/>
      <c r="BM46" s="111"/>
      <c r="BN46" s="111"/>
      <c r="BO46" s="111"/>
      <c r="BP46" s="111"/>
      <c r="BQ46" s="111"/>
      <c r="BR46" s="112"/>
      <c r="BS46" s="13"/>
      <c r="BT46" s="119"/>
      <c r="BU46" s="120"/>
      <c r="BV46" s="120"/>
      <c r="BW46" s="120"/>
      <c r="BX46" s="120"/>
      <c r="BY46" s="120"/>
      <c r="BZ46" s="121"/>
      <c r="CA46" s="1"/>
      <c r="CB46" s="1"/>
      <c r="CC46" s="1"/>
      <c r="CD46" s="1"/>
      <c r="CE46" s="1"/>
      <c r="CF46" s="1"/>
      <c r="CG46" s="1"/>
      <c r="CH46" s="1"/>
    </row>
    <row r="47" spans="1:86" x14ac:dyDescent="0.45">
      <c r="A47" s="1"/>
      <c r="B47" s="125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7"/>
      <c r="O47" s="137"/>
      <c r="P47" s="137"/>
      <c r="Q47" s="137"/>
      <c r="R47" s="105"/>
      <c r="S47" s="105"/>
      <c r="T47" s="105"/>
      <c r="U47" s="105"/>
      <c r="V47" s="13"/>
      <c r="W47" s="113"/>
      <c r="X47" s="114"/>
      <c r="Y47" s="115"/>
      <c r="Z47" s="107"/>
      <c r="AA47" s="107"/>
      <c r="AB47" s="107"/>
      <c r="AC47" s="107"/>
      <c r="AD47" s="172"/>
      <c r="AE47" s="201"/>
      <c r="AF47" s="201"/>
      <c r="AG47" s="201"/>
      <c r="AH47" s="107"/>
      <c r="AI47" s="107"/>
      <c r="AJ47" s="107"/>
      <c r="AK47" s="107"/>
      <c r="AL47" s="13"/>
      <c r="AM47" s="205"/>
      <c r="AN47" s="205"/>
      <c r="AO47" s="205"/>
      <c r="AP47" s="106"/>
      <c r="AQ47" s="106"/>
      <c r="AR47" s="106"/>
      <c r="AS47" s="106"/>
      <c r="AT47" s="1"/>
      <c r="AU47" s="1"/>
      <c r="AV47" s="137"/>
      <c r="AW47" s="137"/>
      <c r="AX47" s="137"/>
      <c r="AY47" s="106"/>
      <c r="AZ47" s="106"/>
      <c r="BA47" s="106"/>
      <c r="BB47" s="106"/>
      <c r="BC47" s="13"/>
      <c r="BD47" s="113"/>
      <c r="BE47" s="114"/>
      <c r="BF47" s="115"/>
      <c r="BG47" s="107"/>
      <c r="BH47" s="107"/>
      <c r="BI47" s="107"/>
      <c r="BJ47" s="107"/>
      <c r="BK47" s="13"/>
      <c r="BL47" s="113"/>
      <c r="BM47" s="114"/>
      <c r="BN47" s="115"/>
      <c r="BO47" s="107"/>
      <c r="BP47" s="107"/>
      <c r="BQ47" s="107"/>
      <c r="BR47" s="107"/>
      <c r="BS47" s="13"/>
      <c r="BT47" s="137"/>
      <c r="BU47" s="137"/>
      <c r="BV47" s="137"/>
      <c r="BW47" s="105"/>
      <c r="BX47" s="105"/>
      <c r="BY47" s="105"/>
      <c r="BZ47" s="105"/>
      <c r="CA47" s="1"/>
      <c r="CB47" s="1"/>
      <c r="CC47" s="1"/>
      <c r="CD47" s="1"/>
      <c r="CE47" s="1"/>
      <c r="CF47" s="1"/>
      <c r="CG47" s="1"/>
      <c r="CH47" s="1"/>
    </row>
    <row r="48" spans="1:86" x14ac:dyDescent="0.45">
      <c r="A48" s="1"/>
      <c r="B48" s="128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30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7"/>
      <c r="AP48" s="117"/>
      <c r="AQ48" s="117"/>
      <c r="AR48" s="117"/>
      <c r="AS48" s="117"/>
      <c r="AT48" s="55"/>
      <c r="AU48" s="55"/>
      <c r="AV48" s="117"/>
      <c r="AW48" s="117"/>
      <c r="AX48" s="117"/>
      <c r="AY48" s="117"/>
      <c r="AZ48" s="117"/>
      <c r="BA48" s="117"/>
      <c r="BB48" s="117"/>
      <c r="BC48" s="117"/>
      <c r="BD48" s="117"/>
      <c r="BE48" s="117"/>
      <c r="BF48" s="117"/>
      <c r="BG48" s="117"/>
      <c r="BH48" s="117"/>
      <c r="BI48" s="117"/>
      <c r="BJ48" s="117"/>
      <c r="BK48" s="117"/>
      <c r="BL48" s="117"/>
      <c r="BM48" s="117"/>
      <c r="BN48" s="117"/>
      <c r="BO48" s="117"/>
      <c r="BP48" s="117"/>
      <c r="BQ48" s="117"/>
      <c r="BR48" s="117"/>
      <c r="BS48" s="117"/>
      <c r="BT48" s="117"/>
      <c r="BU48" s="117"/>
      <c r="BV48" s="117"/>
      <c r="BW48" s="117"/>
      <c r="BX48" s="117"/>
      <c r="BY48" s="117"/>
      <c r="BZ48" s="118"/>
      <c r="CA48" s="1"/>
      <c r="CB48" s="1"/>
      <c r="CC48" s="1"/>
      <c r="CD48" s="1"/>
      <c r="CE48" s="1"/>
      <c r="CF48" s="1"/>
      <c r="CG48" s="1"/>
      <c r="CH48" s="1"/>
    </row>
    <row r="49" spans="1:86" x14ac:dyDescent="0.45">
      <c r="A49" s="1"/>
      <c r="B49" s="134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6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56"/>
      <c r="AU49" s="56"/>
      <c r="AV49" s="135"/>
      <c r="AW49" s="135"/>
      <c r="AX49" s="135"/>
      <c r="AY49" s="135"/>
      <c r="AZ49" s="135"/>
      <c r="BA49" s="135"/>
      <c r="BB49" s="135"/>
      <c r="BC49" s="135"/>
      <c r="BD49" s="135"/>
      <c r="BE49" s="135"/>
      <c r="BF49" s="135"/>
      <c r="BG49" s="135"/>
      <c r="BH49" s="135"/>
      <c r="BI49" s="135"/>
      <c r="BJ49" s="135"/>
      <c r="BK49" s="135"/>
      <c r="BL49" s="135"/>
      <c r="BM49" s="135"/>
      <c r="BN49" s="135"/>
      <c r="BO49" s="135"/>
      <c r="BP49" s="135"/>
      <c r="BQ49" s="135"/>
      <c r="BR49" s="135"/>
      <c r="BS49" s="135"/>
      <c r="BT49" s="135"/>
      <c r="BU49" s="135"/>
      <c r="BV49" s="135"/>
      <c r="BW49" s="135"/>
      <c r="BX49" s="135"/>
      <c r="BY49" s="135"/>
      <c r="BZ49" s="136"/>
      <c r="CA49" s="1"/>
      <c r="CB49" s="1"/>
      <c r="CC49" s="1"/>
      <c r="CD49" s="1"/>
      <c r="CE49" s="1"/>
      <c r="CF49" s="1"/>
      <c r="CG49" s="1"/>
      <c r="CH49" s="1"/>
    </row>
    <row r="50" spans="1:86" x14ac:dyDescent="0.45">
      <c r="A50" s="1"/>
      <c r="B50" s="8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4"/>
      <c r="CA50" s="1"/>
      <c r="CB50" s="1"/>
      <c r="CC50" s="1"/>
      <c r="CD50" s="1"/>
      <c r="CE50" s="1"/>
      <c r="CF50" s="1"/>
      <c r="CG50" s="1"/>
      <c r="CH50" s="1"/>
    </row>
    <row r="51" spans="1:86" ht="15.75" customHeight="1" x14ac:dyDescent="0.45">
      <c r="A51" s="1"/>
      <c r="B51" s="202" t="s">
        <v>10</v>
      </c>
      <c r="C51" s="203"/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4"/>
      <c r="CA51" s="1"/>
      <c r="CB51" s="1"/>
      <c r="CC51" s="1"/>
      <c r="CD51" s="1"/>
      <c r="CE51" s="1"/>
      <c r="CF51" s="1"/>
      <c r="CG51" s="1"/>
      <c r="CH51" s="1"/>
    </row>
    <row r="52" spans="1:86" ht="23.25" x14ac:dyDescent="0.45">
      <c r="A52" s="1"/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8"/>
      <c r="AH52" s="145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7"/>
      <c r="AW52" s="145"/>
      <c r="AX52" s="146"/>
      <c r="AY52" s="146"/>
      <c r="AZ52" s="146"/>
      <c r="BA52" s="146"/>
      <c r="BB52" s="146"/>
      <c r="BC52" s="146"/>
      <c r="BD52" s="146"/>
      <c r="BE52" s="146"/>
      <c r="BF52" s="146"/>
      <c r="BG52" s="146"/>
      <c r="BH52" s="146"/>
      <c r="BI52" s="146"/>
      <c r="BJ52" s="146"/>
      <c r="BK52" s="147"/>
      <c r="BL52" s="145"/>
      <c r="BM52" s="146"/>
      <c r="BN52" s="146"/>
      <c r="BO52" s="146"/>
      <c r="BP52" s="146"/>
      <c r="BQ52" s="146"/>
      <c r="BR52" s="146"/>
      <c r="BS52" s="146"/>
      <c r="BT52" s="146"/>
      <c r="BU52" s="146"/>
      <c r="BV52" s="146"/>
      <c r="BW52" s="146"/>
      <c r="BX52" s="146"/>
      <c r="BY52" s="146"/>
      <c r="BZ52" s="147"/>
      <c r="CA52" s="1"/>
      <c r="CB52" s="1"/>
      <c r="CC52" s="1"/>
      <c r="CD52" s="1"/>
      <c r="CE52" s="1"/>
      <c r="CF52" s="1"/>
      <c r="CG52" s="1"/>
      <c r="CH52" s="1"/>
    </row>
    <row r="53" spans="1:86" ht="23.25" x14ac:dyDescent="0.45">
      <c r="A53" s="1"/>
      <c r="B53" s="209" t="s">
        <v>6445</v>
      </c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1"/>
      <c r="AH53" s="148"/>
      <c r="AI53" s="149"/>
      <c r="AJ53" s="149"/>
      <c r="AK53" s="149"/>
      <c r="AL53" s="149"/>
      <c r="AM53" s="149"/>
      <c r="AN53" s="149"/>
      <c r="AO53" s="149"/>
      <c r="AP53" s="149"/>
      <c r="AQ53" s="149"/>
      <c r="AR53" s="149"/>
      <c r="AS53" s="149"/>
      <c r="AT53" s="149"/>
      <c r="AU53" s="149"/>
      <c r="AV53" s="150"/>
      <c r="AW53" s="148"/>
      <c r="AX53" s="149"/>
      <c r="AY53" s="149"/>
      <c r="AZ53" s="149"/>
      <c r="BA53" s="149"/>
      <c r="BB53" s="149"/>
      <c r="BC53" s="149"/>
      <c r="BD53" s="149"/>
      <c r="BE53" s="149"/>
      <c r="BF53" s="149"/>
      <c r="BG53" s="149"/>
      <c r="BH53" s="149"/>
      <c r="BI53" s="149"/>
      <c r="BJ53" s="149"/>
      <c r="BK53" s="150"/>
      <c r="BL53" s="148"/>
      <c r="BM53" s="149"/>
      <c r="BN53" s="149"/>
      <c r="BO53" s="149"/>
      <c r="BP53" s="149"/>
      <c r="BQ53" s="149"/>
      <c r="BR53" s="149"/>
      <c r="BS53" s="149"/>
      <c r="BT53" s="149"/>
      <c r="BU53" s="149"/>
      <c r="BV53" s="149"/>
      <c r="BW53" s="149"/>
      <c r="BX53" s="149"/>
      <c r="BY53" s="149"/>
      <c r="BZ53" s="150"/>
      <c r="CA53" s="1"/>
      <c r="CB53" s="1"/>
      <c r="CC53" s="1"/>
      <c r="CD53" s="1"/>
      <c r="CE53" s="1"/>
      <c r="CF53" s="1"/>
      <c r="CG53" s="1"/>
      <c r="CH53" s="1"/>
    </row>
    <row r="54" spans="1:86" ht="21" x14ac:dyDescent="0.45">
      <c r="A54" s="1"/>
      <c r="B54" s="212" t="s">
        <v>6441</v>
      </c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  <c r="AC54" s="213"/>
      <c r="AD54" s="213"/>
      <c r="AE54" s="213"/>
      <c r="AF54" s="213"/>
      <c r="AG54" s="214"/>
      <c r="AH54" s="148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50"/>
      <c r="AW54" s="148"/>
      <c r="AX54" s="149"/>
      <c r="AY54" s="149"/>
      <c r="AZ54" s="149"/>
      <c r="BA54" s="149"/>
      <c r="BB54" s="149"/>
      <c r="BC54" s="149"/>
      <c r="BD54" s="149"/>
      <c r="BE54" s="149"/>
      <c r="BF54" s="149"/>
      <c r="BG54" s="149"/>
      <c r="BH54" s="149"/>
      <c r="BI54" s="149"/>
      <c r="BJ54" s="149"/>
      <c r="BK54" s="150"/>
      <c r="BL54" s="148"/>
      <c r="BM54" s="149"/>
      <c r="BN54" s="149"/>
      <c r="BO54" s="149"/>
      <c r="BP54" s="149"/>
      <c r="BQ54" s="149"/>
      <c r="BR54" s="149"/>
      <c r="BS54" s="149"/>
      <c r="BT54" s="149"/>
      <c r="BU54" s="149"/>
      <c r="BV54" s="149"/>
      <c r="BW54" s="149"/>
      <c r="BX54" s="149"/>
      <c r="BY54" s="149"/>
      <c r="BZ54" s="150"/>
      <c r="CA54" s="1"/>
      <c r="CB54" s="1"/>
      <c r="CC54" s="1"/>
      <c r="CD54" s="1"/>
      <c r="CE54" s="1"/>
      <c r="CF54" s="1"/>
      <c r="CG54" s="1"/>
      <c r="CH54" s="1"/>
    </row>
    <row r="55" spans="1:86" ht="21" x14ac:dyDescent="0.45">
      <c r="A55" s="1"/>
      <c r="B55" s="212" t="s">
        <v>6442</v>
      </c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  <c r="AA55" s="213"/>
      <c r="AB55" s="213"/>
      <c r="AC55" s="213"/>
      <c r="AD55" s="213"/>
      <c r="AE55" s="213"/>
      <c r="AF55" s="213"/>
      <c r="AG55" s="214"/>
      <c r="AH55" s="148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50"/>
      <c r="AW55" s="148"/>
      <c r="AX55" s="149"/>
      <c r="AY55" s="149"/>
      <c r="AZ55" s="149"/>
      <c r="BA55" s="149"/>
      <c r="BB55" s="149"/>
      <c r="BC55" s="149"/>
      <c r="BD55" s="149"/>
      <c r="BE55" s="149"/>
      <c r="BF55" s="149"/>
      <c r="BG55" s="149"/>
      <c r="BH55" s="149"/>
      <c r="BI55" s="149"/>
      <c r="BJ55" s="149"/>
      <c r="BK55" s="150"/>
      <c r="BL55" s="148"/>
      <c r="BM55" s="149"/>
      <c r="BN55" s="149"/>
      <c r="BO55" s="149"/>
      <c r="BP55" s="149"/>
      <c r="BQ55" s="149"/>
      <c r="BR55" s="149"/>
      <c r="BS55" s="149"/>
      <c r="BT55" s="149"/>
      <c r="BU55" s="149"/>
      <c r="BV55" s="149"/>
      <c r="BW55" s="149"/>
      <c r="BX55" s="149"/>
      <c r="BY55" s="149"/>
      <c r="BZ55" s="150"/>
      <c r="CA55" s="1"/>
      <c r="CB55" s="1"/>
      <c r="CC55" s="1"/>
      <c r="CD55" s="1"/>
      <c r="CE55" s="1"/>
      <c r="CF55" s="1"/>
      <c r="CG55" s="1"/>
      <c r="CH55" s="1"/>
    </row>
    <row r="56" spans="1:86" ht="18" x14ac:dyDescent="0.45">
      <c r="A56" s="1"/>
      <c r="B56" s="142" t="s">
        <v>6443</v>
      </c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4"/>
      <c r="AH56" s="148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50"/>
      <c r="AW56" s="148"/>
      <c r="AX56" s="149"/>
      <c r="AY56" s="149"/>
      <c r="AZ56" s="149"/>
      <c r="BA56" s="149"/>
      <c r="BB56" s="149"/>
      <c r="BC56" s="149"/>
      <c r="BD56" s="149"/>
      <c r="BE56" s="149"/>
      <c r="BF56" s="149"/>
      <c r="BG56" s="149"/>
      <c r="BH56" s="149"/>
      <c r="BI56" s="149"/>
      <c r="BJ56" s="149"/>
      <c r="BK56" s="150"/>
      <c r="BL56" s="148"/>
      <c r="BM56" s="149"/>
      <c r="BN56" s="149"/>
      <c r="BO56" s="149"/>
      <c r="BP56" s="149"/>
      <c r="BQ56" s="149"/>
      <c r="BR56" s="149"/>
      <c r="BS56" s="149"/>
      <c r="BT56" s="149"/>
      <c r="BU56" s="149"/>
      <c r="BV56" s="149"/>
      <c r="BW56" s="149"/>
      <c r="BX56" s="149"/>
      <c r="BY56" s="149"/>
      <c r="BZ56" s="150"/>
      <c r="CA56" s="1"/>
      <c r="CB56" s="1"/>
      <c r="CC56" s="1"/>
      <c r="CD56" s="1"/>
      <c r="CE56" s="1"/>
      <c r="CF56" s="1"/>
      <c r="CG56" s="1"/>
      <c r="CH56" s="1"/>
    </row>
    <row r="57" spans="1:86" ht="18" x14ac:dyDescent="0.45">
      <c r="A57" s="1"/>
      <c r="B57" s="142" t="s">
        <v>6444</v>
      </c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4"/>
      <c r="AH57" s="148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50"/>
      <c r="AW57" s="148"/>
      <c r="AX57" s="149"/>
      <c r="AY57" s="149"/>
      <c r="AZ57" s="149"/>
      <c r="BA57" s="149"/>
      <c r="BB57" s="149"/>
      <c r="BC57" s="149"/>
      <c r="BD57" s="149"/>
      <c r="BE57" s="149"/>
      <c r="BF57" s="149"/>
      <c r="BG57" s="149"/>
      <c r="BH57" s="149"/>
      <c r="BI57" s="149"/>
      <c r="BJ57" s="149"/>
      <c r="BK57" s="150"/>
      <c r="BL57" s="148"/>
      <c r="BM57" s="149"/>
      <c r="BN57" s="149"/>
      <c r="BO57" s="149"/>
      <c r="BP57" s="149"/>
      <c r="BQ57" s="149"/>
      <c r="BR57" s="149"/>
      <c r="BS57" s="149"/>
      <c r="BT57" s="149"/>
      <c r="BU57" s="149"/>
      <c r="BV57" s="149"/>
      <c r="BW57" s="149"/>
      <c r="BX57" s="149"/>
      <c r="BY57" s="149"/>
      <c r="BZ57" s="150"/>
      <c r="CA57" s="1"/>
      <c r="CB57" s="1"/>
      <c r="CC57" s="1"/>
      <c r="CD57" s="1"/>
      <c r="CE57" s="1"/>
      <c r="CF57" s="1"/>
      <c r="CG57" s="1"/>
      <c r="CH57" s="1"/>
    </row>
    <row r="58" spans="1:86" ht="18" x14ac:dyDescent="0.45">
      <c r="A58" s="1"/>
      <c r="B58" s="142" t="s">
        <v>6422</v>
      </c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4"/>
      <c r="AH58" s="148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50"/>
      <c r="AW58" s="148"/>
      <c r="AX58" s="149"/>
      <c r="AY58" s="149"/>
      <c r="AZ58" s="149"/>
      <c r="BA58" s="149"/>
      <c r="BB58" s="149"/>
      <c r="BC58" s="149"/>
      <c r="BD58" s="149"/>
      <c r="BE58" s="149"/>
      <c r="BF58" s="149"/>
      <c r="BG58" s="149"/>
      <c r="BH58" s="149"/>
      <c r="BI58" s="149"/>
      <c r="BJ58" s="149"/>
      <c r="BK58" s="150"/>
      <c r="BL58" s="148"/>
      <c r="BM58" s="149"/>
      <c r="BN58" s="149"/>
      <c r="BO58" s="149"/>
      <c r="BP58" s="149"/>
      <c r="BQ58" s="149"/>
      <c r="BR58" s="149"/>
      <c r="BS58" s="149"/>
      <c r="BT58" s="149"/>
      <c r="BU58" s="149"/>
      <c r="BV58" s="149"/>
      <c r="BW58" s="149"/>
      <c r="BX58" s="149"/>
      <c r="BY58" s="149"/>
      <c r="BZ58" s="150"/>
      <c r="CA58" s="1"/>
      <c r="CB58" s="1"/>
      <c r="CC58" s="1"/>
      <c r="CD58" s="1"/>
      <c r="CE58" s="1"/>
      <c r="CF58" s="1"/>
      <c r="CG58" s="1"/>
      <c r="CH58" s="1"/>
    </row>
    <row r="59" spans="1:86" ht="18" x14ac:dyDescent="0.45">
      <c r="A59" s="1"/>
      <c r="B59" s="142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4"/>
      <c r="AH59" s="148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50"/>
      <c r="AW59" s="148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50"/>
      <c r="BL59" s="148"/>
      <c r="BM59" s="149"/>
      <c r="BN59" s="149"/>
      <c r="BO59" s="149"/>
      <c r="BP59" s="149"/>
      <c r="BQ59" s="149"/>
      <c r="BR59" s="149"/>
      <c r="BS59" s="149"/>
      <c r="BT59" s="149"/>
      <c r="BU59" s="149"/>
      <c r="BV59" s="149"/>
      <c r="BW59" s="149"/>
      <c r="BX59" s="149"/>
      <c r="BY59" s="149"/>
      <c r="BZ59" s="150"/>
      <c r="CA59" s="1"/>
      <c r="CB59" s="1"/>
      <c r="CC59" s="1"/>
      <c r="CD59" s="1"/>
      <c r="CE59" s="1"/>
      <c r="CF59" s="1"/>
      <c r="CG59" s="1"/>
      <c r="CH59" s="1"/>
    </row>
    <row r="60" spans="1:86" ht="18" x14ac:dyDescent="0.45">
      <c r="A60" s="1"/>
      <c r="B60" s="142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4"/>
      <c r="AH60" s="148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50"/>
      <c r="AW60" s="148"/>
      <c r="AX60" s="149"/>
      <c r="AY60" s="149"/>
      <c r="AZ60" s="149"/>
      <c r="BA60" s="149"/>
      <c r="BB60" s="149"/>
      <c r="BC60" s="149"/>
      <c r="BD60" s="149"/>
      <c r="BE60" s="149"/>
      <c r="BF60" s="149"/>
      <c r="BG60" s="149"/>
      <c r="BH60" s="149"/>
      <c r="BI60" s="149"/>
      <c r="BJ60" s="149"/>
      <c r="BK60" s="150"/>
      <c r="BL60" s="148"/>
      <c r="BM60" s="149"/>
      <c r="BN60" s="149"/>
      <c r="BO60" s="149"/>
      <c r="BP60" s="149"/>
      <c r="BQ60" s="149"/>
      <c r="BR60" s="149"/>
      <c r="BS60" s="149"/>
      <c r="BT60" s="149"/>
      <c r="BU60" s="149"/>
      <c r="BV60" s="149"/>
      <c r="BW60" s="149"/>
      <c r="BX60" s="149"/>
      <c r="BY60" s="149"/>
      <c r="BZ60" s="150"/>
      <c r="CA60" s="1"/>
      <c r="CB60" s="1"/>
      <c r="CC60" s="1"/>
      <c r="CD60" s="1"/>
      <c r="CE60" s="1"/>
      <c r="CF60" s="1"/>
      <c r="CG60" s="1"/>
      <c r="CH60" s="1"/>
    </row>
    <row r="61" spans="1:86" x14ac:dyDescent="0.45">
      <c r="A61" s="1"/>
      <c r="B61" s="160"/>
      <c r="C61" s="161"/>
      <c r="D61" s="161"/>
      <c r="E61" s="161"/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  <c r="AF61" s="161"/>
      <c r="AG61" s="162"/>
      <c r="AH61" s="148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50"/>
      <c r="AW61" s="148"/>
      <c r="AX61" s="149"/>
      <c r="AY61" s="149"/>
      <c r="AZ61" s="149"/>
      <c r="BA61" s="149"/>
      <c r="BB61" s="149"/>
      <c r="BC61" s="149"/>
      <c r="BD61" s="149"/>
      <c r="BE61" s="149"/>
      <c r="BF61" s="149"/>
      <c r="BG61" s="149"/>
      <c r="BH61" s="149"/>
      <c r="BI61" s="149"/>
      <c r="BJ61" s="149"/>
      <c r="BK61" s="150"/>
      <c r="BL61" s="148"/>
      <c r="BM61" s="149"/>
      <c r="BN61" s="149"/>
      <c r="BO61" s="149"/>
      <c r="BP61" s="149"/>
      <c r="BQ61" s="149"/>
      <c r="BR61" s="149"/>
      <c r="BS61" s="149"/>
      <c r="BT61" s="149"/>
      <c r="BU61" s="149"/>
      <c r="BV61" s="149"/>
      <c r="BW61" s="149"/>
      <c r="BX61" s="149"/>
      <c r="BY61" s="149"/>
      <c r="BZ61" s="150"/>
      <c r="CA61" s="1"/>
      <c r="CB61" s="1"/>
      <c r="CC61" s="1"/>
      <c r="CD61" s="1"/>
      <c r="CE61" s="1"/>
      <c r="CF61" s="1"/>
      <c r="CG61" s="1"/>
      <c r="CH61" s="1"/>
    </row>
    <row r="62" spans="1:86" ht="21" x14ac:dyDescent="0.45">
      <c r="A62" s="1"/>
      <c r="B62" s="215"/>
      <c r="C62" s="216"/>
      <c r="D62" s="216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  <c r="AF62" s="216"/>
      <c r="AG62" s="217"/>
      <c r="AH62" s="148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50"/>
      <c r="AW62" s="148"/>
      <c r="AX62" s="149"/>
      <c r="AY62" s="149"/>
      <c r="AZ62" s="149"/>
      <c r="BA62" s="149"/>
      <c r="BB62" s="149"/>
      <c r="BC62" s="149"/>
      <c r="BD62" s="149"/>
      <c r="BE62" s="149"/>
      <c r="BF62" s="149"/>
      <c r="BG62" s="149"/>
      <c r="BH62" s="149"/>
      <c r="BI62" s="149"/>
      <c r="BJ62" s="149"/>
      <c r="BK62" s="150"/>
      <c r="BL62" s="148"/>
      <c r="BM62" s="149"/>
      <c r="BN62" s="149"/>
      <c r="BO62" s="149"/>
      <c r="BP62" s="149"/>
      <c r="BQ62" s="149"/>
      <c r="BR62" s="149"/>
      <c r="BS62" s="149"/>
      <c r="BT62" s="149"/>
      <c r="BU62" s="149"/>
      <c r="BV62" s="149"/>
      <c r="BW62" s="149"/>
      <c r="BX62" s="149"/>
      <c r="BY62" s="149"/>
      <c r="BZ62" s="150"/>
      <c r="CA62" s="1"/>
      <c r="CB62" s="1"/>
      <c r="CC62" s="1"/>
      <c r="CD62" s="1"/>
      <c r="CE62" s="1"/>
      <c r="CF62" s="1"/>
      <c r="CG62" s="1"/>
      <c r="CH62" s="1"/>
    </row>
    <row r="63" spans="1:86" ht="18" x14ac:dyDescent="0.45">
      <c r="A63" s="1"/>
      <c r="B63" s="142"/>
      <c r="C63" s="143"/>
      <c r="D63" s="143"/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4"/>
      <c r="AH63" s="152"/>
      <c r="AI63" s="152"/>
      <c r="AJ63" s="152"/>
      <c r="AK63" s="152"/>
      <c r="AL63" s="152"/>
      <c r="AM63" s="152"/>
      <c r="AN63" s="152"/>
      <c r="AO63" s="152"/>
      <c r="AP63" s="152"/>
      <c r="AQ63" s="152"/>
      <c r="AR63" s="152"/>
      <c r="AS63" s="152"/>
      <c r="AT63" s="152"/>
      <c r="AU63" s="152"/>
      <c r="AV63" s="153"/>
      <c r="AW63" s="151"/>
      <c r="AX63" s="152"/>
      <c r="AY63" s="152"/>
      <c r="AZ63" s="152"/>
      <c r="BA63" s="152"/>
      <c r="BB63" s="152"/>
      <c r="BC63" s="152"/>
      <c r="BD63" s="152"/>
      <c r="BE63" s="152"/>
      <c r="BF63" s="152"/>
      <c r="BG63" s="152"/>
      <c r="BH63" s="152"/>
      <c r="BI63" s="152"/>
      <c r="BJ63" s="152"/>
      <c r="BK63" s="153"/>
      <c r="BL63" s="151"/>
      <c r="BM63" s="152"/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3"/>
      <c r="CA63" s="1"/>
      <c r="CB63" s="1"/>
      <c r="CC63" s="1"/>
      <c r="CD63" s="1"/>
      <c r="CE63" s="1"/>
      <c r="CF63" s="1"/>
      <c r="CG63" s="1"/>
      <c r="CH63" s="1"/>
    </row>
    <row r="64" spans="1:86" ht="18" x14ac:dyDescent="0.45">
      <c r="A64" s="1"/>
      <c r="B64" s="142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4"/>
      <c r="AH64" s="145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7"/>
      <c r="AW64" s="145"/>
      <c r="AX64" s="146"/>
      <c r="AY64" s="146"/>
      <c r="AZ64" s="146"/>
      <c r="BA64" s="146"/>
      <c r="BB64" s="146"/>
      <c r="BC64" s="146"/>
      <c r="BD64" s="146"/>
      <c r="BE64" s="146"/>
      <c r="BF64" s="146"/>
      <c r="BG64" s="146"/>
      <c r="BH64" s="146"/>
      <c r="BI64" s="146"/>
      <c r="BJ64" s="146"/>
      <c r="BK64" s="147"/>
      <c r="BL64" s="145"/>
      <c r="BM64" s="146"/>
      <c r="BN64" s="146"/>
      <c r="BO64" s="146"/>
      <c r="BP64" s="146"/>
      <c r="BQ64" s="146"/>
      <c r="BR64" s="146"/>
      <c r="BS64" s="146"/>
      <c r="BT64" s="146"/>
      <c r="BU64" s="146"/>
      <c r="BV64" s="146"/>
      <c r="BW64" s="146"/>
      <c r="BX64" s="146"/>
      <c r="BY64" s="146"/>
      <c r="BZ64" s="147"/>
      <c r="CA64" s="1"/>
      <c r="CB64" s="1"/>
      <c r="CC64" s="1"/>
      <c r="CD64" s="1"/>
      <c r="CE64" s="1"/>
      <c r="CF64" s="1"/>
      <c r="CG64" s="1"/>
      <c r="CH64" s="1"/>
    </row>
    <row r="65" spans="1:86" ht="18" x14ac:dyDescent="0.45">
      <c r="A65" s="1"/>
      <c r="B65" s="142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4"/>
      <c r="AH65" s="148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50"/>
      <c r="AW65" s="148"/>
      <c r="AX65" s="149"/>
      <c r="AY65" s="149"/>
      <c r="AZ65" s="149"/>
      <c r="BA65" s="149"/>
      <c r="BB65" s="149"/>
      <c r="BC65" s="149"/>
      <c r="BD65" s="149"/>
      <c r="BE65" s="149"/>
      <c r="BF65" s="149"/>
      <c r="BG65" s="149"/>
      <c r="BH65" s="149"/>
      <c r="BI65" s="149"/>
      <c r="BJ65" s="149"/>
      <c r="BK65" s="150"/>
      <c r="BL65" s="148"/>
      <c r="BM65" s="149"/>
      <c r="BN65" s="149"/>
      <c r="BO65" s="149"/>
      <c r="BP65" s="149"/>
      <c r="BQ65" s="149"/>
      <c r="BR65" s="149"/>
      <c r="BS65" s="149"/>
      <c r="BT65" s="149"/>
      <c r="BU65" s="149"/>
      <c r="BV65" s="149"/>
      <c r="BW65" s="149"/>
      <c r="BX65" s="149"/>
      <c r="BY65" s="149"/>
      <c r="BZ65" s="150"/>
      <c r="CA65" s="1"/>
      <c r="CB65" s="1"/>
      <c r="CC65" s="1"/>
      <c r="CD65" s="1"/>
      <c r="CE65" s="1"/>
      <c r="CF65" s="1"/>
      <c r="CG65" s="1"/>
      <c r="CH65" s="1"/>
    </row>
    <row r="66" spans="1:86" ht="18" x14ac:dyDescent="0.45">
      <c r="A66" s="1"/>
      <c r="B66" s="154"/>
      <c r="C66" s="155"/>
      <c r="D66" s="155"/>
      <c r="E66" s="155"/>
      <c r="F66" s="155"/>
      <c r="G66" s="155"/>
      <c r="H66" s="155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155"/>
      <c r="V66" s="155"/>
      <c r="W66" s="155"/>
      <c r="X66" s="155"/>
      <c r="Y66" s="155"/>
      <c r="Z66" s="155"/>
      <c r="AA66" s="155"/>
      <c r="AB66" s="155"/>
      <c r="AC66" s="155"/>
      <c r="AD66" s="155"/>
      <c r="AE66" s="155"/>
      <c r="AF66" s="155"/>
      <c r="AG66" s="156"/>
      <c r="AH66" s="148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50"/>
      <c r="AW66" s="148"/>
      <c r="AX66" s="149"/>
      <c r="AY66" s="149"/>
      <c r="AZ66" s="149"/>
      <c r="BA66" s="149"/>
      <c r="BB66" s="149"/>
      <c r="BC66" s="149"/>
      <c r="BD66" s="149"/>
      <c r="BE66" s="149"/>
      <c r="BF66" s="149"/>
      <c r="BG66" s="149"/>
      <c r="BH66" s="149"/>
      <c r="BI66" s="149"/>
      <c r="BJ66" s="149"/>
      <c r="BK66" s="150"/>
      <c r="BL66" s="148"/>
      <c r="BM66" s="149"/>
      <c r="BN66" s="149"/>
      <c r="BO66" s="149"/>
      <c r="BP66" s="149"/>
      <c r="BQ66" s="149"/>
      <c r="BR66" s="149"/>
      <c r="BS66" s="149"/>
      <c r="BT66" s="149"/>
      <c r="BU66" s="149"/>
      <c r="BV66" s="149"/>
      <c r="BW66" s="149"/>
      <c r="BX66" s="149"/>
      <c r="BY66" s="149"/>
      <c r="BZ66" s="150"/>
      <c r="CA66" s="1"/>
      <c r="CB66" s="1"/>
      <c r="CC66" s="1"/>
      <c r="CD66" s="1"/>
      <c r="CE66" s="1"/>
      <c r="CF66" s="1"/>
      <c r="CG66" s="1"/>
      <c r="CH66" s="1"/>
    </row>
    <row r="67" spans="1:86" ht="18" x14ac:dyDescent="0.45">
      <c r="A67" s="1"/>
      <c r="B67" s="154"/>
      <c r="C67" s="155"/>
      <c r="D67" s="155"/>
      <c r="E67" s="155"/>
      <c r="F67" s="155"/>
      <c r="G67" s="155"/>
      <c r="H67" s="155"/>
      <c r="I67" s="155"/>
      <c r="J67" s="155"/>
      <c r="K67" s="155"/>
      <c r="L67" s="155"/>
      <c r="M67" s="155"/>
      <c r="N67" s="155"/>
      <c r="O67" s="155"/>
      <c r="P67" s="155"/>
      <c r="Q67" s="155"/>
      <c r="R67" s="155"/>
      <c r="S67" s="155"/>
      <c r="T67" s="155"/>
      <c r="U67" s="155"/>
      <c r="V67" s="155"/>
      <c r="W67" s="155"/>
      <c r="X67" s="155"/>
      <c r="Y67" s="155"/>
      <c r="Z67" s="155"/>
      <c r="AA67" s="155"/>
      <c r="AB67" s="155"/>
      <c r="AC67" s="155"/>
      <c r="AD67" s="155"/>
      <c r="AE67" s="155"/>
      <c r="AF67" s="155"/>
      <c r="AG67" s="156"/>
      <c r="AH67" s="148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50"/>
      <c r="AW67" s="148"/>
      <c r="AX67" s="149"/>
      <c r="AY67" s="149"/>
      <c r="AZ67" s="149"/>
      <c r="BA67" s="149"/>
      <c r="BB67" s="149"/>
      <c r="BC67" s="149"/>
      <c r="BD67" s="149"/>
      <c r="BE67" s="149"/>
      <c r="BF67" s="149"/>
      <c r="BG67" s="149"/>
      <c r="BH67" s="149"/>
      <c r="BI67" s="149"/>
      <c r="BJ67" s="149"/>
      <c r="BK67" s="150"/>
      <c r="BL67" s="148"/>
      <c r="BM67" s="149"/>
      <c r="BN67" s="149"/>
      <c r="BO67" s="149"/>
      <c r="BP67" s="149"/>
      <c r="BQ67" s="149"/>
      <c r="BR67" s="149"/>
      <c r="BS67" s="149"/>
      <c r="BT67" s="149"/>
      <c r="BU67" s="149"/>
      <c r="BV67" s="149"/>
      <c r="BW67" s="149"/>
      <c r="BX67" s="149"/>
      <c r="BY67" s="149"/>
      <c r="BZ67" s="150"/>
      <c r="CA67" s="1"/>
      <c r="CB67" s="1"/>
      <c r="CC67" s="1"/>
      <c r="CD67" s="1"/>
      <c r="CE67" s="1"/>
      <c r="CF67" s="1"/>
      <c r="CG67" s="1"/>
      <c r="CH67" s="1"/>
    </row>
    <row r="68" spans="1:86" ht="18" x14ac:dyDescent="0.45">
      <c r="A68" s="1"/>
      <c r="B68" s="157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9"/>
      <c r="AH68" s="148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50"/>
      <c r="AW68" s="148"/>
      <c r="AX68" s="149"/>
      <c r="AY68" s="149"/>
      <c r="AZ68" s="149"/>
      <c r="BA68" s="149"/>
      <c r="BB68" s="149"/>
      <c r="BC68" s="149"/>
      <c r="BD68" s="149"/>
      <c r="BE68" s="149"/>
      <c r="BF68" s="149"/>
      <c r="BG68" s="149"/>
      <c r="BH68" s="149"/>
      <c r="BI68" s="149"/>
      <c r="BJ68" s="149"/>
      <c r="BK68" s="150"/>
      <c r="BL68" s="148"/>
      <c r="BM68" s="149"/>
      <c r="BN68" s="149"/>
      <c r="BO68" s="149"/>
      <c r="BP68" s="149"/>
      <c r="BQ68" s="149"/>
      <c r="BR68" s="149"/>
      <c r="BS68" s="149"/>
      <c r="BT68" s="149"/>
      <c r="BU68" s="149"/>
      <c r="BV68" s="149"/>
      <c r="BW68" s="149"/>
      <c r="BX68" s="149"/>
      <c r="BY68" s="149"/>
      <c r="BZ68" s="150"/>
      <c r="CA68" s="1"/>
      <c r="CB68" s="1"/>
      <c r="CC68" s="1"/>
      <c r="CD68" s="1"/>
      <c r="CE68" s="1"/>
      <c r="CF68" s="1"/>
      <c r="CG68" s="1"/>
      <c r="CH68" s="1"/>
    </row>
    <row r="69" spans="1:86" ht="18" x14ac:dyDescent="0.45">
      <c r="A69" s="1"/>
      <c r="B69" s="154"/>
      <c r="C69" s="155"/>
      <c r="D69" s="155"/>
      <c r="E69" s="155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155"/>
      <c r="Q69" s="155"/>
      <c r="R69" s="155"/>
      <c r="S69" s="155"/>
      <c r="T69" s="155"/>
      <c r="U69" s="155"/>
      <c r="V69" s="155"/>
      <c r="W69" s="155"/>
      <c r="X69" s="155"/>
      <c r="Y69" s="155"/>
      <c r="Z69" s="155"/>
      <c r="AA69" s="155"/>
      <c r="AB69" s="155"/>
      <c r="AC69" s="155"/>
      <c r="AD69" s="155"/>
      <c r="AE69" s="155"/>
      <c r="AF69" s="155"/>
      <c r="AG69" s="156"/>
      <c r="AH69" s="148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50"/>
      <c r="AW69" s="148"/>
      <c r="AX69" s="149"/>
      <c r="AY69" s="149"/>
      <c r="AZ69" s="149"/>
      <c r="BA69" s="149"/>
      <c r="BB69" s="149"/>
      <c r="BC69" s="149"/>
      <c r="BD69" s="149"/>
      <c r="BE69" s="149"/>
      <c r="BF69" s="149"/>
      <c r="BG69" s="149"/>
      <c r="BH69" s="149"/>
      <c r="BI69" s="149"/>
      <c r="BJ69" s="149"/>
      <c r="BK69" s="150"/>
      <c r="BL69" s="148"/>
      <c r="BM69" s="149"/>
      <c r="BN69" s="149"/>
      <c r="BO69" s="149"/>
      <c r="BP69" s="149"/>
      <c r="BQ69" s="149"/>
      <c r="BR69" s="149"/>
      <c r="BS69" s="149"/>
      <c r="BT69" s="149"/>
      <c r="BU69" s="149"/>
      <c r="BV69" s="149"/>
      <c r="BW69" s="149"/>
      <c r="BX69" s="149"/>
      <c r="BY69" s="149"/>
      <c r="BZ69" s="150"/>
      <c r="CA69" s="1"/>
      <c r="CB69" s="1"/>
      <c r="CC69" s="1"/>
      <c r="CD69" s="1"/>
      <c r="CE69" s="1"/>
      <c r="CF69" s="1"/>
      <c r="CG69" s="1"/>
      <c r="CH69" s="1"/>
    </row>
    <row r="70" spans="1:86" ht="18" x14ac:dyDescent="0.45">
      <c r="A70" s="1"/>
      <c r="B70" s="154"/>
      <c r="C70" s="155"/>
      <c r="D70" s="155"/>
      <c r="E70" s="155"/>
      <c r="F70" s="155"/>
      <c r="G70" s="155"/>
      <c r="H70" s="155"/>
      <c r="I70" s="155"/>
      <c r="J70" s="155"/>
      <c r="K70" s="155"/>
      <c r="L70" s="155"/>
      <c r="M70" s="155"/>
      <c r="N70" s="155"/>
      <c r="O70" s="155"/>
      <c r="P70" s="155"/>
      <c r="Q70" s="155"/>
      <c r="R70" s="155"/>
      <c r="S70" s="155"/>
      <c r="T70" s="155"/>
      <c r="U70" s="155"/>
      <c r="V70" s="155"/>
      <c r="W70" s="155"/>
      <c r="X70" s="155"/>
      <c r="Y70" s="155"/>
      <c r="Z70" s="155"/>
      <c r="AA70" s="155"/>
      <c r="AB70" s="155"/>
      <c r="AC70" s="155"/>
      <c r="AD70" s="155"/>
      <c r="AE70" s="155"/>
      <c r="AF70" s="155"/>
      <c r="AG70" s="156"/>
      <c r="AH70" s="148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50"/>
      <c r="AW70" s="148"/>
      <c r="AX70" s="149"/>
      <c r="AY70" s="149"/>
      <c r="AZ70" s="149"/>
      <c r="BA70" s="149"/>
      <c r="BB70" s="149"/>
      <c r="BC70" s="149"/>
      <c r="BD70" s="149"/>
      <c r="BE70" s="149"/>
      <c r="BF70" s="149"/>
      <c r="BG70" s="149"/>
      <c r="BH70" s="149"/>
      <c r="BI70" s="149"/>
      <c r="BJ70" s="149"/>
      <c r="BK70" s="150"/>
      <c r="BL70" s="148"/>
      <c r="BM70" s="149"/>
      <c r="BN70" s="149"/>
      <c r="BO70" s="149"/>
      <c r="BP70" s="149"/>
      <c r="BQ70" s="149"/>
      <c r="BR70" s="149"/>
      <c r="BS70" s="149"/>
      <c r="BT70" s="149"/>
      <c r="BU70" s="149"/>
      <c r="BV70" s="149"/>
      <c r="BW70" s="149"/>
      <c r="BX70" s="149"/>
      <c r="BY70" s="149"/>
      <c r="BZ70" s="150"/>
      <c r="CA70" s="1"/>
      <c r="CB70" s="1"/>
      <c r="CC70" s="1"/>
      <c r="CD70" s="1"/>
      <c r="CE70" s="1"/>
      <c r="CF70" s="1"/>
      <c r="CG70" s="1"/>
      <c r="CH70" s="1"/>
    </row>
    <row r="71" spans="1:86" x14ac:dyDescent="0.45">
      <c r="A71" s="1"/>
      <c r="B71" s="125"/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7"/>
      <c r="AH71" s="148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50"/>
      <c r="AW71" s="148"/>
      <c r="AX71" s="149"/>
      <c r="AY71" s="149"/>
      <c r="AZ71" s="149"/>
      <c r="BA71" s="149"/>
      <c r="BB71" s="149"/>
      <c r="BC71" s="149"/>
      <c r="BD71" s="149"/>
      <c r="BE71" s="149"/>
      <c r="BF71" s="149"/>
      <c r="BG71" s="149"/>
      <c r="BH71" s="149"/>
      <c r="BI71" s="149"/>
      <c r="BJ71" s="149"/>
      <c r="BK71" s="150"/>
      <c r="BL71" s="148"/>
      <c r="BM71" s="149"/>
      <c r="BN71" s="149"/>
      <c r="BO71" s="149"/>
      <c r="BP71" s="149"/>
      <c r="BQ71" s="149"/>
      <c r="BR71" s="149"/>
      <c r="BS71" s="149"/>
      <c r="BT71" s="149"/>
      <c r="BU71" s="149"/>
      <c r="BV71" s="149"/>
      <c r="BW71" s="149"/>
      <c r="BX71" s="149"/>
      <c r="BY71" s="149"/>
      <c r="BZ71" s="150"/>
      <c r="CA71" s="1"/>
      <c r="CB71" s="1"/>
      <c r="CC71" s="1"/>
      <c r="CD71" s="1"/>
      <c r="CE71" s="1"/>
      <c r="CF71" s="1"/>
      <c r="CG71" s="1"/>
      <c r="CH71" s="1"/>
    </row>
    <row r="72" spans="1:86" x14ac:dyDescent="0.45">
      <c r="A72" s="1"/>
      <c r="B72" s="125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7"/>
      <c r="AH72" s="148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50"/>
      <c r="AW72" s="148"/>
      <c r="AX72" s="149"/>
      <c r="AY72" s="149"/>
      <c r="AZ72" s="149"/>
      <c r="BA72" s="149"/>
      <c r="BB72" s="149"/>
      <c r="BC72" s="149"/>
      <c r="BD72" s="149"/>
      <c r="BE72" s="149"/>
      <c r="BF72" s="149"/>
      <c r="BG72" s="149"/>
      <c r="BH72" s="149"/>
      <c r="BI72" s="149"/>
      <c r="BJ72" s="149"/>
      <c r="BK72" s="150"/>
      <c r="BL72" s="148"/>
      <c r="BM72" s="149"/>
      <c r="BN72" s="149"/>
      <c r="BO72" s="149"/>
      <c r="BP72" s="149"/>
      <c r="BQ72" s="149"/>
      <c r="BR72" s="149"/>
      <c r="BS72" s="149"/>
      <c r="BT72" s="149"/>
      <c r="BU72" s="149"/>
      <c r="BV72" s="149"/>
      <c r="BW72" s="149"/>
      <c r="BX72" s="149"/>
      <c r="BY72" s="149"/>
      <c r="BZ72" s="150"/>
      <c r="CA72" s="1"/>
      <c r="CB72" s="1"/>
      <c r="CC72" s="1"/>
      <c r="CD72" s="1"/>
      <c r="CE72" s="1"/>
      <c r="CF72" s="1"/>
      <c r="CG72" s="1"/>
      <c r="CH72" s="1"/>
    </row>
    <row r="73" spans="1:86" x14ac:dyDescent="0.45">
      <c r="A73" s="1"/>
      <c r="B73" s="160"/>
      <c r="C73" s="161"/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61"/>
      <c r="AB73" s="161"/>
      <c r="AC73" s="161"/>
      <c r="AD73" s="161"/>
      <c r="AE73" s="161"/>
      <c r="AF73" s="161"/>
      <c r="AG73" s="162"/>
      <c r="AH73" s="148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50"/>
      <c r="AW73" s="148"/>
      <c r="AX73" s="149"/>
      <c r="AY73" s="149"/>
      <c r="AZ73" s="149"/>
      <c r="BA73" s="149"/>
      <c r="BB73" s="149"/>
      <c r="BC73" s="149"/>
      <c r="BD73" s="149"/>
      <c r="BE73" s="149"/>
      <c r="BF73" s="149"/>
      <c r="BG73" s="149"/>
      <c r="BH73" s="149"/>
      <c r="BI73" s="149"/>
      <c r="BJ73" s="149"/>
      <c r="BK73" s="150"/>
      <c r="BL73" s="148"/>
      <c r="BM73" s="149"/>
      <c r="BN73" s="149"/>
      <c r="BO73" s="149"/>
      <c r="BP73" s="149"/>
      <c r="BQ73" s="149"/>
      <c r="BR73" s="149"/>
      <c r="BS73" s="149"/>
      <c r="BT73" s="149"/>
      <c r="BU73" s="149"/>
      <c r="BV73" s="149"/>
      <c r="BW73" s="149"/>
      <c r="BX73" s="149"/>
      <c r="BY73" s="149"/>
      <c r="BZ73" s="150"/>
      <c r="CA73" s="1"/>
      <c r="CB73" s="1"/>
      <c r="CC73" s="1"/>
      <c r="CD73" s="1"/>
      <c r="CE73" s="1"/>
      <c r="CF73" s="1"/>
      <c r="CG73" s="1"/>
      <c r="CH73" s="1"/>
    </row>
    <row r="74" spans="1:86" x14ac:dyDescent="0.45">
      <c r="A74" s="1"/>
      <c r="B74" s="125"/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126"/>
      <c r="Y74" s="126"/>
      <c r="Z74" s="126"/>
      <c r="AA74" s="126"/>
      <c r="AB74" s="126"/>
      <c r="AC74" s="126"/>
      <c r="AD74" s="126"/>
      <c r="AE74" s="126"/>
      <c r="AF74" s="126"/>
      <c r="AG74" s="127"/>
      <c r="AH74" s="148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50"/>
      <c r="AW74" s="148"/>
      <c r="AX74" s="149"/>
      <c r="AY74" s="149"/>
      <c r="AZ74" s="149"/>
      <c r="BA74" s="149"/>
      <c r="BB74" s="149"/>
      <c r="BC74" s="149"/>
      <c r="BD74" s="149"/>
      <c r="BE74" s="149"/>
      <c r="BF74" s="149"/>
      <c r="BG74" s="149"/>
      <c r="BH74" s="149"/>
      <c r="BI74" s="149"/>
      <c r="BJ74" s="149"/>
      <c r="BK74" s="150"/>
      <c r="BL74" s="148"/>
      <c r="BM74" s="149"/>
      <c r="BN74" s="149"/>
      <c r="BO74" s="149"/>
      <c r="BP74" s="149"/>
      <c r="BQ74" s="149"/>
      <c r="BR74" s="149"/>
      <c r="BS74" s="149"/>
      <c r="BT74" s="149"/>
      <c r="BU74" s="149"/>
      <c r="BV74" s="149"/>
      <c r="BW74" s="149"/>
      <c r="BX74" s="149"/>
      <c r="BY74" s="149"/>
      <c r="BZ74" s="150"/>
      <c r="CA74" s="1"/>
      <c r="CB74" s="1"/>
      <c r="CC74" s="1"/>
      <c r="CD74" s="1"/>
      <c r="CE74" s="1"/>
      <c r="CF74" s="1"/>
      <c r="CG74" s="1"/>
      <c r="CH74" s="1"/>
    </row>
    <row r="75" spans="1:86" x14ac:dyDescent="0.45">
      <c r="A75" s="1"/>
      <c r="B75" s="163"/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5"/>
      <c r="AH75" s="151"/>
      <c r="AI75" s="152"/>
      <c r="AJ75" s="152"/>
      <c r="AK75" s="152"/>
      <c r="AL75" s="152"/>
      <c r="AM75" s="152"/>
      <c r="AN75" s="152"/>
      <c r="AO75" s="152"/>
      <c r="AP75" s="152"/>
      <c r="AQ75" s="152"/>
      <c r="AR75" s="152"/>
      <c r="AS75" s="152"/>
      <c r="AT75" s="152"/>
      <c r="AU75" s="152"/>
      <c r="AV75" s="153"/>
      <c r="AW75" s="151"/>
      <c r="AX75" s="152"/>
      <c r="AY75" s="152"/>
      <c r="AZ75" s="152"/>
      <c r="BA75" s="152"/>
      <c r="BB75" s="152"/>
      <c r="BC75" s="152"/>
      <c r="BD75" s="152"/>
      <c r="BE75" s="152"/>
      <c r="BF75" s="152"/>
      <c r="BG75" s="152"/>
      <c r="BH75" s="152"/>
      <c r="BI75" s="152"/>
      <c r="BJ75" s="152"/>
      <c r="BK75" s="153"/>
      <c r="BL75" s="151"/>
      <c r="BM75" s="152"/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152"/>
      <c r="BZ75" s="153"/>
      <c r="CA75" s="1"/>
      <c r="CB75" s="1"/>
      <c r="CC75" s="1"/>
      <c r="CD75" s="1"/>
      <c r="CE75" s="1"/>
      <c r="CF75" s="1"/>
      <c r="CG75" s="1"/>
      <c r="CH75" s="1"/>
    </row>
    <row r="76" spans="1:86" x14ac:dyDescent="0.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</row>
    <row r="77" spans="1:86" x14ac:dyDescent="0.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</row>
  </sheetData>
  <sheetProtection password="CF0E" sheet="1" scenarios="1" formatCells="0" formatColumns="0" selectLockedCells="1"/>
  <mergeCells count="331">
    <mergeCell ref="AW52:BK63"/>
    <mergeCell ref="BL52:BZ63"/>
    <mergeCell ref="B57:AG57"/>
    <mergeCell ref="B52:AG52"/>
    <mergeCell ref="B53:AG53"/>
    <mergeCell ref="B54:AG54"/>
    <mergeCell ref="B55:AG55"/>
    <mergeCell ref="B56:AG56"/>
    <mergeCell ref="B58:AG58"/>
    <mergeCell ref="B59:AG59"/>
    <mergeCell ref="B63:AG63"/>
    <mergeCell ref="B61:AG61"/>
    <mergeCell ref="B62:AG62"/>
    <mergeCell ref="B60:AG60"/>
    <mergeCell ref="AH52:AV63"/>
    <mergeCell ref="B51:BZ51"/>
    <mergeCell ref="AV43:BB43"/>
    <mergeCell ref="BD43:BJ43"/>
    <mergeCell ref="BL43:BR43"/>
    <mergeCell ref="BT43:BZ43"/>
    <mergeCell ref="AV36:BB36"/>
    <mergeCell ref="BD36:BJ36"/>
    <mergeCell ref="BL36:BR36"/>
    <mergeCell ref="BT36:BZ36"/>
    <mergeCell ref="AM47:AO47"/>
    <mergeCell ref="W47:Y47"/>
    <mergeCell ref="O43:U43"/>
    <mergeCell ref="AM43:AS43"/>
    <mergeCell ref="O46:U46"/>
    <mergeCell ref="AM46:AS46"/>
    <mergeCell ref="W43:AC43"/>
    <mergeCell ref="W46:AC46"/>
    <mergeCell ref="AM45:AO45"/>
    <mergeCell ref="O47:Q47"/>
    <mergeCell ref="O44:U44"/>
    <mergeCell ref="W44:AC44"/>
    <mergeCell ref="AE44:AK44"/>
    <mergeCell ref="AM44:AS44"/>
    <mergeCell ref="BT37:BZ37"/>
    <mergeCell ref="AV13:BZ13"/>
    <mergeCell ref="AV15:BB15"/>
    <mergeCell ref="BD15:BJ15"/>
    <mergeCell ref="BL15:BR15"/>
    <mergeCell ref="BD16:BJ16"/>
    <mergeCell ref="BL16:BR16"/>
    <mergeCell ref="BT22:BZ22"/>
    <mergeCell ref="AV29:BB29"/>
    <mergeCell ref="BD29:BJ29"/>
    <mergeCell ref="BL29:BR29"/>
    <mergeCell ref="BT29:BZ29"/>
    <mergeCell ref="AV22:BB22"/>
    <mergeCell ref="BD22:BJ22"/>
    <mergeCell ref="BL22:BR22"/>
    <mergeCell ref="BO17:BR17"/>
    <mergeCell ref="BL23:BR23"/>
    <mergeCell ref="BL24:BN24"/>
    <mergeCell ref="BO24:BR24"/>
    <mergeCell ref="BD17:BF17"/>
    <mergeCell ref="BG17:BJ17"/>
    <mergeCell ref="BD18:BJ18"/>
    <mergeCell ref="BD19:BF19"/>
    <mergeCell ref="BL17:BN17"/>
    <mergeCell ref="BT23:BZ23"/>
    <mergeCell ref="AE46:AK46"/>
    <mergeCell ref="AE47:AG47"/>
    <mergeCell ref="AE45:AG45"/>
    <mergeCell ref="AH45:AK45"/>
    <mergeCell ref="AM39:AS39"/>
    <mergeCell ref="O40:Q40"/>
    <mergeCell ref="AM40:AO40"/>
    <mergeCell ref="W39:AC39"/>
    <mergeCell ref="W40:Y40"/>
    <mergeCell ref="AP45:AS45"/>
    <mergeCell ref="W45:Y45"/>
    <mergeCell ref="O45:Q45"/>
    <mergeCell ref="R45:U45"/>
    <mergeCell ref="AE40:AG40"/>
    <mergeCell ref="AE39:AK39"/>
    <mergeCell ref="O39:U39"/>
    <mergeCell ref="Z45:AC45"/>
    <mergeCell ref="BL18:BR18"/>
    <mergeCell ref="BL19:BN19"/>
    <mergeCell ref="Z24:AC24"/>
    <mergeCell ref="BD23:BJ23"/>
    <mergeCell ref="BD24:BF24"/>
    <mergeCell ref="BG24:BJ24"/>
    <mergeCell ref="AM22:AS22"/>
    <mergeCell ref="AM23:AS23"/>
    <mergeCell ref="AE43:AK43"/>
    <mergeCell ref="AM31:AO31"/>
    <mergeCell ref="AP31:AS31"/>
    <mergeCell ref="W32:AC32"/>
    <mergeCell ref="AE32:AK32"/>
    <mergeCell ref="AM33:AO33"/>
    <mergeCell ref="BD32:BJ32"/>
    <mergeCell ref="BD33:BF33"/>
    <mergeCell ref="AV31:AX31"/>
    <mergeCell ref="AV32:BB32"/>
    <mergeCell ref="AV33:AX33"/>
    <mergeCell ref="AV34:BZ35"/>
    <mergeCell ref="BT32:BZ32"/>
    <mergeCell ref="BT33:BV33"/>
    <mergeCell ref="W24:Y24"/>
    <mergeCell ref="AY31:BB31"/>
    <mergeCell ref="O13:AS13"/>
    <mergeCell ref="O16:U16"/>
    <mergeCell ref="W15:AC15"/>
    <mergeCell ref="AE15:AK15"/>
    <mergeCell ref="W17:Y17"/>
    <mergeCell ref="AM26:AO26"/>
    <mergeCell ref="W18:AC18"/>
    <mergeCell ref="AE18:AK18"/>
    <mergeCell ref="O24:Q24"/>
    <mergeCell ref="W19:Y19"/>
    <mergeCell ref="AE19:AG19"/>
    <mergeCell ref="O25:U25"/>
    <mergeCell ref="W25:AC25"/>
    <mergeCell ref="AE25:AK25"/>
    <mergeCell ref="AM25:AS25"/>
    <mergeCell ref="O26:Q26"/>
    <mergeCell ref="W26:Y26"/>
    <mergeCell ref="AE26:AG26"/>
    <mergeCell ref="R24:U24"/>
    <mergeCell ref="AE24:AG24"/>
    <mergeCell ref="O18:U18"/>
    <mergeCell ref="AH24:AK24"/>
    <mergeCell ref="AM24:AO24"/>
    <mergeCell ref="AP24:AS24"/>
    <mergeCell ref="O15:U15"/>
    <mergeCell ref="R17:U17"/>
    <mergeCell ref="O17:Q17"/>
    <mergeCell ref="R19:U19"/>
    <mergeCell ref="O19:Q19"/>
    <mergeCell ref="W16:AC16"/>
    <mergeCell ref="Z31:AC31"/>
    <mergeCell ref="AE16:AK16"/>
    <mergeCell ref="O23:U23"/>
    <mergeCell ref="W23:AC23"/>
    <mergeCell ref="AE23:AK23"/>
    <mergeCell ref="O22:U22"/>
    <mergeCell ref="W22:AC22"/>
    <mergeCell ref="AE22:AK22"/>
    <mergeCell ref="AE17:AG17"/>
    <mergeCell ref="R31:U31"/>
    <mergeCell ref="O31:Q31"/>
    <mergeCell ref="W31:Y31"/>
    <mergeCell ref="O27:AS28"/>
    <mergeCell ref="O29:U29"/>
    <mergeCell ref="AM29:AS29"/>
    <mergeCell ref="Z17:AC17"/>
    <mergeCell ref="AH17:AK17"/>
    <mergeCell ref="O30:U30"/>
    <mergeCell ref="W30:AC30"/>
    <mergeCell ref="AE30:AK30"/>
    <mergeCell ref="AM30:AS30"/>
    <mergeCell ref="O34:AS35"/>
    <mergeCell ref="W38:Y38"/>
    <mergeCell ref="AE38:AG38"/>
    <mergeCell ref="O36:U36"/>
    <mergeCell ref="AM36:AS36"/>
    <mergeCell ref="W33:Y33"/>
    <mergeCell ref="AE33:AG33"/>
    <mergeCell ref="O37:U37"/>
    <mergeCell ref="W37:AC37"/>
    <mergeCell ref="AE37:AK37"/>
    <mergeCell ref="AM37:AS37"/>
    <mergeCell ref="AH38:AK38"/>
    <mergeCell ref="AM38:AO38"/>
    <mergeCell ref="AP38:AS38"/>
    <mergeCell ref="O38:Q38"/>
    <mergeCell ref="R38:U38"/>
    <mergeCell ref="Z38:AC38"/>
    <mergeCell ref="AV16:BB16"/>
    <mergeCell ref="AV17:AX17"/>
    <mergeCell ref="AY17:BB17"/>
    <mergeCell ref="AV18:BB18"/>
    <mergeCell ref="AV19:AX19"/>
    <mergeCell ref="AY19:BB19"/>
    <mergeCell ref="AV23:BB23"/>
    <mergeCell ref="AV24:AX24"/>
    <mergeCell ref="AY24:BB24"/>
    <mergeCell ref="BD47:BF47"/>
    <mergeCell ref="BD37:BJ37"/>
    <mergeCell ref="BD38:BF38"/>
    <mergeCell ref="BG38:BJ38"/>
    <mergeCell ref="BD39:BJ39"/>
    <mergeCell ref="BD40:BF40"/>
    <mergeCell ref="AV38:AX38"/>
    <mergeCell ref="AV39:BB39"/>
    <mergeCell ref="AV40:AX40"/>
    <mergeCell ref="AV41:BZ42"/>
    <mergeCell ref="BT38:BV38"/>
    <mergeCell ref="BW38:BZ38"/>
    <mergeCell ref="BT39:BZ39"/>
    <mergeCell ref="BT40:BV40"/>
    <mergeCell ref="AV44:BB44"/>
    <mergeCell ref="AV37:BB37"/>
    <mergeCell ref="BW45:BZ45"/>
    <mergeCell ref="AY38:BB38"/>
    <mergeCell ref="BO38:BR38"/>
    <mergeCell ref="BG45:BJ45"/>
    <mergeCell ref="BO45:BR45"/>
    <mergeCell ref="B1:BZ4"/>
    <mergeCell ref="W6:AC6"/>
    <mergeCell ref="W8:AC8"/>
    <mergeCell ref="AP6:AV6"/>
    <mergeCell ref="AW6:BE6"/>
    <mergeCell ref="AD8:AL8"/>
    <mergeCell ref="AD6:AL6"/>
    <mergeCell ref="AP10:AV10"/>
    <mergeCell ref="AW10:BE10"/>
    <mergeCell ref="AP8:AV8"/>
    <mergeCell ref="AW8:BE8"/>
    <mergeCell ref="BH8:BN8"/>
    <mergeCell ref="C6:I6"/>
    <mergeCell ref="C10:I10"/>
    <mergeCell ref="J6:S6"/>
    <mergeCell ref="C8:I8"/>
    <mergeCell ref="J8:S8"/>
    <mergeCell ref="J10:S10"/>
    <mergeCell ref="BH6:BN6"/>
    <mergeCell ref="BH10:BN10"/>
    <mergeCell ref="BO10:BW10"/>
    <mergeCell ref="BO6:BW6"/>
    <mergeCell ref="BO8:BW8"/>
    <mergeCell ref="W10:AC10"/>
    <mergeCell ref="AD10:AL10"/>
    <mergeCell ref="B64:AG64"/>
    <mergeCell ref="AH64:AV75"/>
    <mergeCell ref="AW64:BK75"/>
    <mergeCell ref="BL64:BZ75"/>
    <mergeCell ref="B65:AG65"/>
    <mergeCell ref="B66:AG66"/>
    <mergeCell ref="B67:AG67"/>
    <mergeCell ref="B68:AG68"/>
    <mergeCell ref="B69:AG69"/>
    <mergeCell ref="B70:AG70"/>
    <mergeCell ref="B71:AG71"/>
    <mergeCell ref="B72:AG72"/>
    <mergeCell ref="B73:AG73"/>
    <mergeCell ref="B74:AG74"/>
    <mergeCell ref="B75:AG75"/>
    <mergeCell ref="O41:AS42"/>
    <mergeCell ref="O20:AS21"/>
    <mergeCell ref="B12:BZ12"/>
    <mergeCell ref="BL44:BR44"/>
    <mergeCell ref="BL45:BN45"/>
    <mergeCell ref="O48:AS49"/>
    <mergeCell ref="O14:AS14"/>
    <mergeCell ref="AD43:AD47"/>
    <mergeCell ref="AV48:BZ49"/>
    <mergeCell ref="B15:N15"/>
    <mergeCell ref="B16:N16"/>
    <mergeCell ref="B17:N17"/>
    <mergeCell ref="B19:N19"/>
    <mergeCell ref="B22:N22"/>
    <mergeCell ref="B23:N23"/>
    <mergeCell ref="B26:N26"/>
    <mergeCell ref="B29:N29"/>
    <mergeCell ref="B30:N30"/>
    <mergeCell ref="B33:N33"/>
    <mergeCell ref="BL46:BR46"/>
    <mergeCell ref="BL47:BN47"/>
    <mergeCell ref="BT44:BZ44"/>
    <mergeCell ref="BT45:BV45"/>
    <mergeCell ref="BT46:BZ46"/>
    <mergeCell ref="BT47:BV47"/>
    <mergeCell ref="AV45:AX45"/>
    <mergeCell ref="AV46:BB46"/>
    <mergeCell ref="AV47:AX47"/>
    <mergeCell ref="BD44:BJ44"/>
    <mergeCell ref="BL37:BR37"/>
    <mergeCell ref="BL38:BN38"/>
    <mergeCell ref="BD46:BJ46"/>
    <mergeCell ref="B48:N49"/>
    <mergeCell ref="B46:N46"/>
    <mergeCell ref="B47:N47"/>
    <mergeCell ref="B18:N18"/>
    <mergeCell ref="B24:N24"/>
    <mergeCell ref="B25:N25"/>
    <mergeCell ref="B31:N31"/>
    <mergeCell ref="B32:N32"/>
    <mergeCell ref="B27:N28"/>
    <mergeCell ref="B20:N21"/>
    <mergeCell ref="B36:N36"/>
    <mergeCell ref="B37:N37"/>
    <mergeCell ref="B39:N39"/>
    <mergeCell ref="B40:N40"/>
    <mergeCell ref="B43:N43"/>
    <mergeCell ref="B44:N44"/>
    <mergeCell ref="B13:N14"/>
    <mergeCell ref="B38:N38"/>
    <mergeCell ref="B45:N45"/>
    <mergeCell ref="B41:N42"/>
    <mergeCell ref="B34:N35"/>
    <mergeCell ref="BL39:BR39"/>
    <mergeCell ref="BL40:BN40"/>
    <mergeCell ref="BD45:BF45"/>
    <mergeCell ref="BD26:BF26"/>
    <mergeCell ref="BL32:BR32"/>
    <mergeCell ref="BL33:BN33"/>
    <mergeCell ref="BD25:BJ25"/>
    <mergeCell ref="AY45:BB45"/>
    <mergeCell ref="W29:AC29"/>
    <mergeCell ref="AE29:AK29"/>
    <mergeCell ref="W36:AC36"/>
    <mergeCell ref="AE36:AK36"/>
    <mergeCell ref="O32:U32"/>
    <mergeCell ref="AM32:AS32"/>
    <mergeCell ref="O33:Q33"/>
    <mergeCell ref="BL25:BR25"/>
    <mergeCell ref="BL26:BN26"/>
    <mergeCell ref="AE31:AG31"/>
    <mergeCell ref="AH31:AK31"/>
    <mergeCell ref="BW24:BZ24"/>
    <mergeCell ref="BT25:BZ25"/>
    <mergeCell ref="BT26:BV26"/>
    <mergeCell ref="AV27:BZ28"/>
    <mergeCell ref="BD30:BJ30"/>
    <mergeCell ref="BD31:BF31"/>
    <mergeCell ref="BG31:BJ31"/>
    <mergeCell ref="BL31:BN31"/>
    <mergeCell ref="BT24:BV24"/>
    <mergeCell ref="BT30:BZ30"/>
    <mergeCell ref="BT31:BV31"/>
    <mergeCell ref="BO31:BR31"/>
    <mergeCell ref="BW31:BZ31"/>
    <mergeCell ref="AV25:BB25"/>
    <mergeCell ref="AV26:AX26"/>
    <mergeCell ref="AV30:BB30"/>
    <mergeCell ref="BL30:BR30"/>
  </mergeCells>
  <dataValidations count="6">
    <dataValidation allowBlank="1" showInputMessage="1" showErrorMessage="1" promptTitle="Date " prompt="JJ-MM-AAAA" sqref="J6:S6" xr:uid="{00000000-0002-0000-0100-000000000000}"/>
    <dataValidation allowBlank="1" showInputMessage="1" showErrorMessage="1" promptTitle="Exemple " prompt="1-B-6_K-600" sqref="AW8:BE8" xr:uid="{00000000-0002-0000-0100-000001000000}"/>
    <dataValidation type="list" allowBlank="1" showInputMessage="1" sqref="J8:S8" xr:uid="{00000000-0002-0000-0100-000002000000}">
      <formula1>IF(J8&lt;&gt;"",OFFSET(f_société,MATCH(J8&amp;"*",f_société,0)-1,,COUNTIF(f_société, J8&amp;"*"),1), f_société)</formula1>
    </dataValidation>
    <dataValidation type="list" allowBlank="1" showInputMessage="1" sqref="AM46:AS46 BD18:BJ18 BL18:BR18 AV25:BB25 BD25:BJ25 BL25:BR25 BT25:BZ25 AV32:BB32 BD32:BJ32 BL32:BR32 BT32:BZ32 AV39:BB39 BD39:BJ39 BL39:BR39 BT39:BZ39 AV46:BB46 BD46:BJ46 BL46:BR46 BT46:BZ46 W18:AC18 AE18:AK18 O25:U25 W25:AC25 AE25:AK25 AM25:AS25 O32:U32 W32:AC32 AE32:AK32 AM32:AS32 O39:U39 W39:AC39 AE39:AK39 AM39:AS39 O46:U46 W46:AC46 AE46:AK46" xr:uid="{00000000-0002-0000-0100-000003000000}">
      <formula1>IF(O18&lt;&gt;"",OFFSET(f_dim,MATCH(O18&amp;"*",f_dim,0)-1,,COUNTIF(f_dim,O18&amp;"*"),1),f_dim)</formula1>
    </dataValidation>
    <dataValidation type="list" allowBlank="1" showInputMessage="1" sqref="AP45:AS45 BG17:BJ17 BO17:BR17 AY24:BB24 BG24:BJ24 BO24:BR24 BW24:BZ24 AY31:BB31 BG31:BJ31 BO31:BR31 BW31:BZ31 AY38:BB38 BG38:BJ38 BO38:BR38 BW38:BZ38 AY45:BB45 BG45:BJ45 BO45:BR45 BW45:BZ45 Z17:AC17 AH17:AK17 R24:U24 Z24:AC24 AH24:AK24 AP24:AS24 R31:U31 Z31:AC31 AH31:AK31 AP31:AS31 R38:U38 Z38:AC38 AH38:AK38 AP38:AS38 R45:U45 Z45:AC45 AH45:AK45" xr:uid="{00000000-0002-0000-0100-000004000000}">
      <formula1>IF(R17&lt;&gt;"",OFFSET(f_prof,MATCH(R17&amp;"*",f_prof,0)-1,,COUNTIF(f_prof,R17&amp;"*"),1),f_prof)</formula1>
    </dataValidation>
    <dataValidation type="list" allowBlank="1" showInputMessage="1" sqref="BT45:BV45 O38:Q38 W17:Y17 AE17:AG17 O24:Q24 W24:Y24 AE24:AG24 AM24:AO24 O31:Q31 W31:Y31 AE31:AG31 AM31:AO31 W38:Y38 AE38:AG38 AM38:AO38 O45:Q45 W45:Y45 AE45:AG45 AM45:AO45 BD17:BF17 BL17:BN17 AV24:AX24 BD24:BF24 BL24:BN24 BT24:BV24 AV31:AX31 BD31:BF31 BL31:BN31 BT31:BV31 AV38:AX38 BD38:BF38 BL38:BN38 BT38:BV38 AV45:AX45 BD45:BF45 BL45:BN45" xr:uid="{00000000-0002-0000-0100-000005000000}">
      <formula1>IF(O17&lt;&gt;"",OFFSET(f_marque,MATCH(O17&amp;"*",f_marque,0)-1,,COUNTIF(f_marque,O17&amp;"*"),1),f_marque)</formula1>
    </dataValidation>
  </dataValidations>
  <pageMargins left="0.70866141732283472" right="0.70866141732283472" top="0.74803149606299213" bottom="0.74803149606299213" header="0.31496062992125984" footer="0.31496062992125984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30" r:id="rId4" name="CheckBox1">
          <controlPr defaultSize="0" autoLine="0" r:id="rId5">
            <anchor moveWithCells="1">
              <from>
                <xdr:col>54</xdr:col>
                <xdr:colOff>38100</xdr:colOff>
                <xdr:row>14</xdr:row>
                <xdr:rowOff>28575</xdr:rowOff>
              </from>
              <to>
                <xdr:col>54</xdr:col>
                <xdr:colOff>200025</xdr:colOff>
                <xdr:row>14</xdr:row>
                <xdr:rowOff>171450</xdr:rowOff>
              </to>
            </anchor>
          </controlPr>
        </control>
      </mc:Choice>
      <mc:Fallback>
        <control shapeId="1030" r:id="rId4" name="CheckBox1"/>
      </mc:Fallback>
    </mc:AlternateContent>
    <mc:AlternateContent xmlns:mc="http://schemas.openxmlformats.org/markup-compatibility/2006">
      <mc:Choice Requires="x14">
        <control shapeId="1031" r:id="rId6" name="CheckBox2">
          <controlPr defaultSize="0" autoLine="0" r:id="rId7">
            <anchor moveWithCells="1">
              <from>
                <xdr:col>70</xdr:col>
                <xdr:colOff>47625</xdr:colOff>
                <xdr:row>14</xdr:row>
                <xdr:rowOff>19050</xdr:rowOff>
              </from>
              <to>
                <xdr:col>70</xdr:col>
                <xdr:colOff>209550</xdr:colOff>
                <xdr:row>14</xdr:row>
                <xdr:rowOff>161925</xdr:rowOff>
              </to>
            </anchor>
          </controlPr>
        </control>
      </mc:Choice>
      <mc:Fallback>
        <control shapeId="1031" r:id="rId6" name="CheckBox2"/>
      </mc:Fallback>
    </mc:AlternateContent>
    <mc:AlternateContent xmlns:mc="http://schemas.openxmlformats.org/markup-compatibility/2006">
      <mc:Choice Requires="x14">
        <control shapeId="1032" r:id="rId8" name="CheckBox3">
          <controlPr defaultSize="0" autoLine="0" r:id="rId9">
            <anchor moveWithCells="1">
              <from>
                <xdr:col>46</xdr:col>
                <xdr:colOff>47625</xdr:colOff>
                <xdr:row>21</xdr:row>
                <xdr:rowOff>9525</xdr:rowOff>
              </from>
              <to>
                <xdr:col>46</xdr:col>
                <xdr:colOff>219075</xdr:colOff>
                <xdr:row>21</xdr:row>
                <xdr:rowOff>152400</xdr:rowOff>
              </to>
            </anchor>
          </controlPr>
        </control>
      </mc:Choice>
      <mc:Fallback>
        <control shapeId="1032" r:id="rId8" name="CheckBox3"/>
      </mc:Fallback>
    </mc:AlternateContent>
    <mc:AlternateContent xmlns:mc="http://schemas.openxmlformats.org/markup-compatibility/2006">
      <mc:Choice Requires="x14">
        <control shapeId="1033" r:id="rId10" name="CheckBox4">
          <controlPr defaultSize="0" autoLine="0" r:id="rId11">
            <anchor moveWithCells="1">
              <from>
                <xdr:col>54</xdr:col>
                <xdr:colOff>47625</xdr:colOff>
                <xdr:row>21</xdr:row>
                <xdr:rowOff>9525</xdr:rowOff>
              </from>
              <to>
                <xdr:col>54</xdr:col>
                <xdr:colOff>219075</xdr:colOff>
                <xdr:row>21</xdr:row>
                <xdr:rowOff>152400</xdr:rowOff>
              </to>
            </anchor>
          </controlPr>
        </control>
      </mc:Choice>
      <mc:Fallback>
        <control shapeId="1033" r:id="rId10" name="CheckBox4"/>
      </mc:Fallback>
    </mc:AlternateContent>
    <mc:AlternateContent xmlns:mc="http://schemas.openxmlformats.org/markup-compatibility/2006">
      <mc:Choice Requires="x14">
        <control shapeId="1034" r:id="rId12" name="CheckBox5">
          <controlPr defaultSize="0" autoLine="0" r:id="rId13">
            <anchor moveWithCells="1">
              <from>
                <xdr:col>70</xdr:col>
                <xdr:colOff>38100</xdr:colOff>
                <xdr:row>21</xdr:row>
                <xdr:rowOff>9525</xdr:rowOff>
              </from>
              <to>
                <xdr:col>70</xdr:col>
                <xdr:colOff>209550</xdr:colOff>
                <xdr:row>21</xdr:row>
                <xdr:rowOff>152400</xdr:rowOff>
              </to>
            </anchor>
          </controlPr>
        </control>
      </mc:Choice>
      <mc:Fallback>
        <control shapeId="1034" r:id="rId12" name="CheckBox5"/>
      </mc:Fallback>
    </mc:AlternateContent>
    <mc:AlternateContent xmlns:mc="http://schemas.openxmlformats.org/markup-compatibility/2006">
      <mc:Choice Requires="x14">
        <control shapeId="1035" r:id="rId14" name="CheckBox6">
          <controlPr defaultSize="0" autoLine="0" r:id="rId15">
            <anchor moveWithCells="1">
              <from>
                <xdr:col>78</xdr:col>
                <xdr:colOff>28575</xdr:colOff>
                <xdr:row>21</xdr:row>
                <xdr:rowOff>9525</xdr:rowOff>
              </from>
              <to>
                <xdr:col>78</xdr:col>
                <xdr:colOff>200025</xdr:colOff>
                <xdr:row>21</xdr:row>
                <xdr:rowOff>152400</xdr:rowOff>
              </to>
            </anchor>
          </controlPr>
        </control>
      </mc:Choice>
      <mc:Fallback>
        <control shapeId="1035" r:id="rId14" name="CheckBox6"/>
      </mc:Fallback>
    </mc:AlternateContent>
    <mc:AlternateContent xmlns:mc="http://schemas.openxmlformats.org/markup-compatibility/2006">
      <mc:Choice Requires="x14">
        <control shapeId="1036" r:id="rId16" name="CheckBox7">
          <controlPr defaultSize="0" autoLine="0" r:id="rId17">
            <anchor moveWithCells="1">
              <from>
                <xdr:col>46</xdr:col>
                <xdr:colOff>38100</xdr:colOff>
                <xdr:row>28</xdr:row>
                <xdr:rowOff>38100</xdr:rowOff>
              </from>
              <to>
                <xdr:col>46</xdr:col>
                <xdr:colOff>219075</xdr:colOff>
                <xdr:row>29</xdr:row>
                <xdr:rowOff>0</xdr:rowOff>
              </to>
            </anchor>
          </controlPr>
        </control>
      </mc:Choice>
      <mc:Fallback>
        <control shapeId="1036" r:id="rId16" name="CheckBox7"/>
      </mc:Fallback>
    </mc:AlternateContent>
    <mc:AlternateContent xmlns:mc="http://schemas.openxmlformats.org/markup-compatibility/2006">
      <mc:Choice Requires="x14">
        <control shapeId="1037" r:id="rId18" name="CheckBox8">
          <controlPr defaultSize="0" autoLine="0" r:id="rId19">
            <anchor moveWithCells="1">
              <from>
                <xdr:col>54</xdr:col>
                <xdr:colOff>57150</xdr:colOff>
                <xdr:row>28</xdr:row>
                <xdr:rowOff>38100</xdr:rowOff>
              </from>
              <to>
                <xdr:col>54</xdr:col>
                <xdr:colOff>228600</xdr:colOff>
                <xdr:row>29</xdr:row>
                <xdr:rowOff>0</xdr:rowOff>
              </to>
            </anchor>
          </controlPr>
        </control>
      </mc:Choice>
      <mc:Fallback>
        <control shapeId="1037" r:id="rId18" name="CheckBox8"/>
      </mc:Fallback>
    </mc:AlternateContent>
    <mc:AlternateContent xmlns:mc="http://schemas.openxmlformats.org/markup-compatibility/2006">
      <mc:Choice Requires="x14">
        <control shapeId="1038" r:id="rId20" name="CheckBox9">
          <controlPr defaultSize="0" autoLine="0" r:id="rId21">
            <anchor moveWithCells="1">
              <from>
                <xdr:col>70</xdr:col>
                <xdr:colOff>38100</xdr:colOff>
                <xdr:row>28</xdr:row>
                <xdr:rowOff>38100</xdr:rowOff>
              </from>
              <to>
                <xdr:col>70</xdr:col>
                <xdr:colOff>209550</xdr:colOff>
                <xdr:row>29</xdr:row>
                <xdr:rowOff>0</xdr:rowOff>
              </to>
            </anchor>
          </controlPr>
        </control>
      </mc:Choice>
      <mc:Fallback>
        <control shapeId="1038" r:id="rId20" name="CheckBox9"/>
      </mc:Fallback>
    </mc:AlternateContent>
    <mc:AlternateContent xmlns:mc="http://schemas.openxmlformats.org/markup-compatibility/2006">
      <mc:Choice Requires="x14">
        <control shapeId="1039" r:id="rId22" name="CheckBox10">
          <controlPr defaultSize="0" autoLine="0" r:id="rId23">
            <anchor moveWithCells="1">
              <from>
                <xdr:col>78</xdr:col>
                <xdr:colOff>57150</xdr:colOff>
                <xdr:row>28</xdr:row>
                <xdr:rowOff>38100</xdr:rowOff>
              </from>
              <to>
                <xdr:col>78</xdr:col>
                <xdr:colOff>228600</xdr:colOff>
                <xdr:row>29</xdr:row>
                <xdr:rowOff>0</xdr:rowOff>
              </to>
            </anchor>
          </controlPr>
        </control>
      </mc:Choice>
      <mc:Fallback>
        <control shapeId="1039" r:id="rId22" name="CheckBox10"/>
      </mc:Fallback>
    </mc:AlternateContent>
    <mc:AlternateContent xmlns:mc="http://schemas.openxmlformats.org/markup-compatibility/2006">
      <mc:Choice Requires="x14">
        <control shapeId="1040" r:id="rId24" name="CheckBox11">
          <controlPr defaultSize="0" autoLine="0" r:id="rId25">
            <anchor moveWithCells="1">
              <from>
                <xdr:col>46</xdr:col>
                <xdr:colOff>38100</xdr:colOff>
                <xdr:row>35</xdr:row>
                <xdr:rowOff>28575</xdr:rowOff>
              </from>
              <to>
                <xdr:col>46</xdr:col>
                <xdr:colOff>219075</xdr:colOff>
                <xdr:row>35</xdr:row>
                <xdr:rowOff>171450</xdr:rowOff>
              </to>
            </anchor>
          </controlPr>
        </control>
      </mc:Choice>
      <mc:Fallback>
        <control shapeId="1040" r:id="rId24" name="CheckBox11"/>
      </mc:Fallback>
    </mc:AlternateContent>
    <mc:AlternateContent xmlns:mc="http://schemas.openxmlformats.org/markup-compatibility/2006">
      <mc:Choice Requires="x14">
        <control shapeId="1041" r:id="rId26" name="CheckBox12">
          <controlPr defaultSize="0" autoLine="0" r:id="rId27">
            <anchor moveWithCells="1">
              <from>
                <xdr:col>54</xdr:col>
                <xdr:colOff>47625</xdr:colOff>
                <xdr:row>35</xdr:row>
                <xdr:rowOff>28575</xdr:rowOff>
              </from>
              <to>
                <xdr:col>54</xdr:col>
                <xdr:colOff>228600</xdr:colOff>
                <xdr:row>35</xdr:row>
                <xdr:rowOff>171450</xdr:rowOff>
              </to>
            </anchor>
          </controlPr>
        </control>
      </mc:Choice>
      <mc:Fallback>
        <control shapeId="1041" r:id="rId26" name="CheckBox12"/>
      </mc:Fallback>
    </mc:AlternateContent>
    <mc:AlternateContent xmlns:mc="http://schemas.openxmlformats.org/markup-compatibility/2006">
      <mc:Choice Requires="x14">
        <control shapeId="1042" r:id="rId28" name="CheckBox13">
          <controlPr defaultSize="0" autoLine="0" r:id="rId29">
            <anchor moveWithCells="1">
              <from>
                <xdr:col>70</xdr:col>
                <xdr:colOff>38100</xdr:colOff>
                <xdr:row>35</xdr:row>
                <xdr:rowOff>28575</xdr:rowOff>
              </from>
              <to>
                <xdr:col>70</xdr:col>
                <xdr:colOff>219075</xdr:colOff>
                <xdr:row>35</xdr:row>
                <xdr:rowOff>171450</xdr:rowOff>
              </to>
            </anchor>
          </controlPr>
        </control>
      </mc:Choice>
      <mc:Fallback>
        <control shapeId="1042" r:id="rId28" name="CheckBox13"/>
      </mc:Fallback>
    </mc:AlternateContent>
    <mc:AlternateContent xmlns:mc="http://schemas.openxmlformats.org/markup-compatibility/2006">
      <mc:Choice Requires="x14">
        <control shapeId="1043" r:id="rId30" name="CheckBox14">
          <controlPr defaultSize="0" autoLine="0" r:id="rId31">
            <anchor moveWithCells="1">
              <from>
                <xdr:col>78</xdr:col>
                <xdr:colOff>47625</xdr:colOff>
                <xdr:row>35</xdr:row>
                <xdr:rowOff>28575</xdr:rowOff>
              </from>
              <to>
                <xdr:col>78</xdr:col>
                <xdr:colOff>228600</xdr:colOff>
                <xdr:row>35</xdr:row>
                <xdr:rowOff>171450</xdr:rowOff>
              </to>
            </anchor>
          </controlPr>
        </control>
      </mc:Choice>
      <mc:Fallback>
        <control shapeId="1043" r:id="rId30" name="CheckBox14"/>
      </mc:Fallback>
    </mc:AlternateContent>
    <mc:AlternateContent xmlns:mc="http://schemas.openxmlformats.org/markup-compatibility/2006">
      <mc:Choice Requires="x14">
        <control shapeId="1044" r:id="rId32" name="CheckBox15">
          <controlPr defaultSize="0" autoLine="0" r:id="rId33">
            <anchor moveWithCells="1">
              <from>
                <xdr:col>46</xdr:col>
                <xdr:colOff>28575</xdr:colOff>
                <xdr:row>42</xdr:row>
                <xdr:rowOff>47625</xdr:rowOff>
              </from>
              <to>
                <xdr:col>46</xdr:col>
                <xdr:colOff>219075</xdr:colOff>
                <xdr:row>43</xdr:row>
                <xdr:rowOff>9525</xdr:rowOff>
              </to>
            </anchor>
          </controlPr>
        </control>
      </mc:Choice>
      <mc:Fallback>
        <control shapeId="1044" r:id="rId32" name="CheckBox15"/>
      </mc:Fallback>
    </mc:AlternateContent>
    <mc:AlternateContent xmlns:mc="http://schemas.openxmlformats.org/markup-compatibility/2006">
      <mc:Choice Requires="x14">
        <control shapeId="1045" r:id="rId34" name="CheckBox16">
          <controlPr defaultSize="0" autoLine="0" r:id="rId35">
            <anchor moveWithCells="1">
              <from>
                <xdr:col>54</xdr:col>
                <xdr:colOff>38100</xdr:colOff>
                <xdr:row>42</xdr:row>
                <xdr:rowOff>28575</xdr:rowOff>
              </from>
              <to>
                <xdr:col>54</xdr:col>
                <xdr:colOff>228600</xdr:colOff>
                <xdr:row>42</xdr:row>
                <xdr:rowOff>171450</xdr:rowOff>
              </to>
            </anchor>
          </controlPr>
        </control>
      </mc:Choice>
      <mc:Fallback>
        <control shapeId="1045" r:id="rId34" name="CheckBox16"/>
      </mc:Fallback>
    </mc:AlternateContent>
    <mc:AlternateContent xmlns:mc="http://schemas.openxmlformats.org/markup-compatibility/2006">
      <mc:Choice Requires="x14">
        <control shapeId="1046" r:id="rId36" name="CheckBox17">
          <controlPr defaultSize="0" autoLine="0" r:id="rId37">
            <anchor moveWithCells="1">
              <from>
                <xdr:col>70</xdr:col>
                <xdr:colOff>28575</xdr:colOff>
                <xdr:row>42</xdr:row>
                <xdr:rowOff>28575</xdr:rowOff>
              </from>
              <to>
                <xdr:col>70</xdr:col>
                <xdr:colOff>228600</xdr:colOff>
                <xdr:row>42</xdr:row>
                <xdr:rowOff>171450</xdr:rowOff>
              </to>
            </anchor>
          </controlPr>
        </control>
      </mc:Choice>
      <mc:Fallback>
        <control shapeId="1046" r:id="rId36" name="CheckBox17"/>
      </mc:Fallback>
    </mc:AlternateContent>
    <mc:AlternateContent xmlns:mc="http://schemas.openxmlformats.org/markup-compatibility/2006">
      <mc:Choice Requires="x14">
        <control shapeId="1047" r:id="rId38" name="CheckBox18">
          <controlPr defaultSize="0" autoLine="0" r:id="rId39">
            <anchor moveWithCells="1">
              <from>
                <xdr:col>78</xdr:col>
                <xdr:colOff>47625</xdr:colOff>
                <xdr:row>42</xdr:row>
                <xdr:rowOff>28575</xdr:rowOff>
              </from>
              <to>
                <xdr:col>79</xdr:col>
                <xdr:colOff>4763</xdr:colOff>
                <xdr:row>42</xdr:row>
                <xdr:rowOff>171450</xdr:rowOff>
              </to>
            </anchor>
          </controlPr>
        </control>
      </mc:Choice>
      <mc:Fallback>
        <control shapeId="1047" r:id="rId38" name="CheckBox18"/>
      </mc:Fallback>
    </mc:AlternateContent>
    <mc:AlternateContent xmlns:mc="http://schemas.openxmlformats.org/markup-compatibility/2006">
      <mc:Choice Requires="x14">
        <control shapeId="1048" r:id="rId40" name="CheckBox19">
          <controlPr defaultSize="0" autoLine="0" r:id="rId41">
            <anchor moveWithCells="1">
              <from>
                <xdr:col>21</xdr:col>
                <xdr:colOff>38100</xdr:colOff>
                <xdr:row>14</xdr:row>
                <xdr:rowOff>28575</xdr:rowOff>
              </from>
              <to>
                <xdr:col>21</xdr:col>
                <xdr:colOff>200025</xdr:colOff>
                <xdr:row>14</xdr:row>
                <xdr:rowOff>171450</xdr:rowOff>
              </to>
            </anchor>
          </controlPr>
        </control>
      </mc:Choice>
      <mc:Fallback>
        <control shapeId="1048" r:id="rId40" name="CheckBox19"/>
      </mc:Fallback>
    </mc:AlternateContent>
    <mc:AlternateContent xmlns:mc="http://schemas.openxmlformats.org/markup-compatibility/2006">
      <mc:Choice Requires="x14">
        <control shapeId="1049" r:id="rId42" name="CheckBox20">
          <controlPr defaultSize="0" autoLine="0" r:id="rId43">
            <anchor moveWithCells="1">
              <from>
                <xdr:col>37</xdr:col>
                <xdr:colOff>38100</xdr:colOff>
                <xdr:row>14</xdr:row>
                <xdr:rowOff>28575</xdr:rowOff>
              </from>
              <to>
                <xdr:col>37</xdr:col>
                <xdr:colOff>238125</xdr:colOff>
                <xdr:row>14</xdr:row>
                <xdr:rowOff>171450</xdr:rowOff>
              </to>
            </anchor>
          </controlPr>
        </control>
      </mc:Choice>
      <mc:Fallback>
        <control shapeId="1049" r:id="rId42" name="CheckBox20"/>
      </mc:Fallback>
    </mc:AlternateContent>
    <mc:AlternateContent xmlns:mc="http://schemas.openxmlformats.org/markup-compatibility/2006">
      <mc:Choice Requires="x14">
        <control shapeId="1050" r:id="rId44" name="CheckBox21">
          <controlPr defaultSize="0" autoLine="0" r:id="rId45">
            <anchor moveWithCells="1">
              <from>
                <xdr:col>13</xdr:col>
                <xdr:colOff>47625</xdr:colOff>
                <xdr:row>21</xdr:row>
                <xdr:rowOff>9525</xdr:rowOff>
              </from>
              <to>
                <xdr:col>13</xdr:col>
                <xdr:colOff>209550</xdr:colOff>
                <xdr:row>21</xdr:row>
                <xdr:rowOff>152400</xdr:rowOff>
              </to>
            </anchor>
          </controlPr>
        </control>
      </mc:Choice>
      <mc:Fallback>
        <control shapeId="1050" r:id="rId44" name="CheckBox21"/>
      </mc:Fallback>
    </mc:AlternateContent>
    <mc:AlternateContent xmlns:mc="http://schemas.openxmlformats.org/markup-compatibility/2006">
      <mc:Choice Requires="x14">
        <control shapeId="1051" r:id="rId46" name="CheckBox22">
          <controlPr defaultSize="0" autoLine="0" r:id="rId47">
            <anchor moveWithCells="1">
              <from>
                <xdr:col>21</xdr:col>
                <xdr:colOff>57150</xdr:colOff>
                <xdr:row>21</xdr:row>
                <xdr:rowOff>9525</xdr:rowOff>
              </from>
              <to>
                <xdr:col>21</xdr:col>
                <xdr:colOff>219075</xdr:colOff>
                <xdr:row>21</xdr:row>
                <xdr:rowOff>152400</xdr:rowOff>
              </to>
            </anchor>
          </controlPr>
        </control>
      </mc:Choice>
      <mc:Fallback>
        <control shapeId="1051" r:id="rId46" name="CheckBox22"/>
      </mc:Fallback>
    </mc:AlternateContent>
    <mc:AlternateContent xmlns:mc="http://schemas.openxmlformats.org/markup-compatibility/2006">
      <mc:Choice Requires="x14">
        <control shapeId="1052" r:id="rId48" name="CheckBox23">
          <controlPr defaultSize="0" autoLine="0" r:id="rId49">
            <anchor moveWithCells="1">
              <from>
                <xdr:col>37</xdr:col>
                <xdr:colOff>38100</xdr:colOff>
                <xdr:row>21</xdr:row>
                <xdr:rowOff>9525</xdr:rowOff>
              </from>
              <to>
                <xdr:col>37</xdr:col>
                <xdr:colOff>200025</xdr:colOff>
                <xdr:row>21</xdr:row>
                <xdr:rowOff>152400</xdr:rowOff>
              </to>
            </anchor>
          </controlPr>
        </control>
      </mc:Choice>
      <mc:Fallback>
        <control shapeId="1052" r:id="rId48" name="CheckBox23"/>
      </mc:Fallback>
    </mc:AlternateContent>
    <mc:AlternateContent xmlns:mc="http://schemas.openxmlformats.org/markup-compatibility/2006">
      <mc:Choice Requires="x14">
        <control shapeId="1053" r:id="rId50" name="CheckBox24">
          <controlPr defaultSize="0" autoLine="0" r:id="rId51">
            <anchor moveWithCells="1">
              <from>
                <xdr:col>45</xdr:col>
                <xdr:colOff>28575</xdr:colOff>
                <xdr:row>21</xdr:row>
                <xdr:rowOff>9525</xdr:rowOff>
              </from>
              <to>
                <xdr:col>45</xdr:col>
                <xdr:colOff>190500</xdr:colOff>
                <xdr:row>21</xdr:row>
                <xdr:rowOff>152400</xdr:rowOff>
              </to>
            </anchor>
          </controlPr>
        </control>
      </mc:Choice>
      <mc:Fallback>
        <control shapeId="1053" r:id="rId50" name="CheckBox24"/>
      </mc:Fallback>
    </mc:AlternateContent>
    <mc:AlternateContent xmlns:mc="http://schemas.openxmlformats.org/markup-compatibility/2006">
      <mc:Choice Requires="x14">
        <control shapeId="1054" r:id="rId52" name="CheckBox25">
          <controlPr defaultSize="0" autoLine="0" r:id="rId53">
            <anchor moveWithCells="1">
              <from>
                <xdr:col>13</xdr:col>
                <xdr:colOff>57150</xdr:colOff>
                <xdr:row>28</xdr:row>
                <xdr:rowOff>38100</xdr:rowOff>
              </from>
              <to>
                <xdr:col>13</xdr:col>
                <xdr:colOff>219075</xdr:colOff>
                <xdr:row>29</xdr:row>
                <xdr:rowOff>0</xdr:rowOff>
              </to>
            </anchor>
          </controlPr>
        </control>
      </mc:Choice>
      <mc:Fallback>
        <control shapeId="1054" r:id="rId52" name="CheckBox25"/>
      </mc:Fallback>
    </mc:AlternateContent>
    <mc:AlternateContent xmlns:mc="http://schemas.openxmlformats.org/markup-compatibility/2006">
      <mc:Choice Requires="x14">
        <control shapeId="1055" r:id="rId54" name="CheckBox26">
          <controlPr defaultSize="0" autoLine="0" r:id="rId55">
            <anchor moveWithCells="1">
              <from>
                <xdr:col>21</xdr:col>
                <xdr:colOff>47625</xdr:colOff>
                <xdr:row>28</xdr:row>
                <xdr:rowOff>38100</xdr:rowOff>
              </from>
              <to>
                <xdr:col>21</xdr:col>
                <xdr:colOff>209550</xdr:colOff>
                <xdr:row>29</xdr:row>
                <xdr:rowOff>0</xdr:rowOff>
              </to>
            </anchor>
          </controlPr>
        </control>
      </mc:Choice>
      <mc:Fallback>
        <control shapeId="1055" r:id="rId54" name="CheckBox26"/>
      </mc:Fallback>
    </mc:AlternateContent>
    <mc:AlternateContent xmlns:mc="http://schemas.openxmlformats.org/markup-compatibility/2006">
      <mc:Choice Requires="x14">
        <control shapeId="1056" r:id="rId56" name="CheckBox27">
          <controlPr defaultSize="0" autoLine="0" r:id="rId57">
            <anchor moveWithCells="1">
              <from>
                <xdr:col>37</xdr:col>
                <xdr:colOff>38100</xdr:colOff>
                <xdr:row>28</xdr:row>
                <xdr:rowOff>38100</xdr:rowOff>
              </from>
              <to>
                <xdr:col>37</xdr:col>
                <xdr:colOff>209550</xdr:colOff>
                <xdr:row>29</xdr:row>
                <xdr:rowOff>0</xdr:rowOff>
              </to>
            </anchor>
          </controlPr>
        </control>
      </mc:Choice>
      <mc:Fallback>
        <control shapeId="1056" r:id="rId56" name="CheckBox27"/>
      </mc:Fallback>
    </mc:AlternateContent>
    <mc:AlternateContent xmlns:mc="http://schemas.openxmlformats.org/markup-compatibility/2006">
      <mc:Choice Requires="x14">
        <control shapeId="1057" r:id="rId58" name="CheckBox28">
          <controlPr defaultSize="0" autoLine="0" r:id="rId59">
            <anchor moveWithCells="1">
              <from>
                <xdr:col>45</xdr:col>
                <xdr:colOff>28575</xdr:colOff>
                <xdr:row>28</xdr:row>
                <xdr:rowOff>38100</xdr:rowOff>
              </from>
              <to>
                <xdr:col>45</xdr:col>
                <xdr:colOff>200025</xdr:colOff>
                <xdr:row>29</xdr:row>
                <xdr:rowOff>0</xdr:rowOff>
              </to>
            </anchor>
          </controlPr>
        </control>
      </mc:Choice>
      <mc:Fallback>
        <control shapeId="1057" r:id="rId58" name="CheckBox28"/>
      </mc:Fallback>
    </mc:AlternateContent>
    <mc:AlternateContent xmlns:mc="http://schemas.openxmlformats.org/markup-compatibility/2006">
      <mc:Choice Requires="x14">
        <control shapeId="1058" r:id="rId60" name="CheckBox29">
          <controlPr defaultSize="0" autoLine="0" r:id="rId61">
            <anchor moveWithCells="1">
              <from>
                <xdr:col>13</xdr:col>
                <xdr:colOff>47625</xdr:colOff>
                <xdr:row>35</xdr:row>
                <xdr:rowOff>38100</xdr:rowOff>
              </from>
              <to>
                <xdr:col>13</xdr:col>
                <xdr:colOff>219075</xdr:colOff>
                <xdr:row>36</xdr:row>
                <xdr:rowOff>0</xdr:rowOff>
              </to>
            </anchor>
          </controlPr>
        </control>
      </mc:Choice>
      <mc:Fallback>
        <control shapeId="1058" r:id="rId60" name="CheckBox29"/>
      </mc:Fallback>
    </mc:AlternateContent>
    <mc:AlternateContent xmlns:mc="http://schemas.openxmlformats.org/markup-compatibility/2006">
      <mc:Choice Requires="x14">
        <control shapeId="1059" r:id="rId62" name="CheckBox30">
          <controlPr defaultSize="0" autoLine="0" r:id="rId63">
            <anchor moveWithCells="1">
              <from>
                <xdr:col>21</xdr:col>
                <xdr:colOff>57150</xdr:colOff>
                <xdr:row>35</xdr:row>
                <xdr:rowOff>38100</xdr:rowOff>
              </from>
              <to>
                <xdr:col>21</xdr:col>
                <xdr:colOff>228600</xdr:colOff>
                <xdr:row>36</xdr:row>
                <xdr:rowOff>0</xdr:rowOff>
              </to>
            </anchor>
          </controlPr>
        </control>
      </mc:Choice>
      <mc:Fallback>
        <control shapeId="1059" r:id="rId62" name="CheckBox30"/>
      </mc:Fallback>
    </mc:AlternateContent>
    <mc:AlternateContent xmlns:mc="http://schemas.openxmlformats.org/markup-compatibility/2006">
      <mc:Choice Requires="x14">
        <control shapeId="1060" r:id="rId64" name="CheckBox31">
          <controlPr defaultSize="0" autoLine="0" r:id="rId65">
            <anchor moveWithCells="1">
              <from>
                <xdr:col>37</xdr:col>
                <xdr:colOff>28575</xdr:colOff>
                <xdr:row>35</xdr:row>
                <xdr:rowOff>38100</xdr:rowOff>
              </from>
              <to>
                <xdr:col>37</xdr:col>
                <xdr:colOff>200025</xdr:colOff>
                <xdr:row>36</xdr:row>
                <xdr:rowOff>0</xdr:rowOff>
              </to>
            </anchor>
          </controlPr>
        </control>
      </mc:Choice>
      <mc:Fallback>
        <control shapeId="1060" r:id="rId64" name="CheckBox31"/>
      </mc:Fallback>
    </mc:AlternateContent>
    <mc:AlternateContent xmlns:mc="http://schemas.openxmlformats.org/markup-compatibility/2006">
      <mc:Choice Requires="x14">
        <control shapeId="1061" r:id="rId66" name="CheckBox32">
          <controlPr defaultSize="0" autoLine="0" r:id="rId67">
            <anchor moveWithCells="1">
              <from>
                <xdr:col>45</xdr:col>
                <xdr:colOff>28575</xdr:colOff>
                <xdr:row>35</xdr:row>
                <xdr:rowOff>38100</xdr:rowOff>
              </from>
              <to>
                <xdr:col>45</xdr:col>
                <xdr:colOff>200025</xdr:colOff>
                <xdr:row>36</xdr:row>
                <xdr:rowOff>0</xdr:rowOff>
              </to>
            </anchor>
          </controlPr>
        </control>
      </mc:Choice>
      <mc:Fallback>
        <control shapeId="1061" r:id="rId66" name="CheckBox32"/>
      </mc:Fallback>
    </mc:AlternateContent>
    <mc:AlternateContent xmlns:mc="http://schemas.openxmlformats.org/markup-compatibility/2006">
      <mc:Choice Requires="x14">
        <control shapeId="1062" r:id="rId68" name="CheckBox33">
          <controlPr defaultSize="0" autoLine="0" r:id="rId69">
            <anchor moveWithCells="1">
              <from>
                <xdr:col>13</xdr:col>
                <xdr:colOff>57150</xdr:colOff>
                <xdr:row>42</xdr:row>
                <xdr:rowOff>47625</xdr:rowOff>
              </from>
              <to>
                <xdr:col>13</xdr:col>
                <xdr:colOff>228600</xdr:colOff>
                <xdr:row>43</xdr:row>
                <xdr:rowOff>9525</xdr:rowOff>
              </to>
            </anchor>
          </controlPr>
        </control>
      </mc:Choice>
      <mc:Fallback>
        <control shapeId="1062" r:id="rId68" name="CheckBox33"/>
      </mc:Fallback>
    </mc:AlternateContent>
    <mc:AlternateContent xmlns:mc="http://schemas.openxmlformats.org/markup-compatibility/2006">
      <mc:Choice Requires="x14">
        <control shapeId="1063" r:id="rId70" name="CheckBox34">
          <controlPr defaultSize="0" autoLine="0" r:id="rId71">
            <anchor moveWithCells="1">
              <from>
                <xdr:col>21</xdr:col>
                <xdr:colOff>47625</xdr:colOff>
                <xdr:row>42</xdr:row>
                <xdr:rowOff>47625</xdr:rowOff>
              </from>
              <to>
                <xdr:col>21</xdr:col>
                <xdr:colOff>219075</xdr:colOff>
                <xdr:row>43</xdr:row>
                <xdr:rowOff>9525</xdr:rowOff>
              </to>
            </anchor>
          </controlPr>
        </control>
      </mc:Choice>
      <mc:Fallback>
        <control shapeId="1063" r:id="rId70" name="CheckBox34"/>
      </mc:Fallback>
    </mc:AlternateContent>
    <mc:AlternateContent xmlns:mc="http://schemas.openxmlformats.org/markup-compatibility/2006">
      <mc:Choice Requires="x14">
        <control shapeId="1064" r:id="rId72" name="CheckBox35">
          <controlPr defaultSize="0" autoLine="0" r:id="rId73">
            <anchor moveWithCells="1">
              <from>
                <xdr:col>37</xdr:col>
                <xdr:colOff>57150</xdr:colOff>
                <xdr:row>42</xdr:row>
                <xdr:rowOff>47625</xdr:rowOff>
              </from>
              <to>
                <xdr:col>37</xdr:col>
                <xdr:colOff>228600</xdr:colOff>
                <xdr:row>43</xdr:row>
                <xdr:rowOff>9525</xdr:rowOff>
              </to>
            </anchor>
          </controlPr>
        </control>
      </mc:Choice>
      <mc:Fallback>
        <control shapeId="1064" r:id="rId72" name="CheckBox35"/>
      </mc:Fallback>
    </mc:AlternateContent>
    <mc:AlternateContent xmlns:mc="http://schemas.openxmlformats.org/markup-compatibility/2006">
      <mc:Choice Requires="x14">
        <control shapeId="1065" r:id="rId74" name="CheckBox36">
          <controlPr defaultSize="0" autoLine="0" r:id="rId75">
            <anchor moveWithCells="1">
              <from>
                <xdr:col>45</xdr:col>
                <xdr:colOff>28575</xdr:colOff>
                <xdr:row>42</xdr:row>
                <xdr:rowOff>47625</xdr:rowOff>
              </from>
              <to>
                <xdr:col>45</xdr:col>
                <xdr:colOff>200025</xdr:colOff>
                <xdr:row>43</xdr:row>
                <xdr:rowOff>9525</xdr:rowOff>
              </to>
            </anchor>
          </controlPr>
        </control>
      </mc:Choice>
      <mc:Fallback>
        <control shapeId="1065" r:id="rId74" name="CheckBox36"/>
      </mc:Fallback>
    </mc:AlternateContent>
    <mc:AlternateContent xmlns:mc="http://schemas.openxmlformats.org/markup-compatibility/2006">
      <mc:Choice Requires="x14">
        <control shapeId="1066" r:id="rId76" name="Button 42">
          <controlPr defaultSize="0" print="0" autoFill="0" autoPict="0" macro="[0]!Enregistrer">
            <anchor moveWithCells="1" sizeWithCells="1">
              <from>
                <xdr:col>80</xdr:col>
                <xdr:colOff>66675</xdr:colOff>
                <xdr:row>12</xdr:row>
                <xdr:rowOff>19050</xdr:rowOff>
              </from>
              <to>
                <xdr:col>85</xdr:col>
                <xdr:colOff>142875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77" name="Button 47">
          <controlPr defaultSize="0" print="0" autoFill="0" autoPict="0" macro="[0]!Buttonchercher">
            <anchor moveWithCells="1" sizeWithCells="1">
              <from>
                <xdr:col>80</xdr:col>
                <xdr:colOff>66675</xdr:colOff>
                <xdr:row>14</xdr:row>
                <xdr:rowOff>142875</xdr:rowOff>
              </from>
              <to>
                <xdr:col>85</xdr:col>
                <xdr:colOff>142875</xdr:colOff>
                <xdr:row>16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78" name="Button 48">
          <controlPr defaultSize="0" print="0" autoFill="0" autoPict="0" macro="[0]!SavePdf">
            <anchor moveWithCells="1" sizeWithCells="1">
              <from>
                <xdr:col>80</xdr:col>
                <xdr:colOff>66675</xdr:colOff>
                <xdr:row>17</xdr:row>
                <xdr:rowOff>85725</xdr:rowOff>
              </from>
              <to>
                <xdr:col>85</xdr:col>
                <xdr:colOff>142875</xdr:colOff>
                <xdr:row>19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79" name="Button 49">
          <controlPr defaultSize="0" print="0" autoFill="0" autoPict="0" macro="[0]!printer">
            <anchor moveWithCells="1" sizeWithCells="1">
              <from>
                <xdr:col>80</xdr:col>
                <xdr:colOff>66675</xdr:colOff>
                <xdr:row>20</xdr:row>
                <xdr:rowOff>28575</xdr:rowOff>
              </from>
              <to>
                <xdr:col>85</xdr:col>
                <xdr:colOff>133350</xdr:colOff>
                <xdr:row>22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80" name="Button 50">
          <controlPr defaultSize="0" print="0" autoFill="0" autoPict="0" macro="[0]!ClearSheet">
            <anchor moveWithCells="1" sizeWithCells="1">
              <from>
                <xdr:col>80</xdr:col>
                <xdr:colOff>66675</xdr:colOff>
                <xdr:row>22</xdr:row>
                <xdr:rowOff>142875</xdr:rowOff>
              </from>
              <to>
                <xdr:col>85</xdr:col>
                <xdr:colOff>133350</xdr:colOff>
                <xdr:row>24</xdr:row>
                <xdr:rowOff>85725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00000000-0002-0000-0100-000006000000}">
          <x14:formula1>
            <xm:f>Data!$A$2:$A$18</xm:f>
          </x14:formula1>
          <xm:sqref>AD8:AL8</xm:sqref>
        </x14:dataValidation>
        <x14:dataValidation type="list" allowBlank="1" showInputMessage="1" xr:uid="{00000000-0002-0000-0100-000007000000}">
          <x14:formula1>
            <xm:f>Data!$C$2:$C$10</xm:f>
          </x14:formula1>
          <xm:sqref>AD10:AL10</xm:sqref>
        </x14:dataValidation>
        <x14:dataValidation type="list" allowBlank="1" showInputMessage="1" showErrorMessage="1" xr:uid="{00000000-0002-0000-0100-000008000000}">
          <x14:formula1>
            <xm:f>Data!$B$2:$B$9</xm:f>
          </x14:formula1>
          <xm:sqref>AW6:BE6</xm:sqref>
        </x14:dataValidation>
        <x14:dataValidation type="list" allowBlank="1" showInputMessage="1" xr:uid="{00000000-0002-0000-0100-000009000000}">
          <x14:formula1>
            <xm:f>Data!$L$2:$L$5</xm:f>
          </x14:formula1>
          <xm:sqref>BO10:BW10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/>
  </sheetPr>
  <dimension ref="A1:M111"/>
  <sheetViews>
    <sheetView topLeftCell="A86" zoomScale="70" zoomScaleNormal="70" workbookViewId="0">
      <selection activeCell="F96" sqref="F96"/>
    </sheetView>
  </sheetViews>
  <sheetFormatPr defaultColWidth="9.1328125" defaultRowHeight="14.25" x14ac:dyDescent="0.45"/>
  <cols>
    <col min="1" max="1" width="6" customWidth="1"/>
    <col min="2" max="2" width="22.73046875" style="21" bestFit="1" customWidth="1"/>
    <col min="3" max="3" width="19" customWidth="1"/>
    <col min="4" max="4" width="7.265625" customWidth="1"/>
    <col min="5" max="5" width="23.265625" customWidth="1"/>
    <col min="6" max="8" width="18.1328125" customWidth="1"/>
    <col min="9" max="9" width="15.3984375" customWidth="1"/>
    <col min="10" max="10" width="21" customWidth="1"/>
    <col min="11" max="11" width="19.1328125" customWidth="1"/>
    <col min="12" max="12" width="15.3984375" style="99" customWidth="1"/>
    <col min="13" max="13" width="17" bestFit="1" customWidth="1"/>
  </cols>
  <sheetData>
    <row r="1" spans="1:13" x14ac:dyDescent="0.45">
      <c r="A1" s="16" t="s">
        <v>13</v>
      </c>
      <c r="B1" s="19" t="s">
        <v>18</v>
      </c>
      <c r="C1" s="17" t="s">
        <v>0</v>
      </c>
      <c r="D1" s="17" t="s">
        <v>15</v>
      </c>
      <c r="E1" s="17" t="s">
        <v>14</v>
      </c>
      <c r="F1" s="17" t="s">
        <v>33</v>
      </c>
      <c r="G1" s="17" t="s">
        <v>34</v>
      </c>
      <c r="H1" s="17" t="s">
        <v>69</v>
      </c>
      <c r="I1" s="17" t="s">
        <v>35</v>
      </c>
      <c r="J1" s="17" t="s">
        <v>305</v>
      </c>
      <c r="K1" s="17" t="s">
        <v>16</v>
      </c>
      <c r="L1" s="97" t="s">
        <v>17</v>
      </c>
      <c r="M1" s="17" t="s">
        <v>308</v>
      </c>
    </row>
    <row r="2" spans="1:13" x14ac:dyDescent="0.45">
      <c r="A2" s="22">
        <f t="shared" ref="A2:A11" si="0">ROW()-1</f>
        <v>1</v>
      </c>
      <c r="B2" s="20">
        <v>44239</v>
      </c>
      <c r="C2" s="18" t="s">
        <v>11</v>
      </c>
      <c r="D2" s="18" t="s">
        <v>19</v>
      </c>
      <c r="E2" s="18"/>
      <c r="F2" s="18"/>
      <c r="G2" s="18"/>
      <c r="H2" s="18"/>
      <c r="I2" s="18" t="s">
        <v>12</v>
      </c>
      <c r="J2" s="18"/>
      <c r="K2" s="18"/>
      <c r="L2" s="98"/>
      <c r="M2" s="17"/>
    </row>
    <row r="3" spans="1:13" x14ac:dyDescent="0.45">
      <c r="A3" s="22">
        <f t="shared" si="0"/>
        <v>2</v>
      </c>
      <c r="B3" s="20" t="s">
        <v>20</v>
      </c>
      <c r="C3" s="18" t="s">
        <v>11</v>
      </c>
      <c r="D3" s="18" t="s">
        <v>19</v>
      </c>
      <c r="E3" s="18"/>
      <c r="F3" s="18"/>
      <c r="G3" s="18"/>
      <c r="H3" s="18"/>
      <c r="I3" s="18" t="s">
        <v>21</v>
      </c>
      <c r="J3" s="18"/>
      <c r="K3" s="18"/>
      <c r="L3" s="98"/>
      <c r="M3" s="54"/>
    </row>
    <row r="4" spans="1:13" x14ac:dyDescent="0.45">
      <c r="A4" s="22">
        <f t="shared" si="0"/>
        <v>3</v>
      </c>
      <c r="B4" s="20" t="s">
        <v>23</v>
      </c>
      <c r="C4" s="18" t="s">
        <v>22</v>
      </c>
      <c r="D4" s="18"/>
      <c r="E4" s="18"/>
      <c r="F4" s="18"/>
      <c r="G4" s="18"/>
      <c r="H4" s="18"/>
      <c r="I4" s="18"/>
      <c r="J4" s="18"/>
      <c r="K4" s="18"/>
      <c r="L4" s="98"/>
      <c r="M4" s="54"/>
    </row>
    <row r="5" spans="1:13" x14ac:dyDescent="0.45">
      <c r="A5" s="22">
        <f t="shared" si="0"/>
        <v>4</v>
      </c>
      <c r="B5" s="20" t="s">
        <v>23</v>
      </c>
      <c r="C5" s="18" t="s">
        <v>24</v>
      </c>
      <c r="D5" s="18"/>
      <c r="E5" s="18"/>
      <c r="F5" s="18"/>
      <c r="G5" s="18"/>
      <c r="H5" s="18"/>
      <c r="I5" s="18"/>
      <c r="J5" s="18"/>
      <c r="K5" s="18"/>
      <c r="L5" s="98"/>
      <c r="M5" s="54"/>
    </row>
    <row r="6" spans="1:13" x14ac:dyDescent="0.45">
      <c r="A6" s="22">
        <f t="shared" si="0"/>
        <v>5</v>
      </c>
      <c r="B6" s="20" t="s">
        <v>23</v>
      </c>
      <c r="C6" s="18" t="s">
        <v>25</v>
      </c>
      <c r="D6" s="18"/>
      <c r="E6" s="18"/>
      <c r="F6" s="18"/>
      <c r="G6" s="18"/>
      <c r="H6" s="18"/>
      <c r="I6" s="18"/>
      <c r="J6" s="18"/>
      <c r="K6" s="18"/>
      <c r="L6" s="98"/>
      <c r="M6" s="54"/>
    </row>
    <row r="7" spans="1:13" x14ac:dyDescent="0.45">
      <c r="A7" s="22">
        <f t="shared" si="0"/>
        <v>6</v>
      </c>
      <c r="B7" s="20" t="s">
        <v>23</v>
      </c>
      <c r="C7" s="18" t="s">
        <v>26</v>
      </c>
      <c r="D7" s="18"/>
      <c r="E7" s="18"/>
      <c r="F7" s="18"/>
      <c r="G7" s="18"/>
      <c r="H7" s="18"/>
      <c r="I7" s="18"/>
      <c r="J7" s="18"/>
      <c r="K7" s="18"/>
      <c r="L7" s="98"/>
      <c r="M7" s="54"/>
    </row>
    <row r="8" spans="1:13" x14ac:dyDescent="0.45">
      <c r="A8" s="22">
        <f t="shared" si="0"/>
        <v>7</v>
      </c>
      <c r="B8" s="20" t="s">
        <v>23</v>
      </c>
      <c r="C8" s="18" t="s">
        <v>27</v>
      </c>
      <c r="D8" s="18"/>
      <c r="E8" s="18"/>
      <c r="F8" s="18"/>
      <c r="G8" s="18"/>
      <c r="H8" s="18"/>
      <c r="I8" s="18"/>
      <c r="J8" s="18"/>
      <c r="K8" s="18"/>
      <c r="L8" s="98"/>
      <c r="M8" s="54"/>
    </row>
    <row r="9" spans="1:13" x14ac:dyDescent="0.45">
      <c r="A9" s="22">
        <f t="shared" si="0"/>
        <v>8</v>
      </c>
      <c r="B9" s="20" t="s">
        <v>23</v>
      </c>
      <c r="C9" s="18" t="s">
        <v>27</v>
      </c>
      <c r="D9" s="18"/>
      <c r="E9" s="18"/>
      <c r="F9" s="18"/>
      <c r="G9" s="18"/>
      <c r="H9" s="18"/>
      <c r="I9" s="18" t="s">
        <v>28</v>
      </c>
      <c r="J9" s="18"/>
      <c r="K9" s="18"/>
      <c r="L9" s="98"/>
      <c r="M9" s="54"/>
    </row>
    <row r="10" spans="1:13" x14ac:dyDescent="0.45">
      <c r="A10" s="22">
        <f t="shared" si="0"/>
        <v>9</v>
      </c>
      <c r="B10" s="20" t="s">
        <v>23</v>
      </c>
      <c r="C10" s="18" t="s">
        <v>29</v>
      </c>
      <c r="D10" s="18"/>
      <c r="E10" s="18"/>
      <c r="F10" s="18"/>
      <c r="G10" s="18"/>
      <c r="H10" s="18"/>
      <c r="I10" s="18" t="s">
        <v>28</v>
      </c>
      <c r="J10" s="18"/>
      <c r="K10" s="18"/>
      <c r="L10" s="98"/>
      <c r="M10" s="54"/>
    </row>
    <row r="11" spans="1:13" x14ac:dyDescent="0.45">
      <c r="A11" s="22">
        <f t="shared" si="0"/>
        <v>10</v>
      </c>
      <c r="B11" s="20" t="s">
        <v>23</v>
      </c>
      <c r="C11" s="18" t="s">
        <v>29</v>
      </c>
      <c r="D11" s="18"/>
      <c r="E11" s="18"/>
      <c r="F11" s="18"/>
      <c r="G11" s="18"/>
      <c r="H11" s="18"/>
      <c r="I11" s="18" t="s">
        <v>30</v>
      </c>
      <c r="J11" s="18"/>
      <c r="K11" s="18"/>
      <c r="L11" s="98"/>
      <c r="M11" s="54"/>
    </row>
    <row r="12" spans="1:13" x14ac:dyDescent="0.45">
      <c r="A12" s="22">
        <f t="shared" ref="A12:A17" si="1">ROW()-1</f>
        <v>11</v>
      </c>
      <c r="B12" s="20" t="s">
        <v>32</v>
      </c>
      <c r="C12" s="18" t="s">
        <v>31</v>
      </c>
      <c r="D12" s="18"/>
      <c r="E12" s="18"/>
      <c r="F12" s="18"/>
      <c r="G12" s="18"/>
      <c r="H12" s="18"/>
      <c r="I12" s="18"/>
      <c r="J12" s="18"/>
      <c r="K12" s="18"/>
      <c r="L12" s="98"/>
      <c r="M12" s="54"/>
    </row>
    <row r="13" spans="1:13" x14ac:dyDescent="0.45">
      <c r="A13" s="22">
        <f t="shared" si="1"/>
        <v>12</v>
      </c>
      <c r="B13" s="20" t="s">
        <v>32</v>
      </c>
      <c r="C13" s="18" t="s">
        <v>31</v>
      </c>
      <c r="D13" s="18"/>
      <c r="E13" s="18"/>
      <c r="F13" s="18"/>
      <c r="G13" s="18"/>
      <c r="H13" s="18"/>
      <c r="I13" s="18">
        <v>33333</v>
      </c>
      <c r="J13" s="18"/>
      <c r="K13" s="18"/>
      <c r="L13" s="98"/>
      <c r="M13" s="54"/>
    </row>
    <row r="14" spans="1:13" x14ac:dyDescent="0.45">
      <c r="A14" s="22">
        <f t="shared" si="1"/>
        <v>13</v>
      </c>
      <c r="B14" s="20" t="s">
        <v>46</v>
      </c>
      <c r="C14" s="18" t="s">
        <v>31</v>
      </c>
      <c r="D14" s="18"/>
      <c r="E14" s="18"/>
      <c r="F14" s="18"/>
      <c r="G14" s="18"/>
      <c r="H14" s="18"/>
      <c r="I14" s="26">
        <v>3.3299999999999998E+35</v>
      </c>
      <c r="J14" s="18"/>
      <c r="K14" s="18"/>
      <c r="L14" s="98"/>
      <c r="M14" s="54"/>
    </row>
    <row r="15" spans="1:13" x14ac:dyDescent="0.45">
      <c r="A15" s="22">
        <f t="shared" si="1"/>
        <v>14</v>
      </c>
      <c r="B15" s="20" t="s">
        <v>46</v>
      </c>
      <c r="C15" s="18" t="s">
        <v>31</v>
      </c>
      <c r="D15" s="18"/>
      <c r="E15" s="18"/>
      <c r="F15" s="18"/>
      <c r="G15" s="18"/>
      <c r="H15" s="18"/>
      <c r="I15" s="18">
        <v>100</v>
      </c>
      <c r="J15" s="18"/>
      <c r="K15" s="18"/>
      <c r="L15" s="98"/>
      <c r="M15" s="54"/>
    </row>
    <row r="16" spans="1:13" x14ac:dyDescent="0.45">
      <c r="A16" s="22">
        <f t="shared" si="1"/>
        <v>15</v>
      </c>
      <c r="B16" s="27" t="s">
        <v>46</v>
      </c>
      <c r="C16" s="18" t="s">
        <v>48</v>
      </c>
      <c r="D16" s="18"/>
      <c r="E16" s="18"/>
      <c r="F16" s="18"/>
      <c r="G16" s="18"/>
      <c r="H16" s="18"/>
      <c r="I16" s="18">
        <v>100</v>
      </c>
      <c r="J16" s="18"/>
      <c r="K16" s="18"/>
      <c r="L16" s="98"/>
      <c r="M16" s="54"/>
    </row>
    <row r="17" spans="1:13" x14ac:dyDescent="0.45">
      <c r="A17" s="22">
        <f t="shared" si="1"/>
        <v>16</v>
      </c>
      <c r="B17" s="27" t="s">
        <v>46</v>
      </c>
      <c r="C17" s="18" t="s">
        <v>48</v>
      </c>
      <c r="D17" s="18"/>
      <c r="E17" s="18"/>
      <c r="F17" s="18"/>
      <c r="G17" s="18"/>
      <c r="H17" s="18"/>
      <c r="I17" s="18">
        <v>1000</v>
      </c>
      <c r="J17" s="18"/>
      <c r="K17" s="18"/>
      <c r="L17" s="98"/>
      <c r="M17" s="54"/>
    </row>
    <row r="18" spans="1:13" x14ac:dyDescent="0.45">
      <c r="A18" s="22">
        <f t="shared" ref="A18:A26" si="2">ROW()-1</f>
        <v>17</v>
      </c>
      <c r="B18" s="27" t="s">
        <v>46</v>
      </c>
      <c r="C18" s="18" t="s">
        <v>49</v>
      </c>
      <c r="D18" s="18"/>
      <c r="E18" s="18"/>
      <c r="F18" s="18"/>
      <c r="G18" s="18"/>
      <c r="H18" s="18"/>
      <c r="I18" s="18">
        <v>10000</v>
      </c>
      <c r="J18" s="18"/>
      <c r="K18" s="18"/>
      <c r="L18" s="98"/>
      <c r="M18" s="54"/>
    </row>
    <row r="19" spans="1:13" x14ac:dyDescent="0.45">
      <c r="A19" s="22">
        <f t="shared" si="2"/>
        <v>18</v>
      </c>
      <c r="B19" s="27" t="s">
        <v>46</v>
      </c>
      <c r="C19" s="18" t="s">
        <v>49</v>
      </c>
      <c r="D19" s="18"/>
      <c r="E19" s="18"/>
      <c r="F19" s="18"/>
      <c r="G19" s="18"/>
      <c r="H19" s="18"/>
      <c r="I19" s="18" t="s">
        <v>50</v>
      </c>
      <c r="J19" s="18"/>
      <c r="K19" s="18"/>
      <c r="L19" s="98"/>
      <c r="M19" s="54"/>
    </row>
    <row r="20" spans="1:13" x14ac:dyDescent="0.45">
      <c r="A20" s="22">
        <f t="shared" si="2"/>
        <v>19</v>
      </c>
      <c r="B20" s="27" t="s">
        <v>51</v>
      </c>
      <c r="C20" s="18" t="s">
        <v>49</v>
      </c>
      <c r="D20" s="18"/>
      <c r="E20" s="18"/>
      <c r="F20" s="18"/>
      <c r="G20" s="18"/>
      <c r="H20" s="18"/>
      <c r="I20" s="18" t="s">
        <v>50</v>
      </c>
      <c r="J20" s="18"/>
      <c r="K20" s="18"/>
      <c r="L20" s="98"/>
      <c r="M20" s="54"/>
    </row>
    <row r="21" spans="1:13" x14ac:dyDescent="0.45">
      <c r="A21" s="22">
        <f t="shared" si="2"/>
        <v>20</v>
      </c>
      <c r="B21" s="27" t="s">
        <v>51</v>
      </c>
      <c r="C21" s="18" t="s">
        <v>49</v>
      </c>
      <c r="D21" s="18"/>
      <c r="E21" s="18"/>
      <c r="F21" s="18"/>
      <c r="G21" s="18"/>
      <c r="H21" s="18"/>
      <c r="I21" s="18" t="s">
        <v>52</v>
      </c>
      <c r="J21" s="18"/>
      <c r="K21" s="18"/>
      <c r="L21" s="98"/>
      <c r="M21" s="54"/>
    </row>
    <row r="22" spans="1:13" x14ac:dyDescent="0.45">
      <c r="A22" s="22">
        <f t="shared" si="2"/>
        <v>21</v>
      </c>
      <c r="B22" s="27" t="s">
        <v>51</v>
      </c>
      <c r="C22" s="18" t="s">
        <v>53</v>
      </c>
      <c r="D22" s="18"/>
      <c r="E22" s="18"/>
      <c r="F22" s="18"/>
      <c r="G22" s="18"/>
      <c r="H22" s="18"/>
      <c r="I22" s="18" t="s">
        <v>52</v>
      </c>
      <c r="J22" s="18"/>
      <c r="K22" s="18"/>
      <c r="L22" s="98"/>
      <c r="M22" s="54"/>
    </row>
    <row r="23" spans="1:13" x14ac:dyDescent="0.45">
      <c r="A23" s="22">
        <f t="shared" si="2"/>
        <v>22</v>
      </c>
      <c r="B23" s="27" t="s">
        <v>51</v>
      </c>
      <c r="C23" s="18" t="s">
        <v>53</v>
      </c>
      <c r="D23" s="18"/>
      <c r="E23" s="18"/>
      <c r="F23" s="18"/>
      <c r="G23" s="18"/>
      <c r="H23" s="18"/>
      <c r="I23" s="18">
        <v>16</v>
      </c>
      <c r="J23" s="18"/>
      <c r="K23" s="18"/>
      <c r="L23" s="98"/>
      <c r="M23" s="54"/>
    </row>
    <row r="24" spans="1:13" x14ac:dyDescent="0.45">
      <c r="A24" s="22">
        <f t="shared" si="2"/>
        <v>23</v>
      </c>
      <c r="B24" s="27" t="s">
        <v>60</v>
      </c>
      <c r="C24" s="18" t="s">
        <v>53</v>
      </c>
      <c r="D24" s="18" t="s">
        <v>56</v>
      </c>
      <c r="E24" s="18" t="s">
        <v>57</v>
      </c>
      <c r="F24" s="18" t="s">
        <v>59</v>
      </c>
      <c r="G24" s="18"/>
      <c r="H24" s="18"/>
      <c r="I24" s="18">
        <v>16</v>
      </c>
      <c r="J24" s="18">
        <v>140000</v>
      </c>
      <c r="K24" s="18" t="s">
        <v>55</v>
      </c>
      <c r="L24" s="98">
        <v>0</v>
      </c>
      <c r="M24" s="54"/>
    </row>
    <row r="25" spans="1:13" x14ac:dyDescent="0.45">
      <c r="A25" s="22">
        <f t="shared" si="2"/>
        <v>24</v>
      </c>
      <c r="B25" s="27" t="s">
        <v>63</v>
      </c>
      <c r="C25" s="18" t="s">
        <v>62</v>
      </c>
      <c r="D25" s="18"/>
      <c r="E25" s="18"/>
      <c r="F25" s="18"/>
      <c r="G25" s="18"/>
      <c r="H25" s="18"/>
      <c r="I25" s="18"/>
      <c r="J25" s="18"/>
      <c r="K25" s="18"/>
      <c r="L25" s="98"/>
      <c r="M25" s="54"/>
    </row>
    <row r="26" spans="1:13" x14ac:dyDescent="0.45">
      <c r="A26" s="22">
        <f t="shared" si="2"/>
        <v>25</v>
      </c>
      <c r="B26" s="27" t="s">
        <v>63</v>
      </c>
      <c r="C26" s="18" t="s">
        <v>62</v>
      </c>
      <c r="D26" s="18"/>
      <c r="E26" s="18"/>
      <c r="F26" s="18"/>
      <c r="G26" s="18"/>
      <c r="H26" s="18"/>
      <c r="I26" s="18">
        <v>121</v>
      </c>
      <c r="J26" s="18"/>
      <c r="K26" s="18"/>
      <c r="L26" s="98"/>
      <c r="M26" s="54"/>
    </row>
    <row r="27" spans="1:13" x14ac:dyDescent="0.45">
      <c r="A27" s="22">
        <f t="shared" ref="A27:A33" si="3">ROW()-1</f>
        <v>26</v>
      </c>
      <c r="B27" s="27" t="s">
        <v>64</v>
      </c>
      <c r="C27" s="18" t="s">
        <v>11</v>
      </c>
      <c r="D27" s="18"/>
      <c r="E27" s="18"/>
      <c r="F27" s="18"/>
      <c r="G27" s="18"/>
      <c r="H27" s="18"/>
      <c r="I27" s="18"/>
      <c r="J27" s="18"/>
      <c r="K27" s="18"/>
      <c r="L27" s="98"/>
      <c r="M27" s="18"/>
    </row>
    <row r="28" spans="1:13" x14ac:dyDescent="0.45">
      <c r="A28" s="22">
        <f t="shared" si="3"/>
        <v>27</v>
      </c>
      <c r="B28" s="27" t="s">
        <v>5569</v>
      </c>
      <c r="C28" s="18" t="s">
        <v>2224</v>
      </c>
      <c r="D28" s="18"/>
      <c r="E28" s="18"/>
      <c r="F28" s="18" t="s">
        <v>70</v>
      </c>
      <c r="G28" s="18" t="s">
        <v>72</v>
      </c>
      <c r="H28" s="18" t="s">
        <v>74</v>
      </c>
      <c r="I28" s="18"/>
      <c r="J28" s="18">
        <v>120000</v>
      </c>
      <c r="K28" s="18"/>
      <c r="L28" s="98"/>
      <c r="M28" s="18"/>
    </row>
    <row r="29" spans="1:13" x14ac:dyDescent="0.45">
      <c r="A29" s="22">
        <f t="shared" si="3"/>
        <v>28</v>
      </c>
      <c r="B29" s="27" t="s">
        <v>5570</v>
      </c>
      <c r="C29" s="18" t="s">
        <v>1018</v>
      </c>
      <c r="D29" s="18" t="s">
        <v>330</v>
      </c>
      <c r="E29" s="18" t="s">
        <v>5571</v>
      </c>
      <c r="F29" s="18" t="s">
        <v>90</v>
      </c>
      <c r="G29" s="18" t="s">
        <v>72</v>
      </c>
      <c r="H29" s="18" t="s">
        <v>74</v>
      </c>
      <c r="I29" s="18" t="s">
        <v>5576</v>
      </c>
      <c r="J29" s="18">
        <v>190000</v>
      </c>
      <c r="K29" s="18" t="s">
        <v>5572</v>
      </c>
      <c r="L29" s="98"/>
      <c r="M29" s="18"/>
    </row>
    <row r="30" spans="1:13" x14ac:dyDescent="0.45">
      <c r="A30" s="22">
        <f t="shared" si="3"/>
        <v>29</v>
      </c>
      <c r="B30" s="27" t="s">
        <v>5577</v>
      </c>
      <c r="C30" s="18" t="s">
        <v>1018</v>
      </c>
      <c r="D30" s="18" t="s">
        <v>330</v>
      </c>
      <c r="E30" s="18" t="s">
        <v>5571</v>
      </c>
      <c r="F30" s="18" t="s">
        <v>90</v>
      </c>
      <c r="G30" s="18" t="s">
        <v>72</v>
      </c>
      <c r="H30" s="18" t="s">
        <v>74</v>
      </c>
      <c r="I30" s="18" t="s">
        <v>5576</v>
      </c>
      <c r="J30" s="18">
        <v>190000</v>
      </c>
      <c r="K30" s="18" t="s">
        <v>5572</v>
      </c>
      <c r="L30" s="98"/>
      <c r="M30" s="18"/>
    </row>
    <row r="31" spans="1:13" x14ac:dyDescent="0.45">
      <c r="A31" s="22">
        <f t="shared" si="3"/>
        <v>30</v>
      </c>
      <c r="B31" s="27" t="s">
        <v>5577</v>
      </c>
      <c r="C31" s="18" t="s">
        <v>1018</v>
      </c>
      <c r="D31" s="18" t="s">
        <v>330</v>
      </c>
      <c r="E31" s="18" t="s">
        <v>5571</v>
      </c>
      <c r="F31" s="18" t="s">
        <v>90</v>
      </c>
      <c r="G31" s="18" t="s">
        <v>72</v>
      </c>
      <c r="H31" s="18" t="s">
        <v>74</v>
      </c>
      <c r="I31" s="18" t="s">
        <v>5578</v>
      </c>
      <c r="J31" s="18">
        <v>190000</v>
      </c>
      <c r="K31" s="18" t="s">
        <v>5572</v>
      </c>
      <c r="L31" s="98">
        <v>661616161</v>
      </c>
      <c r="M31" s="18" t="s">
        <v>310</v>
      </c>
    </row>
    <row r="32" spans="1:13" x14ac:dyDescent="0.45">
      <c r="A32" s="22">
        <f t="shared" si="3"/>
        <v>31</v>
      </c>
      <c r="B32" s="27" t="s">
        <v>5577</v>
      </c>
      <c r="C32" s="18" t="s">
        <v>1018</v>
      </c>
      <c r="D32" s="18" t="s">
        <v>330</v>
      </c>
      <c r="E32" s="18" t="s">
        <v>5571</v>
      </c>
      <c r="F32" s="18" t="s">
        <v>90</v>
      </c>
      <c r="G32" s="18" t="s">
        <v>72</v>
      </c>
      <c r="H32" s="18" t="s">
        <v>74</v>
      </c>
      <c r="I32" s="18" t="s">
        <v>5579</v>
      </c>
      <c r="J32" s="18">
        <v>190000</v>
      </c>
      <c r="K32" s="18" t="s">
        <v>5572</v>
      </c>
      <c r="L32" s="98" t="s">
        <v>5573</v>
      </c>
      <c r="M32" s="96" t="s">
        <v>310</v>
      </c>
    </row>
    <row r="33" spans="1:13" x14ac:dyDescent="0.45">
      <c r="A33" s="22">
        <f t="shared" si="3"/>
        <v>32</v>
      </c>
      <c r="B33" s="27" t="s">
        <v>5577</v>
      </c>
      <c r="C33" s="18" t="s">
        <v>1018</v>
      </c>
      <c r="D33" s="18" t="s">
        <v>330</v>
      </c>
      <c r="E33" s="18" t="s">
        <v>5571</v>
      </c>
      <c r="F33" s="18" t="s">
        <v>90</v>
      </c>
      <c r="G33" s="18" t="s">
        <v>72</v>
      </c>
      <c r="H33" s="18" t="s">
        <v>74</v>
      </c>
      <c r="I33" s="18" t="s">
        <v>5585</v>
      </c>
      <c r="J33" s="18">
        <v>190000</v>
      </c>
      <c r="K33" s="18" t="s">
        <v>5572</v>
      </c>
      <c r="L33" s="98" t="s">
        <v>5573</v>
      </c>
      <c r="M33" s="96" t="s">
        <v>310</v>
      </c>
    </row>
    <row r="34" spans="1:13" x14ac:dyDescent="0.45">
      <c r="A34" s="22">
        <f t="shared" ref="A34:A39" si="4">ROW()-1</f>
        <v>33</v>
      </c>
      <c r="B34" s="27" t="s">
        <v>5586</v>
      </c>
      <c r="C34" s="18" t="s">
        <v>3474</v>
      </c>
      <c r="D34" s="18" t="s">
        <v>330</v>
      </c>
      <c r="E34" s="18"/>
      <c r="F34" s="18"/>
      <c r="G34" s="18"/>
      <c r="H34" s="18"/>
      <c r="I34" s="18"/>
      <c r="J34" s="18"/>
      <c r="K34" s="18"/>
      <c r="L34" s="98"/>
      <c r="M34" s="96"/>
    </row>
    <row r="35" spans="1:13" x14ac:dyDescent="0.45">
      <c r="A35" s="22">
        <f t="shared" si="4"/>
        <v>34</v>
      </c>
      <c r="B35" s="27" t="s">
        <v>5777</v>
      </c>
      <c r="C35" s="18" t="s">
        <v>3474</v>
      </c>
      <c r="D35" s="18" t="s">
        <v>330</v>
      </c>
      <c r="E35" s="18"/>
      <c r="F35" s="18"/>
      <c r="G35" s="18"/>
      <c r="H35" s="18"/>
      <c r="I35" s="18" t="s">
        <v>5778</v>
      </c>
      <c r="J35" s="18"/>
      <c r="K35" s="18"/>
      <c r="L35" s="98"/>
      <c r="M35" s="96"/>
    </row>
    <row r="36" spans="1:13" x14ac:dyDescent="0.45">
      <c r="A36" s="22">
        <f t="shared" si="4"/>
        <v>35</v>
      </c>
      <c r="B36" s="27" t="s">
        <v>5777</v>
      </c>
      <c r="C36" s="18" t="s">
        <v>5563</v>
      </c>
      <c r="D36" s="18" t="s">
        <v>330</v>
      </c>
      <c r="E36" s="18"/>
      <c r="F36" s="18"/>
      <c r="G36" s="18"/>
      <c r="H36" s="18"/>
      <c r="I36" s="18">
        <v>1000</v>
      </c>
      <c r="J36" s="18"/>
      <c r="K36" s="18"/>
      <c r="L36" s="98"/>
      <c r="M36" s="96"/>
    </row>
    <row r="37" spans="1:13" x14ac:dyDescent="0.45">
      <c r="A37" s="22">
        <f t="shared" si="4"/>
        <v>36</v>
      </c>
      <c r="B37" s="27" t="s">
        <v>5783</v>
      </c>
      <c r="C37" s="18" t="s">
        <v>5782</v>
      </c>
      <c r="D37" s="18"/>
      <c r="E37" s="18" t="s">
        <v>5784</v>
      </c>
      <c r="F37" s="18" t="s">
        <v>100</v>
      </c>
      <c r="G37" s="18" t="s">
        <v>77</v>
      </c>
      <c r="H37" s="18" t="s">
        <v>71</v>
      </c>
      <c r="I37" s="18" t="s">
        <v>5785</v>
      </c>
      <c r="J37" s="18">
        <v>838258</v>
      </c>
      <c r="K37" s="18" t="s">
        <v>5786</v>
      </c>
      <c r="L37" s="98" t="s">
        <v>5787</v>
      </c>
      <c r="M37" s="96" t="s">
        <v>310</v>
      </c>
    </row>
    <row r="38" spans="1:13" x14ac:dyDescent="0.45">
      <c r="A38" s="22">
        <f t="shared" si="4"/>
        <v>37</v>
      </c>
      <c r="B38" s="27" t="s">
        <v>5824</v>
      </c>
      <c r="C38" s="18" t="s">
        <v>5825</v>
      </c>
      <c r="D38" s="18"/>
      <c r="E38" s="18" t="s">
        <v>5826</v>
      </c>
      <c r="F38" s="18" t="s">
        <v>100</v>
      </c>
      <c r="G38" s="18" t="s">
        <v>72</v>
      </c>
      <c r="H38" s="18"/>
      <c r="I38" s="18" t="s">
        <v>5827</v>
      </c>
      <c r="J38" s="18">
        <v>908586</v>
      </c>
      <c r="K38" s="18" t="s">
        <v>5829</v>
      </c>
      <c r="L38" s="98" t="s">
        <v>5828</v>
      </c>
      <c r="M38" s="96" t="s">
        <v>310</v>
      </c>
    </row>
    <row r="39" spans="1:13" x14ac:dyDescent="0.45">
      <c r="A39" s="22">
        <f t="shared" si="4"/>
        <v>38</v>
      </c>
      <c r="B39" s="27" t="s">
        <v>5824</v>
      </c>
      <c r="C39" s="18" t="s">
        <v>1018</v>
      </c>
      <c r="D39" s="18" t="s">
        <v>330</v>
      </c>
      <c r="E39" s="18" t="s">
        <v>5836</v>
      </c>
      <c r="F39" s="18" t="s">
        <v>100</v>
      </c>
      <c r="G39" s="18" t="s">
        <v>72</v>
      </c>
      <c r="H39" s="18"/>
      <c r="I39" s="18" t="s">
        <v>5837</v>
      </c>
      <c r="J39" s="18">
        <v>859858</v>
      </c>
      <c r="K39" s="18" t="s">
        <v>5838</v>
      </c>
      <c r="L39" s="98" t="s">
        <v>5839</v>
      </c>
      <c r="M39" s="96" t="s">
        <v>310</v>
      </c>
    </row>
    <row r="40" spans="1:13" x14ac:dyDescent="0.45">
      <c r="A40" s="22">
        <f t="shared" ref="A40:A45" si="5">ROW()-1</f>
        <v>39</v>
      </c>
      <c r="B40" s="27" t="s">
        <v>5824</v>
      </c>
      <c r="C40" s="18" t="s">
        <v>3598</v>
      </c>
      <c r="D40" s="18" t="s">
        <v>330</v>
      </c>
      <c r="E40" s="18" t="s">
        <v>5571</v>
      </c>
      <c r="F40" s="18" t="s">
        <v>99</v>
      </c>
      <c r="G40" s="18" t="s">
        <v>77</v>
      </c>
      <c r="H40" s="18" t="s">
        <v>71</v>
      </c>
      <c r="I40" s="18" t="s">
        <v>5849</v>
      </c>
      <c r="J40" s="18">
        <v>618482</v>
      </c>
      <c r="K40" s="18"/>
      <c r="L40" s="98"/>
      <c r="M40" s="96" t="s">
        <v>312</v>
      </c>
    </row>
    <row r="41" spans="1:13" x14ac:dyDescent="0.45">
      <c r="A41" s="22">
        <f t="shared" si="5"/>
        <v>40</v>
      </c>
      <c r="B41" s="27" t="s">
        <v>5824</v>
      </c>
      <c r="C41" s="18" t="s">
        <v>5862</v>
      </c>
      <c r="D41" s="18"/>
      <c r="E41" s="18" t="s">
        <v>5863</v>
      </c>
      <c r="F41" s="18" t="s">
        <v>73</v>
      </c>
      <c r="G41" s="18" t="s">
        <v>72</v>
      </c>
      <c r="H41" s="18" t="s">
        <v>71</v>
      </c>
      <c r="I41" s="18" t="s">
        <v>5864</v>
      </c>
      <c r="J41" s="18">
        <v>23329</v>
      </c>
      <c r="K41" s="18" t="s">
        <v>5865</v>
      </c>
      <c r="L41" s="98" t="s">
        <v>5866</v>
      </c>
      <c r="M41" s="96" t="s">
        <v>310</v>
      </c>
    </row>
    <row r="42" spans="1:13" x14ac:dyDescent="0.45">
      <c r="A42" s="22">
        <f t="shared" si="5"/>
        <v>41</v>
      </c>
      <c r="B42" s="27" t="s">
        <v>5824</v>
      </c>
      <c r="C42" s="18" t="s">
        <v>5876</v>
      </c>
      <c r="D42" s="18"/>
      <c r="E42" s="18" t="s">
        <v>5826</v>
      </c>
      <c r="F42" s="18" t="s">
        <v>93</v>
      </c>
      <c r="G42" s="18" t="s">
        <v>77</v>
      </c>
      <c r="H42" s="18" t="s">
        <v>71</v>
      </c>
      <c r="I42" s="18" t="s">
        <v>5877</v>
      </c>
      <c r="J42" s="18">
        <v>534282</v>
      </c>
      <c r="K42" s="18" t="s">
        <v>5878</v>
      </c>
      <c r="L42" s="98" t="s">
        <v>5879</v>
      </c>
      <c r="M42" s="96" t="s">
        <v>310</v>
      </c>
    </row>
    <row r="43" spans="1:13" x14ac:dyDescent="0.45">
      <c r="A43" s="22">
        <f t="shared" si="5"/>
        <v>42</v>
      </c>
      <c r="B43" s="27" t="s">
        <v>5893</v>
      </c>
      <c r="C43" s="18" t="s">
        <v>2679</v>
      </c>
      <c r="D43" s="18" t="s">
        <v>330</v>
      </c>
      <c r="E43" s="18" t="s">
        <v>5784</v>
      </c>
      <c r="F43" s="18" t="s">
        <v>101</v>
      </c>
      <c r="G43" s="18" t="s">
        <v>77</v>
      </c>
      <c r="H43" s="18" t="s">
        <v>71</v>
      </c>
      <c r="I43" s="18" t="s">
        <v>5894</v>
      </c>
      <c r="J43" s="18">
        <v>363787</v>
      </c>
      <c r="K43" s="18" t="s">
        <v>5895</v>
      </c>
      <c r="L43" s="98" t="s">
        <v>5896</v>
      </c>
      <c r="M43" s="96" t="s">
        <v>310</v>
      </c>
    </row>
    <row r="44" spans="1:13" x14ac:dyDescent="0.45">
      <c r="A44" s="22">
        <f t="shared" si="5"/>
        <v>43</v>
      </c>
      <c r="B44" s="27" t="s">
        <v>5909</v>
      </c>
      <c r="C44" s="18" t="s">
        <v>5910</v>
      </c>
      <c r="D44" s="18"/>
      <c r="E44" s="18" t="s">
        <v>5836</v>
      </c>
      <c r="F44" s="18" t="s">
        <v>5911</v>
      </c>
      <c r="G44" s="18" t="s">
        <v>89</v>
      </c>
      <c r="H44" s="18" t="s">
        <v>74</v>
      </c>
      <c r="I44" s="18" t="s">
        <v>5912</v>
      </c>
      <c r="J44" s="18">
        <v>206397</v>
      </c>
      <c r="K44" s="18" t="s">
        <v>5913</v>
      </c>
      <c r="L44" s="98" t="s">
        <v>5914</v>
      </c>
      <c r="M44" s="96" t="s">
        <v>5776</v>
      </c>
    </row>
    <row r="45" spans="1:13" x14ac:dyDescent="0.45">
      <c r="A45" s="22">
        <f t="shared" si="5"/>
        <v>44</v>
      </c>
      <c r="B45" s="27" t="s">
        <v>5935</v>
      </c>
      <c r="C45" s="18" t="s">
        <v>5936</v>
      </c>
      <c r="D45" s="18"/>
      <c r="E45" s="18" t="s">
        <v>5937</v>
      </c>
      <c r="F45" s="18" t="s">
        <v>100</v>
      </c>
      <c r="G45" s="18" t="s">
        <v>77</v>
      </c>
      <c r="H45" s="18" t="s">
        <v>71</v>
      </c>
      <c r="I45" s="18" t="s">
        <v>5952</v>
      </c>
      <c r="J45" s="18">
        <v>665082</v>
      </c>
      <c r="K45" s="18" t="s">
        <v>5938</v>
      </c>
      <c r="L45" s="98" t="s">
        <v>5939</v>
      </c>
      <c r="M45" s="96" t="s">
        <v>310</v>
      </c>
    </row>
    <row r="46" spans="1:13" x14ac:dyDescent="0.45">
      <c r="A46" s="22">
        <f t="shared" ref="A46:A51" si="6">ROW()-1</f>
        <v>45</v>
      </c>
      <c r="B46" s="27" t="s">
        <v>5957</v>
      </c>
      <c r="C46" s="18" t="s">
        <v>5936</v>
      </c>
      <c r="D46" s="18"/>
      <c r="E46" s="18" t="s">
        <v>5937</v>
      </c>
      <c r="F46" s="18" t="s">
        <v>100</v>
      </c>
      <c r="G46" s="18" t="s">
        <v>77</v>
      </c>
      <c r="H46" s="18" t="s">
        <v>71</v>
      </c>
      <c r="I46" s="18" t="s">
        <v>5952</v>
      </c>
      <c r="J46" s="18">
        <v>666535</v>
      </c>
      <c r="K46" s="18" t="s">
        <v>5938</v>
      </c>
      <c r="L46" s="98" t="s">
        <v>5939</v>
      </c>
      <c r="M46" s="96" t="s">
        <v>310</v>
      </c>
    </row>
    <row r="47" spans="1:13" x14ac:dyDescent="0.45">
      <c r="A47" s="22">
        <f t="shared" si="6"/>
        <v>46</v>
      </c>
      <c r="B47" s="27" t="s">
        <v>5957</v>
      </c>
      <c r="C47" s="18" t="s">
        <v>3474</v>
      </c>
      <c r="D47" s="18" t="s">
        <v>330</v>
      </c>
      <c r="E47" s="18" t="s">
        <v>5972</v>
      </c>
      <c r="F47" s="18" t="s">
        <v>100</v>
      </c>
      <c r="G47" s="18" t="s">
        <v>77</v>
      </c>
      <c r="H47" s="18" t="s">
        <v>88</v>
      </c>
      <c r="I47" s="18" t="s">
        <v>5973</v>
      </c>
      <c r="J47" s="18">
        <v>290053</v>
      </c>
      <c r="K47" s="18" t="s">
        <v>5974</v>
      </c>
      <c r="L47" s="98" t="s">
        <v>5975</v>
      </c>
      <c r="M47" s="96" t="s">
        <v>310</v>
      </c>
    </row>
    <row r="48" spans="1:13" x14ac:dyDescent="0.45">
      <c r="A48" s="22">
        <f t="shared" si="6"/>
        <v>47</v>
      </c>
      <c r="B48" s="27" t="s">
        <v>5935</v>
      </c>
      <c r="C48" s="18" t="s">
        <v>2559</v>
      </c>
      <c r="D48" s="18" t="s">
        <v>518</v>
      </c>
      <c r="E48" s="18" t="s">
        <v>5863</v>
      </c>
      <c r="F48" s="18" t="s">
        <v>73</v>
      </c>
      <c r="G48" s="18" t="s">
        <v>72</v>
      </c>
      <c r="H48" s="18" t="s">
        <v>71</v>
      </c>
      <c r="I48" s="18" t="s">
        <v>5976</v>
      </c>
      <c r="J48" s="18">
        <v>467226</v>
      </c>
      <c r="K48" s="18" t="s">
        <v>5977</v>
      </c>
      <c r="L48" s="98" t="s">
        <v>5984</v>
      </c>
      <c r="M48" s="96" t="s">
        <v>310</v>
      </c>
    </row>
    <row r="49" spans="1:13" x14ac:dyDescent="0.45">
      <c r="A49" s="22">
        <f t="shared" si="6"/>
        <v>48</v>
      </c>
      <c r="B49" s="27" t="s">
        <v>5999</v>
      </c>
      <c r="C49" s="18" t="s">
        <v>5782</v>
      </c>
      <c r="D49" s="18"/>
      <c r="E49" s="18" t="s">
        <v>5998</v>
      </c>
      <c r="F49" s="18" t="s">
        <v>100</v>
      </c>
      <c r="G49" s="18" t="s">
        <v>77</v>
      </c>
      <c r="H49" s="18" t="s">
        <v>88</v>
      </c>
      <c r="I49" s="18" t="s">
        <v>5997</v>
      </c>
      <c r="J49" s="18">
        <v>447289</v>
      </c>
      <c r="K49" s="18" t="s">
        <v>5996</v>
      </c>
      <c r="L49" s="98" t="s">
        <v>5995</v>
      </c>
      <c r="M49" s="96" t="s">
        <v>310</v>
      </c>
    </row>
    <row r="50" spans="1:13" x14ac:dyDescent="0.45">
      <c r="A50" s="22">
        <f t="shared" si="6"/>
        <v>49</v>
      </c>
      <c r="B50" s="27" t="s">
        <v>6000</v>
      </c>
      <c r="C50" s="18" t="s">
        <v>5782</v>
      </c>
      <c r="D50" s="18"/>
      <c r="E50" s="18" t="s">
        <v>5784</v>
      </c>
      <c r="F50" s="18" t="s">
        <v>100</v>
      </c>
      <c r="G50" s="18" t="s">
        <v>77</v>
      </c>
      <c r="H50" s="18" t="s">
        <v>88</v>
      </c>
      <c r="I50" s="18" t="s">
        <v>6001</v>
      </c>
      <c r="J50" s="18">
        <v>656431</v>
      </c>
      <c r="K50" s="18" t="s">
        <v>6002</v>
      </c>
      <c r="L50" s="98" t="s">
        <v>6003</v>
      </c>
      <c r="M50" s="96" t="s">
        <v>310</v>
      </c>
    </row>
    <row r="51" spans="1:13" x14ac:dyDescent="0.45">
      <c r="A51" s="22">
        <f t="shared" si="6"/>
        <v>50</v>
      </c>
      <c r="B51" s="27" t="s">
        <v>6000</v>
      </c>
      <c r="C51" s="18" t="s">
        <v>5782</v>
      </c>
      <c r="D51" s="18"/>
      <c r="E51" s="18" t="s">
        <v>5784</v>
      </c>
      <c r="F51" s="18" t="s">
        <v>100</v>
      </c>
      <c r="G51" s="18" t="s">
        <v>77</v>
      </c>
      <c r="H51" s="18" t="s">
        <v>88</v>
      </c>
      <c r="I51" s="18" t="s">
        <v>6001</v>
      </c>
      <c r="J51" s="18">
        <v>656431</v>
      </c>
      <c r="K51" s="18" t="s">
        <v>6002</v>
      </c>
      <c r="L51" s="98" t="s">
        <v>6003</v>
      </c>
      <c r="M51" s="96" t="s">
        <v>310</v>
      </c>
    </row>
    <row r="52" spans="1:13" x14ac:dyDescent="0.45">
      <c r="A52" s="22">
        <f t="shared" ref="A52:A57" si="7">ROW()-1</f>
        <v>51</v>
      </c>
      <c r="B52" s="27" t="s">
        <v>6021</v>
      </c>
      <c r="C52" s="18" t="s">
        <v>5782</v>
      </c>
      <c r="D52" s="18"/>
      <c r="E52" s="18" t="s">
        <v>5784</v>
      </c>
      <c r="F52" s="18" t="s">
        <v>100</v>
      </c>
      <c r="G52" s="18" t="s">
        <v>80</v>
      </c>
      <c r="H52" s="18" t="s">
        <v>88</v>
      </c>
      <c r="I52" s="18" t="s">
        <v>6022</v>
      </c>
      <c r="J52" s="18">
        <v>435096</v>
      </c>
      <c r="K52" s="18" t="s">
        <v>6023</v>
      </c>
      <c r="L52" s="98" t="s">
        <v>6024</v>
      </c>
      <c r="M52" s="96" t="s">
        <v>310</v>
      </c>
    </row>
    <row r="53" spans="1:13" x14ac:dyDescent="0.45">
      <c r="A53" s="22">
        <f t="shared" si="7"/>
        <v>52</v>
      </c>
      <c r="B53" s="27" t="s">
        <v>6033</v>
      </c>
      <c r="C53" s="18" t="s">
        <v>5782</v>
      </c>
      <c r="D53" s="18"/>
      <c r="E53" s="18" t="s">
        <v>5784</v>
      </c>
      <c r="F53" s="18" t="s">
        <v>100</v>
      </c>
      <c r="G53" s="18" t="s">
        <v>77</v>
      </c>
      <c r="H53" s="18" t="s">
        <v>88</v>
      </c>
      <c r="I53" s="18" t="s">
        <v>6034</v>
      </c>
      <c r="J53" s="18">
        <v>490573</v>
      </c>
      <c r="K53" s="18" t="s">
        <v>6035</v>
      </c>
      <c r="L53" s="98" t="s">
        <v>6036</v>
      </c>
      <c r="M53" s="96" t="s">
        <v>310</v>
      </c>
    </row>
    <row r="54" spans="1:13" x14ac:dyDescent="0.45">
      <c r="A54" s="22">
        <f t="shared" si="7"/>
        <v>53</v>
      </c>
      <c r="B54" s="27" t="s">
        <v>5893</v>
      </c>
      <c r="C54" s="18" t="s">
        <v>6044</v>
      </c>
      <c r="D54" s="18"/>
      <c r="E54" s="18" t="s">
        <v>5571</v>
      </c>
      <c r="F54" s="18" t="s">
        <v>100</v>
      </c>
      <c r="G54" s="18" t="s">
        <v>77</v>
      </c>
      <c r="H54" s="18" t="s">
        <v>74</v>
      </c>
      <c r="I54" s="18" t="s">
        <v>6045</v>
      </c>
      <c r="J54" s="18">
        <v>255501</v>
      </c>
      <c r="K54" s="18" t="s">
        <v>6046</v>
      </c>
      <c r="L54" s="98" t="s">
        <v>6047</v>
      </c>
      <c r="M54" s="96" t="s">
        <v>310</v>
      </c>
    </row>
    <row r="55" spans="1:13" x14ac:dyDescent="0.45">
      <c r="A55" s="22">
        <f t="shared" si="7"/>
        <v>54</v>
      </c>
      <c r="B55" s="27" t="s">
        <v>5893</v>
      </c>
      <c r="C55" s="18" t="s">
        <v>3598</v>
      </c>
      <c r="D55" s="18" t="s">
        <v>330</v>
      </c>
      <c r="E55" s="18" t="s">
        <v>5784</v>
      </c>
      <c r="F55" s="18" t="s">
        <v>100</v>
      </c>
      <c r="G55" s="18" t="s">
        <v>83</v>
      </c>
      <c r="H55" s="18" t="s">
        <v>71</v>
      </c>
      <c r="I55" s="18" t="s">
        <v>6054</v>
      </c>
      <c r="J55" s="18">
        <v>779230</v>
      </c>
      <c r="K55" s="18" t="s">
        <v>6055</v>
      </c>
      <c r="L55" s="98" t="s">
        <v>6056</v>
      </c>
      <c r="M55" s="96" t="s">
        <v>310</v>
      </c>
    </row>
    <row r="56" spans="1:13" x14ac:dyDescent="0.45">
      <c r="A56" s="22">
        <f t="shared" si="7"/>
        <v>55</v>
      </c>
      <c r="B56" s="27" t="s">
        <v>5893</v>
      </c>
      <c r="C56" s="18" t="s">
        <v>3598</v>
      </c>
      <c r="D56" s="18" t="s">
        <v>330</v>
      </c>
      <c r="E56" s="18" t="s">
        <v>5784</v>
      </c>
      <c r="F56" s="18" t="s">
        <v>100</v>
      </c>
      <c r="G56" s="18" t="s">
        <v>83</v>
      </c>
      <c r="H56" s="18" t="s">
        <v>71</v>
      </c>
      <c r="I56" s="18" t="s">
        <v>6054</v>
      </c>
      <c r="J56" s="18">
        <v>779230</v>
      </c>
      <c r="K56" s="18" t="s">
        <v>6055</v>
      </c>
      <c r="L56" s="98" t="s">
        <v>6056</v>
      </c>
      <c r="M56" s="96" t="s">
        <v>310</v>
      </c>
    </row>
    <row r="57" spans="1:13" x14ac:dyDescent="0.45">
      <c r="A57" s="22">
        <f t="shared" si="7"/>
        <v>56</v>
      </c>
      <c r="B57" s="27" t="s">
        <v>5893</v>
      </c>
      <c r="C57" s="18" t="s">
        <v>5936</v>
      </c>
      <c r="D57" s="18"/>
      <c r="E57" s="18" t="s">
        <v>5826</v>
      </c>
      <c r="F57" s="18" t="s">
        <v>100</v>
      </c>
      <c r="G57" s="18"/>
      <c r="H57" s="18" t="s">
        <v>71</v>
      </c>
      <c r="I57" s="18" t="s">
        <v>6063</v>
      </c>
      <c r="J57" s="18">
        <v>294889</v>
      </c>
      <c r="K57" s="18" t="s">
        <v>6064</v>
      </c>
      <c r="L57" s="98" t="s">
        <v>6065</v>
      </c>
      <c r="M57" s="96" t="s">
        <v>310</v>
      </c>
    </row>
    <row r="58" spans="1:13" x14ac:dyDescent="0.45">
      <c r="A58" s="22">
        <f t="shared" ref="A58:A63" si="8">ROW()-1</f>
        <v>57</v>
      </c>
      <c r="B58" s="27" t="s">
        <v>6069</v>
      </c>
      <c r="C58" s="18" t="s">
        <v>2648</v>
      </c>
      <c r="D58" s="18" t="s">
        <v>425</v>
      </c>
      <c r="E58" s="18" t="s">
        <v>5826</v>
      </c>
      <c r="F58" s="18" t="s">
        <v>78</v>
      </c>
      <c r="G58" s="18" t="s">
        <v>77</v>
      </c>
      <c r="H58" s="18" t="s">
        <v>74</v>
      </c>
      <c r="I58" s="18" t="s">
        <v>6070</v>
      </c>
      <c r="J58" s="18">
        <v>275454</v>
      </c>
      <c r="K58" s="18" t="s">
        <v>6071</v>
      </c>
      <c r="L58" s="98" t="s">
        <v>6072</v>
      </c>
      <c r="M58" s="96" t="s">
        <v>310</v>
      </c>
    </row>
    <row r="59" spans="1:13" x14ac:dyDescent="0.45">
      <c r="A59" s="22">
        <f t="shared" si="8"/>
        <v>58</v>
      </c>
      <c r="B59" s="27" t="s">
        <v>6073</v>
      </c>
      <c r="C59" s="18" t="s">
        <v>6075</v>
      </c>
      <c r="D59" s="18"/>
      <c r="E59" s="18" t="s">
        <v>5836</v>
      </c>
      <c r="F59" s="18" t="s">
        <v>100</v>
      </c>
      <c r="G59" s="18" t="s">
        <v>77</v>
      </c>
      <c r="H59" s="18" t="s">
        <v>74</v>
      </c>
      <c r="I59" s="18" t="s">
        <v>6076</v>
      </c>
      <c r="J59" s="18">
        <v>454219</v>
      </c>
      <c r="K59" s="18" t="s">
        <v>6074</v>
      </c>
      <c r="L59" s="98" t="s">
        <v>6077</v>
      </c>
      <c r="M59" s="96" t="s">
        <v>312</v>
      </c>
    </row>
    <row r="60" spans="1:13" x14ac:dyDescent="0.45">
      <c r="A60" s="22">
        <f t="shared" si="8"/>
        <v>59</v>
      </c>
      <c r="B60" s="27" t="s">
        <v>6069</v>
      </c>
      <c r="C60" s="18" t="s">
        <v>2648</v>
      </c>
      <c r="D60" s="18" t="s">
        <v>425</v>
      </c>
      <c r="E60" s="18" t="s">
        <v>5826</v>
      </c>
      <c r="F60" s="18" t="s">
        <v>78</v>
      </c>
      <c r="G60" s="18" t="s">
        <v>77</v>
      </c>
      <c r="H60" s="18" t="s">
        <v>74</v>
      </c>
      <c r="I60" s="18" t="s">
        <v>6070</v>
      </c>
      <c r="J60" s="18">
        <v>275454</v>
      </c>
      <c r="K60" s="18" t="s">
        <v>6071</v>
      </c>
      <c r="L60" s="98" t="s">
        <v>6072</v>
      </c>
      <c r="M60" s="96" t="s">
        <v>310</v>
      </c>
    </row>
    <row r="61" spans="1:13" x14ac:dyDescent="0.45">
      <c r="A61" s="22">
        <f t="shared" si="8"/>
        <v>60</v>
      </c>
      <c r="B61" s="27" t="s">
        <v>5893</v>
      </c>
      <c r="C61" s="18" t="s">
        <v>3598</v>
      </c>
      <c r="D61" s="18" t="s">
        <v>330</v>
      </c>
      <c r="E61" s="18" t="s">
        <v>5826</v>
      </c>
      <c r="F61" s="18" t="s">
        <v>100</v>
      </c>
      <c r="G61" s="18"/>
      <c r="H61" s="18" t="s">
        <v>71</v>
      </c>
      <c r="I61" s="18" t="s">
        <v>6082</v>
      </c>
      <c r="J61" s="18">
        <v>514270</v>
      </c>
      <c r="K61" s="18" t="s">
        <v>6083</v>
      </c>
      <c r="L61" s="98"/>
      <c r="M61" s="96" t="s">
        <v>310</v>
      </c>
    </row>
    <row r="62" spans="1:13" x14ac:dyDescent="0.45">
      <c r="A62" s="22">
        <f t="shared" si="8"/>
        <v>61</v>
      </c>
      <c r="B62" s="27" t="s">
        <v>5893</v>
      </c>
      <c r="C62" s="18" t="s">
        <v>1018</v>
      </c>
      <c r="D62" s="18" t="s">
        <v>330</v>
      </c>
      <c r="E62" s="18" t="s">
        <v>6090</v>
      </c>
      <c r="F62" s="18" t="s">
        <v>100</v>
      </c>
      <c r="G62" s="18"/>
      <c r="H62" s="18" t="s">
        <v>71</v>
      </c>
      <c r="I62" s="18" t="s">
        <v>6091</v>
      </c>
      <c r="J62" s="18">
        <v>776792</v>
      </c>
      <c r="K62" s="18" t="s">
        <v>6092</v>
      </c>
      <c r="L62" s="98" t="s">
        <v>6093</v>
      </c>
      <c r="M62" s="96" t="s">
        <v>310</v>
      </c>
    </row>
    <row r="63" spans="1:13" x14ac:dyDescent="0.45">
      <c r="A63" s="22">
        <f t="shared" si="8"/>
        <v>62</v>
      </c>
      <c r="B63" s="27" t="s">
        <v>6099</v>
      </c>
      <c r="C63" s="18" t="s">
        <v>2224</v>
      </c>
      <c r="D63" s="18" t="s">
        <v>330</v>
      </c>
      <c r="E63" s="18" t="s">
        <v>5784</v>
      </c>
      <c r="F63" s="18" t="s">
        <v>100</v>
      </c>
      <c r="G63" s="18" t="s">
        <v>86</v>
      </c>
      <c r="H63" s="18" t="s">
        <v>88</v>
      </c>
      <c r="I63" s="18" t="s">
        <v>6100</v>
      </c>
      <c r="J63" s="18">
        <v>644118</v>
      </c>
      <c r="K63" s="18" t="s">
        <v>6101</v>
      </c>
      <c r="L63" s="98" t="s">
        <v>6102</v>
      </c>
      <c r="M63" s="96" t="s">
        <v>310</v>
      </c>
    </row>
    <row r="64" spans="1:13" x14ac:dyDescent="0.45">
      <c r="A64" s="22">
        <f t="shared" ref="A64:A69" si="9">ROW()-1</f>
        <v>63</v>
      </c>
      <c r="B64" s="27" t="s">
        <v>6099</v>
      </c>
      <c r="C64" s="18" t="s">
        <v>434</v>
      </c>
      <c r="D64" s="18" t="s">
        <v>330</v>
      </c>
      <c r="E64" s="18" t="s">
        <v>5863</v>
      </c>
      <c r="F64" s="18" t="s">
        <v>73</v>
      </c>
      <c r="G64" s="18" t="s">
        <v>72</v>
      </c>
      <c r="H64" s="18" t="s">
        <v>71</v>
      </c>
      <c r="I64" s="18" t="s">
        <v>6108</v>
      </c>
      <c r="J64" s="18">
        <v>659056</v>
      </c>
      <c r="K64" s="18" t="s">
        <v>6109</v>
      </c>
      <c r="L64" s="98" t="s">
        <v>6110</v>
      </c>
      <c r="M64" s="96" t="s">
        <v>310</v>
      </c>
    </row>
    <row r="65" spans="1:13" x14ac:dyDescent="0.45">
      <c r="A65" s="22">
        <f t="shared" si="9"/>
        <v>64</v>
      </c>
      <c r="B65" s="27" t="s">
        <v>6113</v>
      </c>
      <c r="C65" s="18" t="s">
        <v>6114</v>
      </c>
      <c r="D65" s="18"/>
      <c r="E65" s="18" t="s">
        <v>6115</v>
      </c>
      <c r="F65" s="18" t="s">
        <v>100</v>
      </c>
      <c r="G65" s="18" t="s">
        <v>77</v>
      </c>
      <c r="H65" s="18" t="s">
        <v>74</v>
      </c>
      <c r="I65" s="18" t="s">
        <v>6116</v>
      </c>
      <c r="J65" s="18">
        <v>330349</v>
      </c>
      <c r="K65" s="18" t="s">
        <v>6117</v>
      </c>
      <c r="L65" s="98" t="s">
        <v>6118</v>
      </c>
      <c r="M65" s="96" t="s">
        <v>5776</v>
      </c>
    </row>
    <row r="66" spans="1:13" x14ac:dyDescent="0.45">
      <c r="A66" s="22">
        <f t="shared" si="9"/>
        <v>65</v>
      </c>
      <c r="B66" s="27" t="s">
        <v>6113</v>
      </c>
      <c r="C66" s="18" t="s">
        <v>5876</v>
      </c>
      <c r="D66" s="18"/>
      <c r="E66" s="18" t="s">
        <v>6127</v>
      </c>
      <c r="F66" s="18" t="s">
        <v>100</v>
      </c>
      <c r="G66" s="18" t="s">
        <v>77</v>
      </c>
      <c r="H66" s="18" t="s">
        <v>88</v>
      </c>
      <c r="I66" s="18" t="s">
        <v>6128</v>
      </c>
      <c r="J66" s="18">
        <v>537896</v>
      </c>
      <c r="K66" s="18" t="s">
        <v>6129</v>
      </c>
      <c r="L66" s="98" t="s">
        <v>6130</v>
      </c>
      <c r="M66" s="96" t="s">
        <v>310</v>
      </c>
    </row>
    <row r="67" spans="1:13" x14ac:dyDescent="0.45">
      <c r="A67" s="22">
        <f t="shared" si="9"/>
        <v>66</v>
      </c>
      <c r="B67" s="27" t="s">
        <v>6113</v>
      </c>
      <c r="C67" s="18" t="s">
        <v>3330</v>
      </c>
      <c r="D67" s="18" t="s">
        <v>330</v>
      </c>
      <c r="E67" s="18" t="s">
        <v>6135</v>
      </c>
      <c r="F67" s="18" t="s">
        <v>73</v>
      </c>
      <c r="G67" s="18" t="s">
        <v>72</v>
      </c>
      <c r="H67" s="18" t="s">
        <v>71</v>
      </c>
      <c r="I67" s="18" t="s">
        <v>6136</v>
      </c>
      <c r="J67" s="18">
        <v>565649</v>
      </c>
      <c r="K67" s="18" t="s">
        <v>6137</v>
      </c>
      <c r="L67" s="98" t="s">
        <v>6138</v>
      </c>
      <c r="M67" s="96" t="s">
        <v>310</v>
      </c>
    </row>
    <row r="68" spans="1:13" x14ac:dyDescent="0.45">
      <c r="A68" s="22">
        <f t="shared" si="9"/>
        <v>67</v>
      </c>
      <c r="B68" s="27" t="s">
        <v>6113</v>
      </c>
      <c r="C68" s="18" t="s">
        <v>5474</v>
      </c>
      <c r="D68" s="18" t="s">
        <v>330</v>
      </c>
      <c r="E68" s="18" t="s">
        <v>5863</v>
      </c>
      <c r="F68" s="18" t="s">
        <v>73</v>
      </c>
      <c r="G68" s="18" t="s">
        <v>72</v>
      </c>
      <c r="H68" s="18" t="s">
        <v>71</v>
      </c>
      <c r="I68" s="18" t="s">
        <v>6140</v>
      </c>
      <c r="J68" s="18">
        <v>500724</v>
      </c>
      <c r="K68" s="18" t="s">
        <v>6141</v>
      </c>
      <c r="L68" s="98" t="s">
        <v>6142</v>
      </c>
      <c r="M68" s="96" t="s">
        <v>310</v>
      </c>
    </row>
    <row r="69" spans="1:13" x14ac:dyDescent="0.45">
      <c r="A69" s="22">
        <f t="shared" si="9"/>
        <v>68</v>
      </c>
      <c r="B69" s="27" t="s">
        <v>6113</v>
      </c>
      <c r="C69" s="18" t="s">
        <v>5936</v>
      </c>
      <c r="D69" s="18"/>
      <c r="E69" s="18" t="s">
        <v>5826</v>
      </c>
      <c r="F69" s="18" t="s">
        <v>100</v>
      </c>
      <c r="G69" s="18"/>
      <c r="H69" s="18" t="s">
        <v>71</v>
      </c>
      <c r="I69" s="18" t="s">
        <v>6146</v>
      </c>
      <c r="J69" s="18"/>
      <c r="K69" s="18" t="s">
        <v>6147</v>
      </c>
      <c r="L69" s="98" t="s">
        <v>6148</v>
      </c>
      <c r="M69" s="96" t="s">
        <v>310</v>
      </c>
    </row>
    <row r="70" spans="1:13" x14ac:dyDescent="0.45">
      <c r="A70" s="22">
        <f t="shared" ref="A70:A75" si="10">ROW()-1</f>
        <v>69</v>
      </c>
      <c r="B70" s="27" t="s">
        <v>6151</v>
      </c>
      <c r="C70" s="18" t="s">
        <v>6152</v>
      </c>
      <c r="D70" s="18"/>
      <c r="E70" s="18" t="s">
        <v>6153</v>
      </c>
      <c r="F70" s="18" t="s">
        <v>70</v>
      </c>
      <c r="G70" s="18" t="s">
        <v>72</v>
      </c>
      <c r="H70" s="18" t="s">
        <v>71</v>
      </c>
      <c r="I70" s="18" t="s">
        <v>6154</v>
      </c>
      <c r="J70" s="18">
        <v>157599</v>
      </c>
      <c r="K70" s="18" t="s">
        <v>6155</v>
      </c>
      <c r="L70" s="98" t="s">
        <v>6156</v>
      </c>
      <c r="M70" s="96" t="s">
        <v>310</v>
      </c>
    </row>
    <row r="71" spans="1:13" x14ac:dyDescent="0.45">
      <c r="A71" s="22">
        <f t="shared" si="10"/>
        <v>70</v>
      </c>
      <c r="B71" s="27" t="s">
        <v>6151</v>
      </c>
      <c r="C71" s="18" t="s">
        <v>6160</v>
      </c>
      <c r="D71" s="18"/>
      <c r="E71" s="18" t="s">
        <v>5863</v>
      </c>
      <c r="F71" s="18" t="s">
        <v>73</v>
      </c>
      <c r="G71" s="18" t="s">
        <v>72</v>
      </c>
      <c r="H71" s="18" t="s">
        <v>71</v>
      </c>
      <c r="I71" s="18" t="s">
        <v>6161</v>
      </c>
      <c r="J71" s="18">
        <v>383344</v>
      </c>
      <c r="K71" s="18" t="s">
        <v>6162</v>
      </c>
      <c r="L71" s="98" t="s">
        <v>6163</v>
      </c>
      <c r="M71" s="96" t="s">
        <v>310</v>
      </c>
    </row>
    <row r="72" spans="1:13" x14ac:dyDescent="0.45">
      <c r="A72" s="22">
        <f t="shared" si="10"/>
        <v>71</v>
      </c>
      <c r="B72" s="27" t="s">
        <v>6151</v>
      </c>
      <c r="C72" s="18" t="s">
        <v>6167</v>
      </c>
      <c r="D72" s="18"/>
      <c r="E72" s="18" t="s">
        <v>6168</v>
      </c>
      <c r="F72" s="18" t="s">
        <v>73</v>
      </c>
      <c r="G72" s="18" t="s">
        <v>72</v>
      </c>
      <c r="H72" s="18" t="s">
        <v>71</v>
      </c>
      <c r="I72" s="18" t="s">
        <v>6169</v>
      </c>
      <c r="J72" s="18">
        <v>339567</v>
      </c>
      <c r="K72" s="18" t="s">
        <v>6170</v>
      </c>
      <c r="L72" s="98" t="s">
        <v>6171</v>
      </c>
      <c r="M72" s="96" t="s">
        <v>310</v>
      </c>
    </row>
    <row r="73" spans="1:13" x14ac:dyDescent="0.45">
      <c r="A73" s="22">
        <f t="shared" si="10"/>
        <v>72</v>
      </c>
      <c r="B73" s="27" t="s">
        <v>6151</v>
      </c>
      <c r="C73" s="18" t="s">
        <v>1018</v>
      </c>
      <c r="D73" s="18" t="s">
        <v>330</v>
      </c>
      <c r="E73" s="18" t="s">
        <v>6090</v>
      </c>
      <c r="F73" s="18" t="s">
        <v>100</v>
      </c>
      <c r="G73" s="18" t="s">
        <v>72</v>
      </c>
      <c r="H73" s="18" t="s">
        <v>71</v>
      </c>
      <c r="I73" s="18" t="s">
        <v>6174</v>
      </c>
      <c r="J73" s="18">
        <v>692469</v>
      </c>
      <c r="K73" s="18" t="s">
        <v>6175</v>
      </c>
      <c r="L73" s="98" t="s">
        <v>6176</v>
      </c>
      <c r="M73" s="96" t="s">
        <v>310</v>
      </c>
    </row>
    <row r="74" spans="1:13" x14ac:dyDescent="0.45">
      <c r="A74" s="22">
        <f t="shared" si="10"/>
        <v>73</v>
      </c>
      <c r="B74" s="27" t="s">
        <v>6151</v>
      </c>
      <c r="C74" s="18" t="s">
        <v>2210</v>
      </c>
      <c r="D74" s="18" t="s">
        <v>324</v>
      </c>
      <c r="E74" s="18" t="s">
        <v>6153</v>
      </c>
      <c r="F74" s="18" t="s">
        <v>70</v>
      </c>
      <c r="G74" s="18" t="s">
        <v>72</v>
      </c>
      <c r="H74" s="18" t="s">
        <v>71</v>
      </c>
      <c r="I74" s="18" t="s">
        <v>6184</v>
      </c>
      <c r="J74" s="18">
        <v>185123</v>
      </c>
      <c r="K74" s="18" t="s">
        <v>6185</v>
      </c>
      <c r="L74" s="98"/>
      <c r="M74" s="96" t="s">
        <v>310</v>
      </c>
    </row>
    <row r="75" spans="1:13" x14ac:dyDescent="0.45">
      <c r="A75" s="22">
        <f t="shared" si="10"/>
        <v>74</v>
      </c>
      <c r="B75" s="27" t="s">
        <v>6192</v>
      </c>
      <c r="C75" s="18" t="s">
        <v>6193</v>
      </c>
      <c r="D75" s="18"/>
      <c r="E75" s="18" t="s">
        <v>5836</v>
      </c>
      <c r="F75" s="18" t="s">
        <v>70</v>
      </c>
      <c r="G75" s="18" t="s">
        <v>72</v>
      </c>
      <c r="H75" s="18" t="s">
        <v>71</v>
      </c>
      <c r="I75" s="18" t="s">
        <v>6189</v>
      </c>
      <c r="J75" s="18">
        <v>460290</v>
      </c>
      <c r="K75" s="18" t="s">
        <v>6190</v>
      </c>
      <c r="L75" s="98" t="s">
        <v>6191</v>
      </c>
      <c r="M75" s="96" t="s">
        <v>310</v>
      </c>
    </row>
    <row r="76" spans="1:13" x14ac:dyDescent="0.45">
      <c r="A76" s="22">
        <f t="shared" ref="A76:A83" si="11">ROW()-1</f>
        <v>75</v>
      </c>
      <c r="B76" s="27" t="s">
        <v>6194</v>
      </c>
      <c r="C76" s="18" t="s">
        <v>5782</v>
      </c>
      <c r="D76" s="18"/>
      <c r="E76" s="18" t="s">
        <v>5784</v>
      </c>
      <c r="F76" s="18" t="s">
        <v>100</v>
      </c>
      <c r="G76" s="18" t="s">
        <v>77</v>
      </c>
      <c r="H76" s="18" t="s">
        <v>88</v>
      </c>
      <c r="I76" s="18" t="s">
        <v>6195</v>
      </c>
      <c r="J76" s="18">
        <v>589441</v>
      </c>
      <c r="K76" s="18" t="s">
        <v>6196</v>
      </c>
      <c r="L76" s="98" t="s">
        <v>6197</v>
      </c>
      <c r="M76" s="96" t="s">
        <v>310</v>
      </c>
    </row>
    <row r="77" spans="1:13" x14ac:dyDescent="0.45">
      <c r="A77" s="22">
        <f t="shared" si="11"/>
        <v>76</v>
      </c>
      <c r="B77" s="27" t="s">
        <v>6192</v>
      </c>
      <c r="C77" s="18" t="s">
        <v>5936</v>
      </c>
      <c r="D77" s="18"/>
      <c r="E77" s="18" t="s">
        <v>6090</v>
      </c>
      <c r="F77" s="18" t="s">
        <v>100</v>
      </c>
      <c r="G77" s="18" t="s">
        <v>77</v>
      </c>
      <c r="H77" s="18" t="s">
        <v>71</v>
      </c>
      <c r="I77" s="18" t="s">
        <v>6203</v>
      </c>
      <c r="J77" s="18">
        <v>1572587</v>
      </c>
      <c r="K77" s="18" t="s">
        <v>6204</v>
      </c>
      <c r="L77" s="98"/>
      <c r="M77" s="96" t="s">
        <v>310</v>
      </c>
    </row>
    <row r="78" spans="1:13" x14ac:dyDescent="0.45">
      <c r="A78" s="22">
        <f t="shared" si="11"/>
        <v>77</v>
      </c>
      <c r="B78" s="27" t="s">
        <v>6205</v>
      </c>
      <c r="C78" s="18" t="s">
        <v>3474</v>
      </c>
      <c r="D78" s="18" t="s">
        <v>330</v>
      </c>
      <c r="E78" s="18" t="s">
        <v>5784</v>
      </c>
      <c r="F78" s="18" t="s">
        <v>100</v>
      </c>
      <c r="G78" s="18" t="s">
        <v>77</v>
      </c>
      <c r="H78" s="18" t="s">
        <v>88</v>
      </c>
      <c r="I78" s="18" t="s">
        <v>6206</v>
      </c>
      <c r="J78" s="18">
        <v>351539</v>
      </c>
      <c r="K78" s="18" t="s">
        <v>6207</v>
      </c>
      <c r="L78" s="98" t="s">
        <v>6208</v>
      </c>
      <c r="M78" s="96" t="s">
        <v>310</v>
      </c>
    </row>
    <row r="79" spans="1:13" x14ac:dyDescent="0.45">
      <c r="A79" s="22">
        <f t="shared" si="11"/>
        <v>78</v>
      </c>
      <c r="B79" s="27" t="s">
        <v>6214</v>
      </c>
      <c r="C79" s="18" t="s">
        <v>3474</v>
      </c>
      <c r="D79" s="18" t="s">
        <v>330</v>
      </c>
      <c r="E79" s="18" t="s">
        <v>5784</v>
      </c>
      <c r="F79" s="18" t="s">
        <v>100</v>
      </c>
      <c r="G79" s="18" t="s">
        <v>75</v>
      </c>
      <c r="H79" s="18" t="s">
        <v>88</v>
      </c>
      <c r="I79" s="18" t="s">
        <v>6215</v>
      </c>
      <c r="J79" s="18">
        <v>695529</v>
      </c>
      <c r="K79" s="18" t="s">
        <v>6216</v>
      </c>
      <c r="L79" s="98" t="s">
        <v>6217</v>
      </c>
      <c r="M79" s="96" t="s">
        <v>310</v>
      </c>
    </row>
    <row r="80" spans="1:13" x14ac:dyDescent="0.45">
      <c r="A80" s="22">
        <f t="shared" si="11"/>
        <v>79</v>
      </c>
      <c r="B80" s="27" t="s">
        <v>6224</v>
      </c>
      <c r="C80" s="18" t="s">
        <v>3474</v>
      </c>
      <c r="D80" s="18" t="s">
        <v>330</v>
      </c>
      <c r="E80" s="18" t="s">
        <v>5784</v>
      </c>
      <c r="F80" s="18" t="s">
        <v>100</v>
      </c>
      <c r="G80" s="18" t="s">
        <v>77</v>
      </c>
      <c r="H80" s="18" t="s">
        <v>88</v>
      </c>
      <c r="I80" s="18" t="s">
        <v>6225</v>
      </c>
      <c r="J80" s="18">
        <v>231584</v>
      </c>
      <c r="K80" s="18" t="s">
        <v>6226</v>
      </c>
      <c r="L80" s="98" t="s">
        <v>6227</v>
      </c>
      <c r="M80" s="96" t="s">
        <v>310</v>
      </c>
    </row>
    <row r="81" spans="1:13" x14ac:dyDescent="0.45">
      <c r="A81" s="22">
        <f t="shared" si="11"/>
        <v>80</v>
      </c>
      <c r="B81" s="27" t="s">
        <v>6236</v>
      </c>
      <c r="C81" s="18" t="s">
        <v>3330</v>
      </c>
      <c r="D81" s="18" t="s">
        <v>330</v>
      </c>
      <c r="E81" s="18" t="s">
        <v>5836</v>
      </c>
      <c r="F81" s="18" t="s">
        <v>70</v>
      </c>
      <c r="G81" s="18" t="s">
        <v>72</v>
      </c>
      <c r="H81" s="18" t="s">
        <v>71</v>
      </c>
      <c r="I81" s="18" t="s">
        <v>6237</v>
      </c>
      <c r="J81" s="18">
        <v>339063</v>
      </c>
      <c r="K81" s="18" t="s">
        <v>6238</v>
      </c>
      <c r="L81" s="98" t="s">
        <v>6239</v>
      </c>
      <c r="M81" s="96" t="s">
        <v>310</v>
      </c>
    </row>
    <row r="82" spans="1:13" x14ac:dyDescent="0.45">
      <c r="A82" s="22">
        <f t="shared" si="11"/>
        <v>81</v>
      </c>
      <c r="B82" s="27" t="s">
        <v>6236</v>
      </c>
      <c r="C82" s="18" t="s">
        <v>6240</v>
      </c>
      <c r="D82" s="18"/>
      <c r="E82" s="18" t="s">
        <v>5826</v>
      </c>
      <c r="F82" s="18" t="s">
        <v>101</v>
      </c>
      <c r="G82" s="18" t="s">
        <v>75</v>
      </c>
      <c r="H82" s="18" t="s">
        <v>71</v>
      </c>
      <c r="I82" s="18" t="s">
        <v>6241</v>
      </c>
      <c r="J82" s="18">
        <v>874912</v>
      </c>
      <c r="K82" s="18" t="s">
        <v>6242</v>
      </c>
      <c r="L82" s="98" t="s">
        <v>6243</v>
      </c>
      <c r="M82" s="96" t="s">
        <v>310</v>
      </c>
    </row>
    <row r="83" spans="1:13" x14ac:dyDescent="0.45">
      <c r="A83" s="22">
        <f t="shared" si="11"/>
        <v>82</v>
      </c>
      <c r="B83" s="27" t="s">
        <v>6236</v>
      </c>
      <c r="C83" s="18" t="s">
        <v>3330</v>
      </c>
      <c r="D83" s="18" t="s">
        <v>330</v>
      </c>
      <c r="E83" s="18" t="s">
        <v>5998</v>
      </c>
      <c r="F83" s="18" t="s">
        <v>73</v>
      </c>
      <c r="G83" s="18" t="s">
        <v>72</v>
      </c>
      <c r="H83" s="18" t="s">
        <v>71</v>
      </c>
      <c r="I83" s="18" t="s">
        <v>6248</v>
      </c>
      <c r="J83" s="18">
        <v>233578</v>
      </c>
      <c r="K83" s="18" t="s">
        <v>6249</v>
      </c>
      <c r="L83" s="98" t="s">
        <v>6250</v>
      </c>
      <c r="M83" s="96" t="s">
        <v>310</v>
      </c>
    </row>
    <row r="84" spans="1:13" x14ac:dyDescent="0.45">
      <c r="A84" s="22">
        <f t="shared" ref="A84:A89" si="12">ROW()-1</f>
        <v>83</v>
      </c>
      <c r="B84" s="27" t="s">
        <v>6224</v>
      </c>
      <c r="C84" s="18" t="s">
        <v>3474</v>
      </c>
      <c r="D84" s="18" t="s">
        <v>330</v>
      </c>
      <c r="E84" s="18" t="s">
        <v>5972</v>
      </c>
      <c r="F84" s="18" t="s">
        <v>100</v>
      </c>
      <c r="G84" s="18" t="s">
        <v>77</v>
      </c>
      <c r="H84" s="18" t="s">
        <v>88</v>
      </c>
      <c r="I84" s="18" t="s">
        <v>5973</v>
      </c>
      <c r="J84" s="18">
        <v>293796</v>
      </c>
      <c r="K84" s="18" t="s">
        <v>5974</v>
      </c>
      <c r="L84" s="98" t="s">
        <v>5975</v>
      </c>
      <c r="M84" s="96" t="s">
        <v>310</v>
      </c>
    </row>
    <row r="85" spans="1:13" x14ac:dyDescent="0.45">
      <c r="A85" s="22">
        <f t="shared" si="12"/>
        <v>84</v>
      </c>
      <c r="B85" s="27" t="s">
        <v>6255</v>
      </c>
      <c r="C85" s="18" t="s">
        <v>3474</v>
      </c>
      <c r="D85" s="18" t="s">
        <v>330</v>
      </c>
      <c r="E85" s="18" t="s">
        <v>5784</v>
      </c>
      <c r="F85" s="18" t="s">
        <v>100</v>
      </c>
      <c r="G85" s="18" t="s">
        <v>77</v>
      </c>
      <c r="H85" s="18" t="s">
        <v>88</v>
      </c>
      <c r="I85" s="18" t="s">
        <v>6256</v>
      </c>
      <c r="J85" s="18">
        <v>233353</v>
      </c>
      <c r="K85" s="18" t="s">
        <v>6257</v>
      </c>
      <c r="L85" s="98" t="s">
        <v>6258</v>
      </c>
      <c r="M85" s="96" t="s">
        <v>310</v>
      </c>
    </row>
    <row r="86" spans="1:13" x14ac:dyDescent="0.45">
      <c r="A86" s="22">
        <f t="shared" si="12"/>
        <v>85</v>
      </c>
      <c r="B86" s="27" t="s">
        <v>6236</v>
      </c>
      <c r="C86" s="18" t="s">
        <v>6264</v>
      </c>
      <c r="D86" s="18"/>
      <c r="E86" s="18" t="s">
        <v>6265</v>
      </c>
      <c r="F86" s="18" t="s">
        <v>73</v>
      </c>
      <c r="G86" s="18" t="s">
        <v>72</v>
      </c>
      <c r="H86" s="18" t="s">
        <v>71</v>
      </c>
      <c r="I86" s="18" t="s">
        <v>6266</v>
      </c>
      <c r="J86" s="18">
        <v>173345</v>
      </c>
      <c r="K86" s="18" t="s">
        <v>6267</v>
      </c>
      <c r="L86" s="98" t="s">
        <v>6268</v>
      </c>
      <c r="M86" s="96" t="s">
        <v>310</v>
      </c>
    </row>
    <row r="87" spans="1:13" x14ac:dyDescent="0.45">
      <c r="A87" s="22">
        <f t="shared" si="12"/>
        <v>86</v>
      </c>
      <c r="B87" s="27" t="s">
        <v>6236</v>
      </c>
      <c r="C87" s="18" t="s">
        <v>1018</v>
      </c>
      <c r="D87" s="18" t="s">
        <v>330</v>
      </c>
      <c r="E87" s="18" t="s">
        <v>6273</v>
      </c>
      <c r="F87" s="18" t="s">
        <v>70</v>
      </c>
      <c r="G87" s="18" t="s">
        <v>72</v>
      </c>
      <c r="H87" s="18" t="s">
        <v>71</v>
      </c>
      <c r="I87" s="18" t="s">
        <v>6274</v>
      </c>
      <c r="J87" s="18">
        <v>134224</v>
      </c>
      <c r="K87" s="18" t="s">
        <v>6275</v>
      </c>
      <c r="L87" s="98"/>
      <c r="M87" s="96" t="s">
        <v>310</v>
      </c>
    </row>
    <row r="88" spans="1:13" x14ac:dyDescent="0.45">
      <c r="A88" s="22">
        <f t="shared" si="12"/>
        <v>87</v>
      </c>
      <c r="B88" s="27" t="s">
        <v>6280</v>
      </c>
      <c r="C88" s="18" t="s">
        <v>1018</v>
      </c>
      <c r="D88" s="18" t="s">
        <v>330</v>
      </c>
      <c r="E88" s="18" t="s">
        <v>5998</v>
      </c>
      <c r="F88" s="18" t="s">
        <v>70</v>
      </c>
      <c r="G88" s="18" t="s">
        <v>72</v>
      </c>
      <c r="H88" s="18" t="s">
        <v>71</v>
      </c>
      <c r="I88" s="18" t="s">
        <v>6281</v>
      </c>
      <c r="J88" s="18">
        <v>93180</v>
      </c>
      <c r="K88" s="18" t="s">
        <v>6282</v>
      </c>
      <c r="L88" s="98" t="s">
        <v>6283</v>
      </c>
      <c r="M88" s="96" t="s">
        <v>310</v>
      </c>
    </row>
    <row r="89" spans="1:13" x14ac:dyDescent="0.45">
      <c r="A89" s="22">
        <f t="shared" si="12"/>
        <v>88</v>
      </c>
      <c r="B89" s="27" t="s">
        <v>6280</v>
      </c>
      <c r="C89" s="18" t="s">
        <v>5476</v>
      </c>
      <c r="D89" s="18" t="s">
        <v>330</v>
      </c>
      <c r="E89" s="18" t="s">
        <v>5863</v>
      </c>
      <c r="F89" s="18" t="s">
        <v>73</v>
      </c>
      <c r="G89" s="18" t="s">
        <v>72</v>
      </c>
      <c r="H89" s="18" t="s">
        <v>71</v>
      </c>
      <c r="I89" s="18" t="s">
        <v>6289</v>
      </c>
      <c r="J89" s="18">
        <v>316584</v>
      </c>
      <c r="K89" s="18" t="s">
        <v>6290</v>
      </c>
      <c r="L89" s="98" t="s">
        <v>6291</v>
      </c>
      <c r="M89" s="96" t="s">
        <v>310</v>
      </c>
    </row>
    <row r="90" spans="1:13" x14ac:dyDescent="0.45">
      <c r="A90" s="22">
        <f t="shared" ref="A90:A97" si="13">ROW()-1</f>
        <v>89</v>
      </c>
      <c r="B90" s="27" t="s">
        <v>6280</v>
      </c>
      <c r="C90" s="18" t="s">
        <v>6295</v>
      </c>
      <c r="D90" s="18"/>
      <c r="E90" s="18" t="s">
        <v>6265</v>
      </c>
      <c r="F90" s="18" t="s">
        <v>73</v>
      </c>
      <c r="G90" s="18" t="s">
        <v>72</v>
      </c>
      <c r="H90" s="18" t="s">
        <v>71</v>
      </c>
      <c r="I90" s="18" t="s">
        <v>6296</v>
      </c>
      <c r="J90" s="18">
        <v>272804</v>
      </c>
      <c r="K90" s="18"/>
      <c r="L90" s="98" t="s">
        <v>6297</v>
      </c>
      <c r="M90" s="96" t="s">
        <v>310</v>
      </c>
    </row>
    <row r="91" spans="1:13" x14ac:dyDescent="0.45">
      <c r="A91" s="22">
        <f t="shared" si="13"/>
        <v>90</v>
      </c>
      <c r="B91" s="27" t="s">
        <v>6280</v>
      </c>
      <c r="C91" s="18" t="s">
        <v>1018</v>
      </c>
      <c r="D91" s="18" t="s">
        <v>330</v>
      </c>
      <c r="E91" s="18" t="s">
        <v>5836</v>
      </c>
      <c r="F91" s="18" t="s">
        <v>100</v>
      </c>
      <c r="G91" s="18" t="s">
        <v>72</v>
      </c>
      <c r="H91" s="18" t="s">
        <v>71</v>
      </c>
      <c r="I91" s="18" t="s">
        <v>6300</v>
      </c>
      <c r="J91" s="18">
        <v>718821</v>
      </c>
      <c r="K91" s="18" t="s">
        <v>6301</v>
      </c>
      <c r="L91" s="98" t="s">
        <v>6302</v>
      </c>
      <c r="M91" s="96" t="s">
        <v>310</v>
      </c>
    </row>
    <row r="92" spans="1:13" x14ac:dyDescent="0.45">
      <c r="A92" s="22">
        <f t="shared" si="13"/>
        <v>91</v>
      </c>
      <c r="B92" s="27" t="s">
        <v>6280</v>
      </c>
      <c r="C92" s="18" t="s">
        <v>2194</v>
      </c>
      <c r="D92" s="18" t="s">
        <v>330</v>
      </c>
      <c r="E92" s="18" t="s">
        <v>5863</v>
      </c>
      <c r="F92" s="18" t="s">
        <v>73</v>
      </c>
      <c r="G92" s="18" t="s">
        <v>72</v>
      </c>
      <c r="H92" s="18" t="s">
        <v>71</v>
      </c>
      <c r="I92" s="18" t="s">
        <v>6309</v>
      </c>
      <c r="J92" s="18">
        <v>628328</v>
      </c>
      <c r="K92" s="18" t="s">
        <v>6310</v>
      </c>
      <c r="L92" s="98" t="s">
        <v>6311</v>
      </c>
      <c r="M92" s="96" t="s">
        <v>310</v>
      </c>
    </row>
    <row r="93" spans="1:13" x14ac:dyDescent="0.45">
      <c r="A93" s="22">
        <f t="shared" si="13"/>
        <v>92</v>
      </c>
      <c r="B93" s="27" t="s">
        <v>6280</v>
      </c>
      <c r="C93" s="18" t="s">
        <v>6318</v>
      </c>
      <c r="D93" s="18"/>
      <c r="E93" s="18" t="s">
        <v>5826</v>
      </c>
      <c r="F93" s="18" t="s">
        <v>100</v>
      </c>
      <c r="G93" s="18" t="s">
        <v>72</v>
      </c>
      <c r="H93" s="18" t="s">
        <v>88</v>
      </c>
      <c r="I93" s="18" t="s">
        <v>6319</v>
      </c>
      <c r="J93" s="18">
        <v>840466</v>
      </c>
      <c r="K93" s="18" t="s">
        <v>6320</v>
      </c>
      <c r="L93" s="98" t="s">
        <v>6321</v>
      </c>
      <c r="M93" s="96" t="s">
        <v>310</v>
      </c>
    </row>
    <row r="94" spans="1:13" x14ac:dyDescent="0.45">
      <c r="A94" s="22">
        <f t="shared" si="13"/>
        <v>93</v>
      </c>
      <c r="B94" s="27" t="s">
        <v>6280</v>
      </c>
      <c r="C94" s="18" t="s">
        <v>1812</v>
      </c>
      <c r="D94" s="18" t="s">
        <v>632</v>
      </c>
      <c r="E94" s="18" t="s">
        <v>5571</v>
      </c>
      <c r="F94" s="18" t="s">
        <v>70</v>
      </c>
      <c r="G94" s="18" t="s">
        <v>72</v>
      </c>
      <c r="H94" s="18" t="s">
        <v>71</v>
      </c>
      <c r="I94" s="18" t="s">
        <v>6328</v>
      </c>
      <c r="J94" s="18">
        <v>197965</v>
      </c>
      <c r="K94" s="18" t="s">
        <v>6329</v>
      </c>
      <c r="L94" s="98"/>
      <c r="M94" s="96" t="s">
        <v>310</v>
      </c>
    </row>
    <row r="95" spans="1:13" x14ac:dyDescent="0.45">
      <c r="A95" s="22">
        <f t="shared" si="13"/>
        <v>94</v>
      </c>
      <c r="B95" s="27" t="s">
        <v>6280</v>
      </c>
      <c r="C95" s="18" t="s">
        <v>1018</v>
      </c>
      <c r="D95" s="18" t="s">
        <v>330</v>
      </c>
      <c r="E95" s="18" t="s">
        <v>6090</v>
      </c>
      <c r="F95" s="18" t="s">
        <v>100</v>
      </c>
      <c r="G95" s="18" t="s">
        <v>72</v>
      </c>
      <c r="H95" s="18" t="s">
        <v>71</v>
      </c>
      <c r="I95" s="18" t="s">
        <v>6333</v>
      </c>
      <c r="J95" s="18">
        <v>841720</v>
      </c>
      <c r="K95" s="18" t="s">
        <v>6334</v>
      </c>
      <c r="L95" s="98"/>
      <c r="M95" s="96" t="s">
        <v>310</v>
      </c>
    </row>
    <row r="96" spans="1:13" x14ac:dyDescent="0.45">
      <c r="A96" s="22">
        <f t="shared" si="13"/>
        <v>95</v>
      </c>
      <c r="B96" s="27" t="s">
        <v>6340</v>
      </c>
      <c r="C96" s="18" t="s">
        <v>2260</v>
      </c>
      <c r="D96" s="18" t="s">
        <v>330</v>
      </c>
      <c r="E96" s="18" t="s">
        <v>6127</v>
      </c>
      <c r="F96" s="18" t="s">
        <v>93</v>
      </c>
      <c r="G96" s="18" t="s">
        <v>77</v>
      </c>
      <c r="H96" s="18" t="s">
        <v>88</v>
      </c>
      <c r="I96" s="18" t="s">
        <v>6341</v>
      </c>
      <c r="J96" s="18">
        <v>705596</v>
      </c>
      <c r="K96" s="18" t="s">
        <v>6342</v>
      </c>
      <c r="L96" s="98" t="s">
        <v>6343</v>
      </c>
      <c r="M96" s="96" t="s">
        <v>310</v>
      </c>
    </row>
    <row r="97" spans="1:13" x14ac:dyDescent="0.45">
      <c r="A97" s="22">
        <f t="shared" si="13"/>
        <v>96</v>
      </c>
      <c r="B97" s="27" t="s">
        <v>6224</v>
      </c>
      <c r="C97" s="18" t="s">
        <v>2260</v>
      </c>
      <c r="D97" s="18" t="s">
        <v>330</v>
      </c>
      <c r="E97" s="18" t="s">
        <v>6127</v>
      </c>
      <c r="F97" s="18" t="s">
        <v>93</v>
      </c>
      <c r="G97" s="18" t="s">
        <v>77</v>
      </c>
      <c r="H97" s="18" t="s">
        <v>88</v>
      </c>
      <c r="I97" s="18" t="s">
        <v>6341</v>
      </c>
      <c r="J97" s="18">
        <v>709065</v>
      </c>
      <c r="K97" s="18" t="s">
        <v>6342</v>
      </c>
      <c r="L97" s="98" t="s">
        <v>6343</v>
      </c>
      <c r="M97" s="96" t="s">
        <v>310</v>
      </c>
    </row>
    <row r="98" spans="1:13" x14ac:dyDescent="0.45">
      <c r="A98" s="22">
        <f t="shared" ref="A98:A103" si="14">ROW()-1</f>
        <v>97</v>
      </c>
      <c r="B98" s="27" t="s">
        <v>6344</v>
      </c>
      <c r="C98" s="18" t="s">
        <v>3598</v>
      </c>
      <c r="D98" s="18" t="s">
        <v>330</v>
      </c>
      <c r="E98" s="18" t="s">
        <v>5826</v>
      </c>
      <c r="F98" s="18" t="s">
        <v>99</v>
      </c>
      <c r="G98" s="18" t="s">
        <v>75</v>
      </c>
      <c r="H98" s="18" t="s">
        <v>71</v>
      </c>
      <c r="I98" s="18" t="s">
        <v>6345</v>
      </c>
      <c r="J98" s="18">
        <v>549686</v>
      </c>
      <c r="K98" s="18" t="s">
        <v>6346</v>
      </c>
      <c r="L98" s="98" t="s">
        <v>6347</v>
      </c>
      <c r="M98" s="96" t="s">
        <v>310</v>
      </c>
    </row>
    <row r="99" spans="1:13" x14ac:dyDescent="0.45">
      <c r="A99" s="22">
        <f t="shared" si="14"/>
        <v>98</v>
      </c>
      <c r="B99" s="27" t="s">
        <v>6344</v>
      </c>
      <c r="C99" s="18" t="s">
        <v>3598</v>
      </c>
      <c r="D99" s="18" t="s">
        <v>330</v>
      </c>
      <c r="E99" s="18" t="s">
        <v>5826</v>
      </c>
      <c r="F99" s="18" t="s">
        <v>99</v>
      </c>
      <c r="G99" s="18" t="s">
        <v>75</v>
      </c>
      <c r="H99" s="18" t="s">
        <v>71</v>
      </c>
      <c r="I99" s="18" t="s">
        <v>6348</v>
      </c>
      <c r="J99" s="18">
        <v>516640</v>
      </c>
      <c r="K99" s="18"/>
      <c r="L99" s="98"/>
      <c r="M99" s="96" t="s">
        <v>310</v>
      </c>
    </row>
    <row r="100" spans="1:13" x14ac:dyDescent="0.45">
      <c r="A100" s="22">
        <f t="shared" si="14"/>
        <v>99</v>
      </c>
      <c r="B100" s="27" t="s">
        <v>5783</v>
      </c>
      <c r="C100" s="18" t="s">
        <v>3598</v>
      </c>
      <c r="D100" s="18" t="s">
        <v>330</v>
      </c>
      <c r="E100" s="18" t="s">
        <v>5836</v>
      </c>
      <c r="F100" s="18" t="s">
        <v>100</v>
      </c>
      <c r="G100" s="18"/>
      <c r="H100" s="18" t="s">
        <v>71</v>
      </c>
      <c r="I100" s="18" t="s">
        <v>6351</v>
      </c>
      <c r="J100" s="18">
        <v>392266</v>
      </c>
      <c r="K100" s="18" t="s">
        <v>6352</v>
      </c>
      <c r="L100" s="98" t="s">
        <v>6353</v>
      </c>
      <c r="M100" s="96" t="s">
        <v>310</v>
      </c>
    </row>
    <row r="101" spans="1:13" x14ac:dyDescent="0.45">
      <c r="A101" s="22">
        <f t="shared" si="14"/>
        <v>100</v>
      </c>
      <c r="B101" s="27" t="s">
        <v>5783</v>
      </c>
      <c r="C101" s="18" t="s">
        <v>2260</v>
      </c>
      <c r="D101" s="18" t="s">
        <v>330</v>
      </c>
      <c r="E101" s="18" t="s">
        <v>5826</v>
      </c>
      <c r="F101" s="18"/>
      <c r="G101" s="18" t="s">
        <v>77</v>
      </c>
      <c r="H101" s="18" t="s">
        <v>88</v>
      </c>
      <c r="I101" s="18" t="s">
        <v>6356</v>
      </c>
      <c r="J101" s="18">
        <v>974854</v>
      </c>
      <c r="K101" s="18" t="s">
        <v>6357</v>
      </c>
      <c r="L101" s="98" t="s">
        <v>6358</v>
      </c>
      <c r="M101" s="96" t="s">
        <v>310</v>
      </c>
    </row>
    <row r="102" spans="1:13" x14ac:dyDescent="0.45">
      <c r="A102" s="22">
        <f t="shared" si="14"/>
        <v>101</v>
      </c>
      <c r="B102" s="27" t="s">
        <v>6344</v>
      </c>
      <c r="C102" s="18" t="s">
        <v>6359</v>
      </c>
      <c r="D102" s="18"/>
      <c r="E102" s="18" t="s">
        <v>5571</v>
      </c>
      <c r="F102" s="18" t="s">
        <v>100</v>
      </c>
      <c r="G102" s="18" t="s">
        <v>72</v>
      </c>
      <c r="H102" s="18" t="s">
        <v>71</v>
      </c>
      <c r="I102" s="18" t="s">
        <v>6360</v>
      </c>
      <c r="J102" s="18">
        <v>944053</v>
      </c>
      <c r="K102" s="18"/>
      <c r="L102" s="98" t="s">
        <v>6361</v>
      </c>
      <c r="M102" s="96" t="s">
        <v>310</v>
      </c>
    </row>
    <row r="103" spans="1:13" x14ac:dyDescent="0.45">
      <c r="A103" s="22">
        <f t="shared" si="14"/>
        <v>102</v>
      </c>
      <c r="B103" s="27" t="s">
        <v>6340</v>
      </c>
      <c r="C103" s="18" t="s">
        <v>6363</v>
      </c>
      <c r="D103" s="18"/>
      <c r="E103" s="18" t="s">
        <v>6364</v>
      </c>
      <c r="F103" s="18" t="s">
        <v>70</v>
      </c>
      <c r="G103" s="18" t="s">
        <v>72</v>
      </c>
      <c r="H103" s="18" t="s">
        <v>71</v>
      </c>
      <c r="I103" s="18" t="s">
        <v>6365</v>
      </c>
      <c r="J103" s="18">
        <v>491443</v>
      </c>
      <c r="K103" s="18" t="s">
        <v>6366</v>
      </c>
      <c r="L103" s="98" t="s">
        <v>6191</v>
      </c>
      <c r="M103" s="96" t="s">
        <v>310</v>
      </c>
    </row>
    <row r="104" spans="1:13" x14ac:dyDescent="0.45">
      <c r="A104" s="22">
        <f t="shared" ref="A104:A111" si="15">ROW()-1</f>
        <v>103</v>
      </c>
      <c r="B104" s="27" t="s">
        <v>6344</v>
      </c>
      <c r="C104" s="18" t="s">
        <v>3330</v>
      </c>
      <c r="D104" s="18" t="s">
        <v>330</v>
      </c>
      <c r="E104" s="18" t="s">
        <v>5998</v>
      </c>
      <c r="F104" s="18" t="s">
        <v>73</v>
      </c>
      <c r="G104" s="18" t="s">
        <v>72</v>
      </c>
      <c r="H104" s="18" t="s">
        <v>71</v>
      </c>
      <c r="I104" s="18" t="s">
        <v>6369</v>
      </c>
      <c r="J104" s="18">
        <v>220930</v>
      </c>
      <c r="K104" s="18"/>
      <c r="L104" s="98"/>
      <c r="M104" s="96" t="s">
        <v>310</v>
      </c>
    </row>
    <row r="105" spans="1:13" x14ac:dyDescent="0.45">
      <c r="A105" s="22">
        <f t="shared" si="15"/>
        <v>104</v>
      </c>
      <c r="B105" s="27" t="s">
        <v>6372</v>
      </c>
      <c r="C105" s="18" t="s">
        <v>3598</v>
      </c>
      <c r="D105" s="18" t="s">
        <v>330</v>
      </c>
      <c r="E105" s="18" t="s">
        <v>5784</v>
      </c>
      <c r="F105" s="18" t="s">
        <v>99</v>
      </c>
      <c r="G105" s="18" t="s">
        <v>77</v>
      </c>
      <c r="H105" s="18" t="s">
        <v>88</v>
      </c>
      <c r="I105" s="18" t="s">
        <v>6373</v>
      </c>
      <c r="J105" s="18">
        <v>914850</v>
      </c>
      <c r="K105" s="18" t="s">
        <v>6374</v>
      </c>
      <c r="L105" s="98" t="s">
        <v>6375</v>
      </c>
      <c r="M105" s="96" t="s">
        <v>310</v>
      </c>
    </row>
    <row r="106" spans="1:13" x14ac:dyDescent="0.45">
      <c r="A106" s="22">
        <f t="shared" si="15"/>
        <v>105</v>
      </c>
      <c r="B106" s="27" t="s">
        <v>5777</v>
      </c>
      <c r="C106" s="18" t="s">
        <v>5267</v>
      </c>
      <c r="D106" s="18" t="s">
        <v>330</v>
      </c>
      <c r="E106" s="18" t="s">
        <v>6115</v>
      </c>
      <c r="F106" s="18" t="s">
        <v>100</v>
      </c>
      <c r="G106" s="18" t="s">
        <v>77</v>
      </c>
      <c r="H106" s="18" t="s">
        <v>88</v>
      </c>
      <c r="I106" s="18" t="s">
        <v>6380</v>
      </c>
      <c r="J106" s="18">
        <v>222368</v>
      </c>
      <c r="K106" s="18" t="s">
        <v>6381</v>
      </c>
      <c r="L106" s="98" t="s">
        <v>6382</v>
      </c>
      <c r="M106" s="96" t="s">
        <v>310</v>
      </c>
    </row>
    <row r="107" spans="1:13" x14ac:dyDescent="0.45">
      <c r="A107" s="22">
        <f t="shared" si="15"/>
        <v>106</v>
      </c>
      <c r="B107" s="27" t="s">
        <v>5777</v>
      </c>
      <c r="C107" s="18" t="s">
        <v>6394</v>
      </c>
      <c r="D107" s="18"/>
      <c r="E107" s="18" t="s">
        <v>5998</v>
      </c>
      <c r="F107" s="18" t="s">
        <v>100</v>
      </c>
      <c r="G107" s="18" t="s">
        <v>77</v>
      </c>
      <c r="H107" s="18" t="s">
        <v>74</v>
      </c>
      <c r="I107" s="18" t="s">
        <v>6395</v>
      </c>
      <c r="J107" s="18" t="s">
        <v>6396</v>
      </c>
      <c r="K107" s="18" t="s">
        <v>6397</v>
      </c>
      <c r="L107" s="98" t="s">
        <v>6398</v>
      </c>
      <c r="M107" s="96" t="s">
        <v>310</v>
      </c>
    </row>
    <row r="108" spans="1:13" x14ac:dyDescent="0.45">
      <c r="A108" s="22">
        <f t="shared" si="15"/>
        <v>107</v>
      </c>
      <c r="B108" s="27" t="s">
        <v>5777</v>
      </c>
      <c r="C108" s="18" t="s">
        <v>5782</v>
      </c>
      <c r="D108" s="18"/>
      <c r="E108" s="18" t="s">
        <v>5784</v>
      </c>
      <c r="F108" s="18" t="s">
        <v>100</v>
      </c>
      <c r="G108" s="18" t="s">
        <v>75</v>
      </c>
      <c r="H108" s="18" t="s">
        <v>88</v>
      </c>
      <c r="I108" s="18" t="s">
        <v>6034</v>
      </c>
      <c r="J108" s="18">
        <v>482437</v>
      </c>
      <c r="K108" s="18" t="s">
        <v>6399</v>
      </c>
      <c r="L108" s="98" t="s">
        <v>6400</v>
      </c>
      <c r="M108" s="96" t="s">
        <v>310</v>
      </c>
    </row>
    <row r="109" spans="1:13" x14ac:dyDescent="0.45">
      <c r="A109" s="22">
        <f t="shared" si="15"/>
        <v>108</v>
      </c>
      <c r="B109" s="27" t="s">
        <v>6403</v>
      </c>
      <c r="C109" s="18" t="s">
        <v>1018</v>
      </c>
      <c r="D109" s="18" t="s">
        <v>330</v>
      </c>
      <c r="E109" s="18" t="s">
        <v>5784</v>
      </c>
      <c r="F109" s="18" t="s">
        <v>81</v>
      </c>
      <c r="G109" s="18" t="s">
        <v>75</v>
      </c>
      <c r="H109" s="18" t="s">
        <v>71</v>
      </c>
      <c r="I109" s="18" t="s">
        <v>6404</v>
      </c>
      <c r="J109" s="18">
        <v>841419</v>
      </c>
      <c r="K109" s="18" t="s">
        <v>6405</v>
      </c>
      <c r="L109" s="98" t="s">
        <v>6406</v>
      </c>
      <c r="M109" s="96" t="s">
        <v>310</v>
      </c>
    </row>
    <row r="110" spans="1:13" x14ac:dyDescent="0.45">
      <c r="A110" s="22">
        <f t="shared" si="15"/>
        <v>109</v>
      </c>
      <c r="B110" s="27" t="s">
        <v>6414</v>
      </c>
      <c r="C110" s="18" t="s">
        <v>606</v>
      </c>
      <c r="D110" s="18" t="s">
        <v>330</v>
      </c>
      <c r="E110" s="18" t="s">
        <v>6265</v>
      </c>
      <c r="F110" s="18" t="s">
        <v>73</v>
      </c>
      <c r="G110" s="18" t="s">
        <v>72</v>
      </c>
      <c r="H110" s="18" t="s">
        <v>71</v>
      </c>
      <c r="I110" s="18" t="s">
        <v>6415</v>
      </c>
      <c r="J110" s="18">
        <v>320453</v>
      </c>
      <c r="K110" s="18" t="s">
        <v>6416</v>
      </c>
      <c r="L110" s="98" t="s">
        <v>6417</v>
      </c>
      <c r="M110" s="96" t="s">
        <v>310</v>
      </c>
    </row>
    <row r="111" spans="1:13" x14ac:dyDescent="0.45">
      <c r="A111" s="22">
        <f t="shared" si="15"/>
        <v>110</v>
      </c>
      <c r="B111" s="27" t="s">
        <v>6414</v>
      </c>
      <c r="C111" s="18" t="s">
        <v>6423</v>
      </c>
      <c r="D111" s="18"/>
      <c r="E111" s="18" t="s">
        <v>5836</v>
      </c>
      <c r="F111" s="18" t="s">
        <v>73</v>
      </c>
      <c r="G111" s="18" t="s">
        <v>89</v>
      </c>
      <c r="H111" s="18" t="s">
        <v>74</v>
      </c>
      <c r="I111" s="18" t="s">
        <v>6424</v>
      </c>
      <c r="J111" s="18">
        <v>560277</v>
      </c>
      <c r="K111" s="18" t="s">
        <v>6425</v>
      </c>
      <c r="L111" s="98" t="s">
        <v>6426</v>
      </c>
      <c r="M111" s="96" t="s">
        <v>310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 tint="-0.499984740745262"/>
  </sheetPr>
  <dimension ref="A1:W810"/>
  <sheetViews>
    <sheetView topLeftCell="A780" zoomScale="70" zoomScaleNormal="70" workbookViewId="0">
      <selection activeCell="C804" sqref="C804"/>
    </sheetView>
  </sheetViews>
  <sheetFormatPr defaultColWidth="9.1328125" defaultRowHeight="14.25" x14ac:dyDescent="0.45"/>
  <cols>
    <col min="1" max="1" width="5.3984375" customWidth="1"/>
    <col min="2" max="2" width="10.3984375" bestFit="1" customWidth="1"/>
    <col min="3" max="3" width="38.1328125" bestFit="1" customWidth="1"/>
    <col min="4" max="4" width="15.3984375" customWidth="1"/>
    <col min="5" max="5" width="18.265625" bestFit="1" customWidth="1"/>
    <col min="6" max="6" width="22.59765625" bestFit="1" customWidth="1"/>
    <col min="7" max="7" width="18.1328125" bestFit="1" customWidth="1"/>
    <col min="8" max="8" width="15.3984375" bestFit="1" customWidth="1"/>
    <col min="9" max="9" width="19.265625" bestFit="1" customWidth="1"/>
    <col min="10" max="10" width="16" bestFit="1" customWidth="1"/>
    <col min="11" max="11" width="14.265625" bestFit="1" customWidth="1"/>
    <col min="12" max="12" width="16.265625" bestFit="1" customWidth="1"/>
    <col min="13" max="13" width="9.3984375" customWidth="1"/>
    <col min="14" max="14" width="16.73046875" customWidth="1"/>
    <col min="15" max="15" width="9.3984375" customWidth="1"/>
    <col min="16" max="17" width="5.265625" bestFit="1" customWidth="1"/>
    <col min="18" max="18" width="5.265625" customWidth="1"/>
    <col min="19" max="19" width="5.265625" bestFit="1" customWidth="1"/>
    <col min="20" max="20" width="15.59765625" customWidth="1"/>
    <col min="21" max="21" width="10.1328125" customWidth="1"/>
    <col min="23" max="23" width="16.73046875" bestFit="1" customWidth="1"/>
  </cols>
  <sheetData>
    <row r="1" spans="1:23" ht="14.65" thickBot="1" x14ac:dyDescent="0.5">
      <c r="A1" s="23" t="s">
        <v>40</v>
      </c>
      <c r="B1" s="23" t="s">
        <v>5582</v>
      </c>
      <c r="C1" s="23" t="s">
        <v>5583</v>
      </c>
      <c r="D1" s="24" t="s">
        <v>15</v>
      </c>
      <c r="E1" s="24" t="s">
        <v>33</v>
      </c>
      <c r="F1" s="24" t="s">
        <v>34</v>
      </c>
      <c r="G1" s="24" t="s">
        <v>44</v>
      </c>
      <c r="H1" s="24" t="s">
        <v>5584</v>
      </c>
      <c r="I1" s="24" t="s">
        <v>3</v>
      </c>
      <c r="J1" s="24" t="s">
        <v>36</v>
      </c>
      <c r="K1" s="24" t="s">
        <v>8</v>
      </c>
      <c r="L1" s="24" t="s">
        <v>2</v>
      </c>
      <c r="M1" s="24" t="s">
        <v>66</v>
      </c>
      <c r="N1" s="24" t="s">
        <v>37</v>
      </c>
      <c r="O1" s="24" t="s">
        <v>38</v>
      </c>
      <c r="P1" s="24" t="s">
        <v>41</v>
      </c>
      <c r="Q1" s="24" t="s">
        <v>42</v>
      </c>
      <c r="R1" s="24" t="s">
        <v>306</v>
      </c>
      <c r="S1" s="24" t="s">
        <v>43</v>
      </c>
      <c r="T1" s="24" t="s">
        <v>39</v>
      </c>
      <c r="U1" s="25" t="s">
        <v>45</v>
      </c>
      <c r="V1" s="28" t="s">
        <v>61</v>
      </c>
      <c r="W1" s="28" t="s">
        <v>310</v>
      </c>
    </row>
    <row r="2" spans="1:23" x14ac:dyDescent="0.45">
      <c r="A2" s="103">
        <f t="shared" ref="A2:A10" si="0">ROW()-1</f>
        <v>1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</row>
    <row r="3" spans="1:23" x14ac:dyDescent="0.45">
      <c r="A3" s="103">
        <f t="shared" si="0"/>
        <v>2</v>
      </c>
      <c r="B3" s="103" t="s">
        <v>46</v>
      </c>
      <c r="C3" s="103" t="s">
        <v>31</v>
      </c>
      <c r="D3" s="103"/>
      <c r="E3" s="103"/>
      <c r="F3" s="103"/>
      <c r="G3" s="103" t="s">
        <v>44</v>
      </c>
      <c r="H3" s="104">
        <v>3.3299999999999998E+35</v>
      </c>
      <c r="I3" s="103">
        <v>1111</v>
      </c>
      <c r="J3" s="103">
        <v>11</v>
      </c>
      <c r="K3" s="103">
        <v>11</v>
      </c>
      <c r="L3" s="103">
        <v>111111</v>
      </c>
      <c r="M3" s="103"/>
      <c r="N3" s="103" t="s">
        <v>46</v>
      </c>
      <c r="O3" s="103" t="s">
        <v>47</v>
      </c>
      <c r="P3" s="103">
        <v>1</v>
      </c>
      <c r="Q3" s="103">
        <v>1</v>
      </c>
      <c r="R3" s="103"/>
      <c r="S3" s="103">
        <v>1</v>
      </c>
      <c r="T3" s="103"/>
      <c r="U3" s="103">
        <v>11</v>
      </c>
      <c r="V3" s="103"/>
      <c r="W3" s="103"/>
    </row>
    <row r="4" spans="1:23" x14ac:dyDescent="0.45">
      <c r="A4" s="103">
        <f t="shared" si="0"/>
        <v>3</v>
      </c>
      <c r="B4" s="103" t="s">
        <v>46</v>
      </c>
      <c r="C4" s="103" t="s">
        <v>31</v>
      </c>
      <c r="D4" s="103"/>
      <c r="E4" s="103"/>
      <c r="F4" s="103"/>
      <c r="G4" s="103" t="s">
        <v>44</v>
      </c>
      <c r="H4" s="103">
        <v>100</v>
      </c>
      <c r="I4" s="103">
        <v>1111</v>
      </c>
      <c r="J4" s="103">
        <v>11</v>
      </c>
      <c r="K4" s="103">
        <v>11</v>
      </c>
      <c r="L4" s="103">
        <v>111111</v>
      </c>
      <c r="M4" s="103"/>
      <c r="N4" s="103" t="s">
        <v>46</v>
      </c>
      <c r="O4" s="103" t="s">
        <v>47</v>
      </c>
      <c r="P4" s="103">
        <v>1</v>
      </c>
      <c r="Q4" s="103">
        <v>1</v>
      </c>
      <c r="R4" s="103"/>
      <c r="S4" s="103">
        <v>1</v>
      </c>
      <c r="T4" s="103"/>
      <c r="U4" s="103">
        <v>11</v>
      </c>
      <c r="V4" s="103"/>
      <c r="W4" s="103"/>
    </row>
    <row r="5" spans="1:23" x14ac:dyDescent="0.45">
      <c r="A5" s="103">
        <f t="shared" si="0"/>
        <v>4</v>
      </c>
      <c r="B5" s="103" t="s">
        <v>46</v>
      </c>
      <c r="C5" s="103" t="s">
        <v>48</v>
      </c>
      <c r="D5" s="103"/>
      <c r="E5" s="103"/>
      <c r="F5" s="103"/>
      <c r="G5" s="103"/>
      <c r="H5" s="103">
        <v>100</v>
      </c>
      <c r="I5" s="103">
        <v>1111</v>
      </c>
      <c r="J5" s="103">
        <v>11</v>
      </c>
      <c r="K5" s="103">
        <v>11</v>
      </c>
      <c r="L5" s="103">
        <v>111111</v>
      </c>
      <c r="M5" s="103"/>
      <c r="N5" s="103" t="s">
        <v>46</v>
      </c>
      <c r="O5" s="103" t="s">
        <v>47</v>
      </c>
      <c r="P5" s="103">
        <v>1</v>
      </c>
      <c r="Q5" s="103">
        <v>1</v>
      </c>
      <c r="R5" s="103"/>
      <c r="S5" s="103">
        <v>1</v>
      </c>
      <c r="T5" s="103"/>
      <c r="U5" s="103">
        <v>11</v>
      </c>
      <c r="V5" s="103"/>
      <c r="W5" s="103"/>
    </row>
    <row r="6" spans="1:23" x14ac:dyDescent="0.45">
      <c r="A6" s="103">
        <f t="shared" si="0"/>
        <v>5</v>
      </c>
      <c r="B6" s="103" t="s">
        <v>46</v>
      </c>
      <c r="C6" s="103" t="s">
        <v>48</v>
      </c>
      <c r="D6" s="103"/>
      <c r="E6" s="103"/>
      <c r="F6" s="103"/>
      <c r="G6" s="103"/>
      <c r="H6" s="103">
        <v>1000</v>
      </c>
      <c r="I6" s="103">
        <v>1111</v>
      </c>
      <c r="J6" s="103">
        <v>11</v>
      </c>
      <c r="K6" s="103">
        <v>11</v>
      </c>
      <c r="L6" s="103">
        <v>111111</v>
      </c>
      <c r="M6" s="103"/>
      <c r="N6" s="103" t="s">
        <v>46</v>
      </c>
      <c r="O6" s="103" t="s">
        <v>47</v>
      </c>
      <c r="P6" s="103">
        <v>1</v>
      </c>
      <c r="Q6" s="103">
        <v>1</v>
      </c>
      <c r="R6" s="103"/>
      <c r="S6" s="103">
        <v>1</v>
      </c>
      <c r="T6" s="103"/>
      <c r="U6" s="103">
        <v>11</v>
      </c>
      <c r="V6" s="103"/>
      <c r="W6" s="103"/>
    </row>
    <row r="7" spans="1:23" x14ac:dyDescent="0.45">
      <c r="A7" s="103">
        <f t="shared" si="0"/>
        <v>6</v>
      </c>
      <c r="B7" s="103" t="s">
        <v>46</v>
      </c>
      <c r="C7" s="103" t="s">
        <v>49</v>
      </c>
      <c r="D7" s="103"/>
      <c r="E7" s="103"/>
      <c r="F7" s="103"/>
      <c r="G7" s="103"/>
      <c r="H7" s="103">
        <v>10000</v>
      </c>
      <c r="I7" s="103">
        <v>1111</v>
      </c>
      <c r="J7" s="103">
        <v>11</v>
      </c>
      <c r="K7" s="103">
        <v>11</v>
      </c>
      <c r="L7" s="103">
        <v>111111</v>
      </c>
      <c r="M7" s="103"/>
      <c r="N7" s="103" t="s">
        <v>46</v>
      </c>
      <c r="O7" s="103" t="s">
        <v>47</v>
      </c>
      <c r="P7" s="103">
        <v>1</v>
      </c>
      <c r="Q7" s="103">
        <v>1</v>
      </c>
      <c r="R7" s="103"/>
      <c r="S7" s="103">
        <v>1</v>
      </c>
      <c r="T7" s="103"/>
      <c r="U7" s="103">
        <v>11</v>
      </c>
      <c r="V7" s="103"/>
      <c r="W7" s="103"/>
    </row>
    <row r="8" spans="1:23" x14ac:dyDescent="0.45">
      <c r="A8" s="103">
        <f t="shared" si="0"/>
        <v>7</v>
      </c>
      <c r="B8" s="103" t="s">
        <v>46</v>
      </c>
      <c r="C8" s="103" t="s">
        <v>49</v>
      </c>
      <c r="D8" s="103"/>
      <c r="E8" s="103"/>
      <c r="F8" s="103"/>
      <c r="G8" s="103"/>
      <c r="H8" s="103" t="s">
        <v>50</v>
      </c>
      <c r="I8" s="103">
        <v>1111</v>
      </c>
      <c r="J8" s="103">
        <v>11</v>
      </c>
      <c r="K8" s="103">
        <v>11</v>
      </c>
      <c r="L8" s="103">
        <v>111111</v>
      </c>
      <c r="M8" s="103"/>
      <c r="N8" s="103" t="s">
        <v>46</v>
      </c>
      <c r="O8" s="103" t="s">
        <v>47</v>
      </c>
      <c r="P8" s="103">
        <v>1</v>
      </c>
      <c r="Q8" s="103">
        <v>1</v>
      </c>
      <c r="R8" s="103"/>
      <c r="S8" s="103">
        <v>1</v>
      </c>
      <c r="T8" s="103"/>
      <c r="U8" s="103">
        <v>11</v>
      </c>
      <c r="V8" s="103"/>
      <c r="W8" s="103"/>
    </row>
    <row r="9" spans="1:23" x14ac:dyDescent="0.45">
      <c r="A9" s="103">
        <f t="shared" si="0"/>
        <v>8</v>
      </c>
      <c r="B9" s="103" t="s">
        <v>51</v>
      </c>
      <c r="C9" s="103" t="s">
        <v>49</v>
      </c>
      <c r="D9" s="103"/>
      <c r="E9" s="103"/>
      <c r="F9" s="103"/>
      <c r="G9" s="103"/>
      <c r="H9" s="103" t="s">
        <v>50</v>
      </c>
      <c r="I9" s="103">
        <v>1111</v>
      </c>
      <c r="J9" s="103">
        <v>11</v>
      </c>
      <c r="K9" s="103">
        <v>11</v>
      </c>
      <c r="L9" s="103">
        <v>111111</v>
      </c>
      <c r="M9" s="103"/>
      <c r="N9" s="103" t="s">
        <v>51</v>
      </c>
      <c r="O9" s="103" t="s">
        <v>47</v>
      </c>
      <c r="P9" s="103">
        <v>1</v>
      </c>
      <c r="Q9" s="103">
        <v>1</v>
      </c>
      <c r="R9" s="103"/>
      <c r="S9" s="103">
        <v>1</v>
      </c>
      <c r="T9" s="103"/>
      <c r="U9" s="103">
        <v>11</v>
      </c>
      <c r="V9" s="103"/>
      <c r="W9" s="103"/>
    </row>
    <row r="10" spans="1:23" x14ac:dyDescent="0.45">
      <c r="A10" s="103">
        <f t="shared" si="0"/>
        <v>9</v>
      </c>
      <c r="B10" s="103" t="s">
        <v>51</v>
      </c>
      <c r="C10" s="103" t="s">
        <v>49</v>
      </c>
      <c r="D10" s="103"/>
      <c r="E10" s="103"/>
      <c r="F10" s="103"/>
      <c r="G10" s="103"/>
      <c r="H10" s="103" t="s">
        <v>52</v>
      </c>
      <c r="I10" s="103">
        <v>1111</v>
      </c>
      <c r="J10" s="103">
        <v>11</v>
      </c>
      <c r="K10" s="103">
        <v>11</v>
      </c>
      <c r="L10" s="103">
        <v>111111</v>
      </c>
      <c r="M10" s="103"/>
      <c r="N10" s="103" t="s">
        <v>51</v>
      </c>
      <c r="O10" s="103" t="s">
        <v>47</v>
      </c>
      <c r="P10" s="103">
        <v>1</v>
      </c>
      <c r="Q10" s="103">
        <v>1</v>
      </c>
      <c r="R10" s="103"/>
      <c r="S10" s="103">
        <v>1</v>
      </c>
      <c r="T10" s="103"/>
      <c r="U10" s="103">
        <v>11</v>
      </c>
      <c r="V10" s="103"/>
      <c r="W10" s="103"/>
    </row>
    <row r="11" spans="1:23" x14ac:dyDescent="0.45">
      <c r="A11" s="103">
        <f t="shared" ref="A11:A22" si="1">ROW()-1</f>
        <v>10</v>
      </c>
      <c r="B11" s="103" t="s">
        <v>51</v>
      </c>
      <c r="C11" s="103" t="s">
        <v>53</v>
      </c>
      <c r="D11" s="103"/>
      <c r="E11" s="103"/>
      <c r="F11" s="103"/>
      <c r="G11" s="103"/>
      <c r="H11" s="103" t="s">
        <v>52</v>
      </c>
      <c r="I11" s="103">
        <v>1111</v>
      </c>
      <c r="J11" s="103">
        <v>11</v>
      </c>
      <c r="K11" s="103">
        <v>11</v>
      </c>
      <c r="L11" s="103">
        <v>111111</v>
      </c>
      <c r="M11" s="103"/>
      <c r="N11" s="103" t="s">
        <v>51</v>
      </c>
      <c r="O11" s="103" t="s">
        <v>47</v>
      </c>
      <c r="P11" s="103">
        <v>1</v>
      </c>
      <c r="Q11" s="103">
        <v>1</v>
      </c>
      <c r="R11" s="103"/>
      <c r="S11" s="103">
        <v>1</v>
      </c>
      <c r="T11" s="103"/>
      <c r="U11" s="103">
        <v>11</v>
      </c>
      <c r="V11" s="103"/>
      <c r="W11" s="103"/>
    </row>
    <row r="12" spans="1:23" x14ac:dyDescent="0.45">
      <c r="A12" s="103">
        <f t="shared" si="1"/>
        <v>11</v>
      </c>
      <c r="B12" s="103" t="s">
        <v>51</v>
      </c>
      <c r="C12" s="103" t="s">
        <v>53</v>
      </c>
      <c r="D12" s="103"/>
      <c r="E12" s="103"/>
      <c r="F12" s="103"/>
      <c r="G12" s="103"/>
      <c r="H12" s="103">
        <v>16</v>
      </c>
      <c r="I12" s="103">
        <v>1111</v>
      </c>
      <c r="J12" s="103">
        <v>11</v>
      </c>
      <c r="K12" s="103">
        <v>11</v>
      </c>
      <c r="L12" s="103">
        <v>111111</v>
      </c>
      <c r="M12" s="103"/>
      <c r="N12" s="103" t="s">
        <v>51</v>
      </c>
      <c r="O12" s="103" t="s">
        <v>47</v>
      </c>
      <c r="P12" s="103">
        <v>1</v>
      </c>
      <c r="Q12" s="103">
        <v>1</v>
      </c>
      <c r="R12" s="103"/>
      <c r="S12" s="103">
        <v>1</v>
      </c>
      <c r="T12" s="103"/>
      <c r="U12" s="103">
        <v>11</v>
      </c>
      <c r="V12" s="103"/>
      <c r="W12" s="103"/>
    </row>
    <row r="13" spans="1:23" x14ac:dyDescent="0.45">
      <c r="A13" s="103">
        <f t="shared" si="1"/>
        <v>12</v>
      </c>
      <c r="B13" s="103" t="s">
        <v>60</v>
      </c>
      <c r="C13" s="103" t="s">
        <v>53</v>
      </c>
      <c r="D13" s="103" t="s">
        <v>56</v>
      </c>
      <c r="E13" s="103" t="s">
        <v>59</v>
      </c>
      <c r="F13" s="103" t="s">
        <v>58</v>
      </c>
      <c r="G13" s="103" t="s">
        <v>54</v>
      </c>
      <c r="H13" s="103">
        <v>16</v>
      </c>
      <c r="I13" s="103">
        <v>1111</v>
      </c>
      <c r="J13" s="103">
        <v>11</v>
      </c>
      <c r="K13" s="103">
        <v>11</v>
      </c>
      <c r="L13" s="103">
        <v>111111</v>
      </c>
      <c r="M13" s="103"/>
      <c r="N13" s="103" t="s">
        <v>60</v>
      </c>
      <c r="O13" s="103" t="s">
        <v>47</v>
      </c>
      <c r="P13" s="103">
        <v>1</v>
      </c>
      <c r="Q13" s="103">
        <v>1</v>
      </c>
      <c r="R13" s="103"/>
      <c r="S13" s="103">
        <v>1</v>
      </c>
      <c r="T13" s="103">
        <v>140000</v>
      </c>
      <c r="U13" s="103">
        <v>11</v>
      </c>
      <c r="V13" s="103"/>
      <c r="W13" s="103"/>
    </row>
    <row r="14" spans="1:23" x14ac:dyDescent="0.45">
      <c r="A14" s="103">
        <f t="shared" si="1"/>
        <v>13</v>
      </c>
      <c r="B14" s="103" t="s">
        <v>64</v>
      </c>
      <c r="C14" s="103" t="s">
        <v>11</v>
      </c>
      <c r="D14" s="103"/>
      <c r="E14" s="103"/>
      <c r="F14" s="103"/>
      <c r="G14" s="103"/>
      <c r="H14" s="103"/>
      <c r="I14" s="103">
        <v>2</v>
      </c>
      <c r="J14" s="103">
        <v>2</v>
      </c>
      <c r="K14" s="103">
        <v>2</v>
      </c>
      <c r="L14" s="103">
        <v>22222</v>
      </c>
      <c r="M14" s="103"/>
      <c r="N14" s="103" t="s">
        <v>64</v>
      </c>
      <c r="O14" s="103" t="s">
        <v>47</v>
      </c>
      <c r="P14" s="103">
        <v>2</v>
      </c>
      <c r="Q14" s="103">
        <v>2</v>
      </c>
      <c r="R14" s="103"/>
      <c r="S14" s="103">
        <v>2</v>
      </c>
      <c r="T14" s="103"/>
      <c r="U14" s="103">
        <v>2</v>
      </c>
      <c r="V14" s="103" t="s">
        <v>65</v>
      </c>
      <c r="W14" s="103"/>
    </row>
    <row r="15" spans="1:23" x14ac:dyDescent="0.45">
      <c r="A15" s="103">
        <f t="shared" si="1"/>
        <v>14</v>
      </c>
      <c r="B15" s="103"/>
      <c r="C15" s="103"/>
      <c r="D15" s="103"/>
      <c r="E15" s="103"/>
      <c r="F15" s="103"/>
      <c r="G15" s="103"/>
      <c r="H15" s="103"/>
      <c r="I15" s="103" t="s">
        <v>173</v>
      </c>
      <c r="J15" s="103" t="s">
        <v>122</v>
      </c>
      <c r="K15" s="103" t="s">
        <v>124</v>
      </c>
      <c r="L15" s="103">
        <v>2232</v>
      </c>
      <c r="M15" s="103" t="s">
        <v>5574</v>
      </c>
      <c r="N15" s="103" t="s">
        <v>5570</v>
      </c>
      <c r="O15" s="103" t="s">
        <v>47</v>
      </c>
      <c r="P15" s="103" t="s">
        <v>5575</v>
      </c>
      <c r="Q15" s="103">
        <v>1</v>
      </c>
      <c r="R15" s="103">
        <v>2</v>
      </c>
      <c r="S15" s="103">
        <v>1</v>
      </c>
      <c r="T15" s="103">
        <v>190000</v>
      </c>
      <c r="U15" s="103">
        <v>7</v>
      </c>
      <c r="V15" s="103" t="s">
        <v>65</v>
      </c>
      <c r="W15" s="103"/>
    </row>
    <row r="16" spans="1:23" x14ac:dyDescent="0.45">
      <c r="A16" s="103">
        <f t="shared" si="1"/>
        <v>15</v>
      </c>
      <c r="B16" s="103" t="s">
        <v>5577</v>
      </c>
      <c r="C16" s="103" t="s">
        <v>1018</v>
      </c>
      <c r="D16" s="103" t="s">
        <v>330</v>
      </c>
      <c r="E16" s="103" t="s">
        <v>90</v>
      </c>
      <c r="F16" s="103" t="s">
        <v>72</v>
      </c>
      <c r="G16" s="103" t="s">
        <v>74</v>
      </c>
      <c r="H16" s="103" t="s">
        <v>5576</v>
      </c>
      <c r="I16" s="103" t="s">
        <v>143</v>
      </c>
      <c r="J16" s="103" t="s">
        <v>122</v>
      </c>
      <c r="K16" s="103" t="s">
        <v>124</v>
      </c>
      <c r="L16" s="103">
        <v>2232</v>
      </c>
      <c r="M16" s="103" t="s">
        <v>5574</v>
      </c>
      <c r="N16" s="103" t="s">
        <v>5577</v>
      </c>
      <c r="O16" s="103" t="s">
        <v>47</v>
      </c>
      <c r="P16" s="103" t="s">
        <v>5575</v>
      </c>
      <c r="Q16" s="103">
        <v>1</v>
      </c>
      <c r="R16" s="103">
        <v>2</v>
      </c>
      <c r="S16" s="103">
        <v>1</v>
      </c>
      <c r="T16" s="103">
        <v>190000</v>
      </c>
      <c r="U16" s="103">
        <v>7</v>
      </c>
      <c r="V16" s="103" t="s">
        <v>65</v>
      </c>
      <c r="W16" s="103" t="s">
        <v>310</v>
      </c>
    </row>
    <row r="17" spans="1:23" x14ac:dyDescent="0.45">
      <c r="A17" s="103">
        <f t="shared" si="1"/>
        <v>16</v>
      </c>
      <c r="B17" s="103" t="s">
        <v>5577</v>
      </c>
      <c r="C17" s="103" t="s">
        <v>1018</v>
      </c>
      <c r="D17" s="103" t="s">
        <v>330</v>
      </c>
      <c r="E17" s="103" t="s">
        <v>90</v>
      </c>
      <c r="F17" s="103" t="s">
        <v>72</v>
      </c>
      <c r="G17" s="103" t="s">
        <v>74</v>
      </c>
      <c r="H17" s="103" t="s">
        <v>5578</v>
      </c>
      <c r="I17" s="103" t="s">
        <v>143</v>
      </c>
      <c r="J17" s="103" t="s">
        <v>122</v>
      </c>
      <c r="K17" s="103" t="s">
        <v>124</v>
      </c>
      <c r="L17" s="103">
        <v>2232</v>
      </c>
      <c r="M17" s="103" t="s">
        <v>5574</v>
      </c>
      <c r="N17" s="103" t="s">
        <v>5577</v>
      </c>
      <c r="O17" s="103" t="s">
        <v>47</v>
      </c>
      <c r="P17" s="103" t="s">
        <v>5575</v>
      </c>
      <c r="Q17" s="103">
        <v>1</v>
      </c>
      <c r="R17" s="103">
        <v>2</v>
      </c>
      <c r="S17" s="103">
        <v>1</v>
      </c>
      <c r="T17" s="103">
        <v>190000</v>
      </c>
      <c r="U17" s="103">
        <v>7</v>
      </c>
      <c r="V17" s="103" t="s">
        <v>65</v>
      </c>
      <c r="W17" s="103" t="s">
        <v>310</v>
      </c>
    </row>
    <row r="18" spans="1:23" x14ac:dyDescent="0.45">
      <c r="A18" s="103">
        <f t="shared" si="1"/>
        <v>17</v>
      </c>
      <c r="B18" s="103" t="s">
        <v>5577</v>
      </c>
      <c r="C18" s="103" t="s">
        <v>1018</v>
      </c>
      <c r="D18" s="103" t="s">
        <v>330</v>
      </c>
      <c r="E18" s="103" t="s">
        <v>90</v>
      </c>
      <c r="F18" s="103" t="s">
        <v>72</v>
      </c>
      <c r="G18" s="103" t="s">
        <v>74</v>
      </c>
      <c r="H18" s="103" t="s">
        <v>5579</v>
      </c>
      <c r="I18" s="103" t="s">
        <v>143</v>
      </c>
      <c r="J18" s="103" t="s">
        <v>122</v>
      </c>
      <c r="K18" s="103" t="s">
        <v>124</v>
      </c>
      <c r="L18" s="103">
        <v>2232</v>
      </c>
      <c r="M18" s="103" t="s">
        <v>5574</v>
      </c>
      <c r="N18" s="103" t="s">
        <v>5577</v>
      </c>
      <c r="O18" s="103" t="s">
        <v>47</v>
      </c>
      <c r="P18" s="103" t="s">
        <v>5575</v>
      </c>
      <c r="Q18" s="103">
        <v>1</v>
      </c>
      <c r="R18" s="103">
        <v>2</v>
      </c>
      <c r="S18" s="103">
        <v>1</v>
      </c>
      <c r="T18" s="103">
        <v>190000</v>
      </c>
      <c r="U18" s="103">
        <v>7</v>
      </c>
      <c r="V18" s="103" t="s">
        <v>65</v>
      </c>
      <c r="W18" s="103" t="s">
        <v>310</v>
      </c>
    </row>
    <row r="19" spans="1:23" x14ac:dyDescent="0.45">
      <c r="A19" s="103">
        <f t="shared" si="1"/>
        <v>18</v>
      </c>
      <c r="B19" s="103" t="s">
        <v>5577</v>
      </c>
      <c r="C19" s="103" t="s">
        <v>1018</v>
      </c>
      <c r="D19" s="103" t="s">
        <v>330</v>
      </c>
      <c r="E19" s="103" t="s">
        <v>90</v>
      </c>
      <c r="F19" s="103" t="s">
        <v>72</v>
      </c>
      <c r="G19" s="103" t="s">
        <v>74</v>
      </c>
      <c r="H19" s="103" t="s">
        <v>5579</v>
      </c>
      <c r="I19" s="103" t="s">
        <v>143</v>
      </c>
      <c r="J19" s="103" t="s">
        <v>122</v>
      </c>
      <c r="K19" s="103" t="s">
        <v>124</v>
      </c>
      <c r="L19" s="103">
        <v>2232</v>
      </c>
      <c r="M19" s="103" t="s">
        <v>5574</v>
      </c>
      <c r="N19" s="103" t="s">
        <v>5577</v>
      </c>
      <c r="O19" s="103" t="s">
        <v>5580</v>
      </c>
      <c r="P19" s="103" t="s">
        <v>5575</v>
      </c>
      <c r="Q19" s="103">
        <v>1</v>
      </c>
      <c r="R19" s="103">
        <v>2</v>
      </c>
      <c r="S19" s="103">
        <v>1</v>
      </c>
      <c r="T19" s="103">
        <v>190000</v>
      </c>
      <c r="U19" s="103">
        <v>7</v>
      </c>
      <c r="V19" s="103" t="s">
        <v>65</v>
      </c>
      <c r="W19" s="103" t="s">
        <v>310</v>
      </c>
    </row>
    <row r="20" spans="1:23" x14ac:dyDescent="0.45">
      <c r="A20" s="103">
        <f t="shared" si="1"/>
        <v>19</v>
      </c>
      <c r="B20" s="103" t="s">
        <v>5577</v>
      </c>
      <c r="C20" s="103" t="s">
        <v>1018</v>
      </c>
      <c r="D20" s="103" t="s">
        <v>330</v>
      </c>
      <c r="E20" s="103" t="s">
        <v>90</v>
      </c>
      <c r="F20" s="103" t="s">
        <v>72</v>
      </c>
      <c r="G20" s="103" t="s">
        <v>74</v>
      </c>
      <c r="H20" s="103" t="s">
        <v>5579</v>
      </c>
      <c r="I20" s="103"/>
      <c r="J20" s="103" t="s">
        <v>122</v>
      </c>
      <c r="K20" s="103" t="s">
        <v>124</v>
      </c>
      <c r="L20" s="103">
        <v>2232</v>
      </c>
      <c r="M20" s="103" t="s">
        <v>5574</v>
      </c>
      <c r="N20" s="103" t="s">
        <v>5577</v>
      </c>
      <c r="O20" s="103" t="s">
        <v>5581</v>
      </c>
      <c r="P20" s="103" t="s">
        <v>5575</v>
      </c>
      <c r="Q20" s="103">
        <v>1</v>
      </c>
      <c r="R20" s="103">
        <v>2</v>
      </c>
      <c r="S20" s="103">
        <v>1</v>
      </c>
      <c r="T20" s="103">
        <v>190000</v>
      </c>
      <c r="U20" s="103">
        <v>7</v>
      </c>
      <c r="V20" s="103" t="s">
        <v>65</v>
      </c>
      <c r="W20" s="103" t="s">
        <v>310</v>
      </c>
    </row>
    <row r="21" spans="1:23" x14ac:dyDescent="0.45">
      <c r="A21" s="103">
        <f t="shared" si="1"/>
        <v>20</v>
      </c>
      <c r="B21" s="103" t="s">
        <v>5577</v>
      </c>
      <c r="C21" s="103" t="s">
        <v>1018</v>
      </c>
      <c r="D21" s="103" t="s">
        <v>330</v>
      </c>
      <c r="E21" s="103" t="s">
        <v>90</v>
      </c>
      <c r="F21" s="103" t="s">
        <v>72</v>
      </c>
      <c r="G21" s="103" t="s">
        <v>74</v>
      </c>
      <c r="H21" s="103" t="s">
        <v>5585</v>
      </c>
      <c r="I21" s="103" t="s">
        <v>143</v>
      </c>
      <c r="J21" s="103" t="s">
        <v>122</v>
      </c>
      <c r="K21" s="103" t="s">
        <v>124</v>
      </c>
      <c r="L21" s="103">
        <v>2232</v>
      </c>
      <c r="M21" s="103" t="s">
        <v>5574</v>
      </c>
      <c r="N21" s="103" t="s">
        <v>5577</v>
      </c>
      <c r="O21" s="103" t="s">
        <v>47</v>
      </c>
      <c r="P21" s="103" t="s">
        <v>5575</v>
      </c>
      <c r="Q21" s="103">
        <v>1</v>
      </c>
      <c r="R21" s="103">
        <v>2</v>
      </c>
      <c r="S21" s="103">
        <v>1</v>
      </c>
      <c r="T21" s="103">
        <v>190000</v>
      </c>
      <c r="U21" s="103">
        <v>7</v>
      </c>
      <c r="V21" s="103" t="s">
        <v>65</v>
      </c>
      <c r="W21" s="103" t="s">
        <v>310</v>
      </c>
    </row>
    <row r="22" spans="1:23" x14ac:dyDescent="0.45">
      <c r="A22" s="103">
        <f t="shared" si="1"/>
        <v>21</v>
      </c>
      <c r="B22" s="103" t="s">
        <v>5577</v>
      </c>
      <c r="C22" s="103" t="s">
        <v>1018</v>
      </c>
      <c r="D22" s="103" t="s">
        <v>330</v>
      </c>
      <c r="E22" s="103" t="s">
        <v>90</v>
      </c>
      <c r="F22" s="103" t="s">
        <v>72</v>
      </c>
      <c r="G22" s="103" t="s">
        <v>74</v>
      </c>
      <c r="H22" s="103" t="s">
        <v>5585</v>
      </c>
      <c r="I22" s="103" t="s">
        <v>143</v>
      </c>
      <c r="J22" s="103" t="s">
        <v>122</v>
      </c>
      <c r="K22" s="103" t="s">
        <v>124</v>
      </c>
      <c r="L22" s="103">
        <v>2232</v>
      </c>
      <c r="M22" s="103" t="s">
        <v>5574</v>
      </c>
      <c r="N22" s="103" t="s">
        <v>5577</v>
      </c>
      <c r="O22" s="103" t="s">
        <v>5580</v>
      </c>
      <c r="P22" s="103" t="s">
        <v>5575</v>
      </c>
      <c r="Q22" s="103">
        <v>1</v>
      </c>
      <c r="R22" s="103">
        <v>2</v>
      </c>
      <c r="S22" s="103">
        <v>1</v>
      </c>
      <c r="T22" s="103">
        <v>190000</v>
      </c>
      <c r="U22" s="103">
        <v>7</v>
      </c>
      <c r="V22" s="103" t="s">
        <v>65</v>
      </c>
      <c r="W22" s="103" t="s">
        <v>310</v>
      </c>
    </row>
    <row r="23" spans="1:23" x14ac:dyDescent="0.45">
      <c r="A23" s="103">
        <f t="shared" ref="A23:A51" si="2">ROW()-1</f>
        <v>22</v>
      </c>
      <c r="B23" s="103" t="s">
        <v>5777</v>
      </c>
      <c r="C23" s="103" t="s">
        <v>3474</v>
      </c>
      <c r="D23" s="103" t="s">
        <v>330</v>
      </c>
      <c r="E23" s="103"/>
      <c r="F23" s="103"/>
      <c r="G23" s="103"/>
      <c r="H23" s="103" t="s">
        <v>5778</v>
      </c>
      <c r="I23" s="103" t="s">
        <v>143</v>
      </c>
      <c r="J23" s="103" t="s">
        <v>122</v>
      </c>
      <c r="K23" s="103" t="s">
        <v>5781</v>
      </c>
      <c r="L23" s="103" t="s">
        <v>5780</v>
      </c>
      <c r="M23" s="103" t="s">
        <v>5779</v>
      </c>
      <c r="N23" s="103" t="s">
        <v>5777</v>
      </c>
      <c r="O23" s="103" t="s">
        <v>47</v>
      </c>
      <c r="P23" s="103">
        <v>12</v>
      </c>
      <c r="Q23" s="103">
        <v>12</v>
      </c>
      <c r="R23" s="103">
        <v>12</v>
      </c>
      <c r="S23" s="103">
        <v>12</v>
      </c>
      <c r="T23" s="103"/>
      <c r="U23" s="103">
        <v>8</v>
      </c>
      <c r="V23" s="103" t="s">
        <v>65</v>
      </c>
      <c r="W23" s="103"/>
    </row>
    <row r="24" spans="1:23" x14ac:dyDescent="0.45">
      <c r="A24" s="103">
        <f t="shared" si="2"/>
        <v>23</v>
      </c>
      <c r="B24" s="103" t="s">
        <v>5783</v>
      </c>
      <c r="C24" s="103" t="s">
        <v>5782</v>
      </c>
      <c r="D24" s="103"/>
      <c r="E24" s="103" t="s">
        <v>100</v>
      </c>
      <c r="F24" s="103" t="s">
        <v>77</v>
      </c>
      <c r="G24" s="103" t="s">
        <v>71</v>
      </c>
      <c r="H24" s="103" t="s">
        <v>5785</v>
      </c>
      <c r="I24" s="103" t="s">
        <v>143</v>
      </c>
      <c r="J24" s="103" t="s">
        <v>122</v>
      </c>
      <c r="K24" s="103" t="s">
        <v>5788</v>
      </c>
      <c r="L24" s="103" t="s">
        <v>5808</v>
      </c>
      <c r="M24" s="103"/>
      <c r="N24" s="103" t="s">
        <v>5783</v>
      </c>
      <c r="O24" s="103" t="s">
        <v>47</v>
      </c>
      <c r="P24" s="103" t="s">
        <v>5806</v>
      </c>
      <c r="Q24" s="103"/>
      <c r="R24" s="103"/>
      <c r="S24" s="103" t="s">
        <v>5806</v>
      </c>
      <c r="T24" s="103">
        <v>838258</v>
      </c>
      <c r="U24" s="103">
        <v>8.5</v>
      </c>
      <c r="V24" s="103" t="s">
        <v>65</v>
      </c>
      <c r="W24" s="103" t="s">
        <v>310</v>
      </c>
    </row>
    <row r="25" spans="1:23" x14ac:dyDescent="0.45">
      <c r="A25" s="103">
        <f t="shared" si="2"/>
        <v>24</v>
      </c>
      <c r="B25" s="103" t="s">
        <v>5783</v>
      </c>
      <c r="C25" s="103" t="s">
        <v>5782</v>
      </c>
      <c r="D25" s="103"/>
      <c r="E25" s="103" t="s">
        <v>100</v>
      </c>
      <c r="F25" s="103" t="s">
        <v>77</v>
      </c>
      <c r="G25" s="103" t="s">
        <v>71</v>
      </c>
      <c r="H25" s="103" t="s">
        <v>5785</v>
      </c>
      <c r="I25" s="103" t="s">
        <v>143</v>
      </c>
      <c r="J25" s="103" t="s">
        <v>122</v>
      </c>
      <c r="K25" s="103" t="s">
        <v>5788</v>
      </c>
      <c r="L25" s="103" t="s">
        <v>5809</v>
      </c>
      <c r="M25" s="103"/>
      <c r="N25" s="103" t="s">
        <v>5783</v>
      </c>
      <c r="O25" s="103" t="s">
        <v>5580</v>
      </c>
      <c r="P25" s="103" t="s">
        <v>5806</v>
      </c>
      <c r="Q25" s="103"/>
      <c r="R25" s="103"/>
      <c r="S25" s="103" t="s">
        <v>5806</v>
      </c>
      <c r="T25" s="103">
        <v>838258</v>
      </c>
      <c r="U25" s="103">
        <v>8.5</v>
      </c>
      <c r="V25" s="103" t="s">
        <v>65</v>
      </c>
      <c r="W25" s="103" t="s">
        <v>310</v>
      </c>
    </row>
    <row r="26" spans="1:23" x14ac:dyDescent="0.45">
      <c r="A26" s="103">
        <f t="shared" si="2"/>
        <v>25</v>
      </c>
      <c r="B26" s="103" t="s">
        <v>5783</v>
      </c>
      <c r="C26" s="103" t="s">
        <v>5782</v>
      </c>
      <c r="D26" s="103"/>
      <c r="E26" s="103" t="s">
        <v>100</v>
      </c>
      <c r="F26" s="103" t="s">
        <v>77</v>
      </c>
      <c r="G26" s="103" t="s">
        <v>71</v>
      </c>
      <c r="H26" s="103" t="s">
        <v>5785</v>
      </c>
      <c r="I26" s="103" t="s">
        <v>143</v>
      </c>
      <c r="J26" s="103" t="s">
        <v>5810</v>
      </c>
      <c r="K26" s="103" t="s">
        <v>5811</v>
      </c>
      <c r="L26" s="103">
        <v>19025106046</v>
      </c>
      <c r="M26" s="103"/>
      <c r="N26" s="103" t="s">
        <v>5783</v>
      </c>
      <c r="O26" s="103" t="s">
        <v>5812</v>
      </c>
      <c r="P26" s="103">
        <v>20</v>
      </c>
      <c r="Q26" s="103"/>
      <c r="R26" s="103"/>
      <c r="S26" s="103">
        <v>20</v>
      </c>
      <c r="T26" s="103">
        <v>838258</v>
      </c>
      <c r="U26" s="103">
        <v>8.5</v>
      </c>
      <c r="V26" s="103" t="s">
        <v>65</v>
      </c>
      <c r="W26" s="103" t="s">
        <v>310</v>
      </c>
    </row>
    <row r="27" spans="1:23" x14ac:dyDescent="0.45">
      <c r="A27" s="103">
        <f t="shared" si="2"/>
        <v>26</v>
      </c>
      <c r="B27" s="103" t="s">
        <v>5783</v>
      </c>
      <c r="C27" s="103" t="s">
        <v>5782</v>
      </c>
      <c r="D27" s="103"/>
      <c r="E27" s="103" t="s">
        <v>100</v>
      </c>
      <c r="F27" s="103" t="s">
        <v>77</v>
      </c>
      <c r="G27" s="103" t="s">
        <v>71</v>
      </c>
      <c r="H27" s="103" t="s">
        <v>5785</v>
      </c>
      <c r="I27" s="103"/>
      <c r="J27" s="103" t="s">
        <v>5810</v>
      </c>
      <c r="K27" s="103" t="s">
        <v>5811</v>
      </c>
      <c r="L27" s="103">
        <v>19026105946</v>
      </c>
      <c r="M27" s="103"/>
      <c r="N27" s="103" t="s">
        <v>5783</v>
      </c>
      <c r="O27" s="103" t="s">
        <v>5581</v>
      </c>
      <c r="P27" s="103">
        <v>20</v>
      </c>
      <c r="Q27" s="103"/>
      <c r="R27" s="103"/>
      <c r="S27" s="103">
        <v>20</v>
      </c>
      <c r="T27" s="103">
        <v>838258</v>
      </c>
      <c r="U27" s="103">
        <v>8.5</v>
      </c>
      <c r="V27" s="103" t="s">
        <v>65</v>
      </c>
      <c r="W27" s="103" t="s">
        <v>310</v>
      </c>
    </row>
    <row r="28" spans="1:23" x14ac:dyDescent="0.45">
      <c r="A28" s="103">
        <f t="shared" si="2"/>
        <v>27</v>
      </c>
      <c r="B28" s="103" t="s">
        <v>5783</v>
      </c>
      <c r="C28" s="103" t="s">
        <v>5782</v>
      </c>
      <c r="D28" s="103"/>
      <c r="E28" s="103" t="s">
        <v>100</v>
      </c>
      <c r="F28" s="103" t="s">
        <v>77</v>
      </c>
      <c r="G28" s="103" t="s">
        <v>71</v>
      </c>
      <c r="H28" s="103" t="s">
        <v>5785</v>
      </c>
      <c r="I28" s="103" t="s">
        <v>143</v>
      </c>
      <c r="J28" s="103" t="s">
        <v>5810</v>
      </c>
      <c r="K28" s="103" t="s">
        <v>5811</v>
      </c>
      <c r="L28" s="103">
        <v>19031105951</v>
      </c>
      <c r="M28" s="103"/>
      <c r="N28" s="103" t="s">
        <v>5783</v>
      </c>
      <c r="O28" s="103" t="s">
        <v>5813</v>
      </c>
      <c r="P28" s="103">
        <v>20</v>
      </c>
      <c r="Q28" s="103"/>
      <c r="R28" s="103"/>
      <c r="S28" s="103">
        <v>20</v>
      </c>
      <c r="T28" s="103">
        <v>838258</v>
      </c>
      <c r="U28" s="103">
        <v>8.5</v>
      </c>
      <c r="V28" s="103" t="s">
        <v>65</v>
      </c>
      <c r="W28" s="103" t="s">
        <v>310</v>
      </c>
    </row>
    <row r="29" spans="1:23" x14ac:dyDescent="0.45">
      <c r="A29" s="103">
        <f t="shared" si="2"/>
        <v>28</v>
      </c>
      <c r="B29" s="103" t="s">
        <v>5783</v>
      </c>
      <c r="C29" s="103" t="s">
        <v>5782</v>
      </c>
      <c r="D29" s="103"/>
      <c r="E29" s="103" t="s">
        <v>100</v>
      </c>
      <c r="F29" s="103" t="s">
        <v>77</v>
      </c>
      <c r="G29" s="103" t="s">
        <v>71</v>
      </c>
      <c r="H29" s="103" t="s">
        <v>5785</v>
      </c>
      <c r="I29" s="103" t="s">
        <v>143</v>
      </c>
      <c r="J29" s="103" t="s">
        <v>5810</v>
      </c>
      <c r="K29" s="103" t="s">
        <v>5811</v>
      </c>
      <c r="L29" s="103">
        <v>19030106033</v>
      </c>
      <c r="M29" s="103"/>
      <c r="N29" s="103"/>
      <c r="O29" s="103" t="s">
        <v>5814</v>
      </c>
      <c r="P29" s="103">
        <v>20</v>
      </c>
      <c r="Q29" s="103"/>
      <c r="R29" s="103"/>
      <c r="S29" s="103">
        <v>20</v>
      </c>
      <c r="T29" s="103">
        <v>838258</v>
      </c>
      <c r="U29" s="103">
        <v>8.5</v>
      </c>
      <c r="V29" s="103" t="s">
        <v>65</v>
      </c>
      <c r="W29" s="103" t="s">
        <v>310</v>
      </c>
    </row>
    <row r="30" spans="1:23" x14ac:dyDescent="0.45">
      <c r="A30" s="103">
        <f t="shared" si="2"/>
        <v>29</v>
      </c>
      <c r="B30" s="103" t="s">
        <v>5783</v>
      </c>
      <c r="C30" s="103" t="s">
        <v>5782</v>
      </c>
      <c r="D30" s="103"/>
      <c r="E30" s="103" t="s">
        <v>100</v>
      </c>
      <c r="F30" s="103" t="s">
        <v>77</v>
      </c>
      <c r="G30" s="103" t="s">
        <v>71</v>
      </c>
      <c r="H30" s="103" t="s">
        <v>5785</v>
      </c>
      <c r="I30" s="103" t="s">
        <v>143</v>
      </c>
      <c r="J30" s="103" t="s">
        <v>142</v>
      </c>
      <c r="K30" s="103" t="s">
        <v>5801</v>
      </c>
      <c r="L30" s="103"/>
      <c r="M30" s="103"/>
      <c r="N30" s="103" t="s">
        <v>5783</v>
      </c>
      <c r="O30" s="103" t="s">
        <v>5815</v>
      </c>
      <c r="P30" s="103"/>
      <c r="Q30" s="103"/>
      <c r="R30" s="103"/>
      <c r="S30" s="103" t="s">
        <v>5803</v>
      </c>
      <c r="T30" s="103">
        <v>838258</v>
      </c>
      <c r="U30" s="103">
        <v>8.3000000000000007</v>
      </c>
      <c r="V30" s="103" t="s">
        <v>65</v>
      </c>
      <c r="W30" s="103" t="s">
        <v>310</v>
      </c>
    </row>
    <row r="31" spans="1:23" x14ac:dyDescent="0.45">
      <c r="A31" s="103">
        <f t="shared" si="2"/>
        <v>30</v>
      </c>
      <c r="B31" s="103" t="s">
        <v>5783</v>
      </c>
      <c r="C31" s="103" t="s">
        <v>5782</v>
      </c>
      <c r="D31" s="103"/>
      <c r="E31" s="103" t="s">
        <v>100</v>
      </c>
      <c r="F31" s="103" t="s">
        <v>77</v>
      </c>
      <c r="G31" s="103" t="s">
        <v>71</v>
      </c>
      <c r="H31" s="103" t="s">
        <v>5785</v>
      </c>
      <c r="I31" s="103" t="s">
        <v>143</v>
      </c>
      <c r="J31" s="103" t="s">
        <v>142</v>
      </c>
      <c r="K31" s="103" t="s">
        <v>5801</v>
      </c>
      <c r="L31" s="103"/>
      <c r="M31" s="103"/>
      <c r="N31" s="103" t="s">
        <v>5783</v>
      </c>
      <c r="O31" s="103" t="s">
        <v>5816</v>
      </c>
      <c r="P31" s="103" t="s">
        <v>5802</v>
      </c>
      <c r="Q31" s="103"/>
      <c r="R31" s="103"/>
      <c r="S31" s="103" t="s">
        <v>5803</v>
      </c>
      <c r="T31" s="103">
        <v>838258</v>
      </c>
      <c r="U31" s="103">
        <v>8.3000000000000007</v>
      </c>
      <c r="V31" s="103" t="s">
        <v>65</v>
      </c>
      <c r="W31" s="103" t="s">
        <v>310</v>
      </c>
    </row>
    <row r="32" spans="1:23" x14ac:dyDescent="0.45">
      <c r="A32" s="103">
        <f t="shared" si="2"/>
        <v>31</v>
      </c>
      <c r="B32" s="103" t="s">
        <v>5783</v>
      </c>
      <c r="C32" s="103" t="s">
        <v>5782</v>
      </c>
      <c r="D32" s="103"/>
      <c r="E32" s="103" t="s">
        <v>100</v>
      </c>
      <c r="F32" s="103" t="s">
        <v>77</v>
      </c>
      <c r="G32" s="103" t="s">
        <v>71</v>
      </c>
      <c r="H32" s="103" t="s">
        <v>5785</v>
      </c>
      <c r="I32" s="103" t="s">
        <v>143</v>
      </c>
      <c r="J32" s="103" t="s">
        <v>142</v>
      </c>
      <c r="K32" s="103" t="s">
        <v>5801</v>
      </c>
      <c r="L32" s="103"/>
      <c r="M32" s="103"/>
      <c r="N32" s="103" t="s">
        <v>5783</v>
      </c>
      <c r="O32" s="103" t="s">
        <v>5817</v>
      </c>
      <c r="P32" s="103" t="s">
        <v>5802</v>
      </c>
      <c r="Q32" s="103"/>
      <c r="R32" s="103"/>
      <c r="S32" s="103" t="s">
        <v>5804</v>
      </c>
      <c r="T32" s="103">
        <v>838258</v>
      </c>
      <c r="U32" s="103" t="s">
        <v>5796</v>
      </c>
      <c r="V32" s="103" t="s">
        <v>65</v>
      </c>
      <c r="W32" s="103" t="s">
        <v>310</v>
      </c>
    </row>
    <row r="33" spans="1:23" x14ac:dyDescent="0.45">
      <c r="A33" s="103">
        <f t="shared" si="2"/>
        <v>32</v>
      </c>
      <c r="B33" s="103" t="s">
        <v>5783</v>
      </c>
      <c r="C33" s="103" t="s">
        <v>5782</v>
      </c>
      <c r="D33" s="103"/>
      <c r="E33" s="103" t="s">
        <v>100</v>
      </c>
      <c r="F33" s="103" t="s">
        <v>77</v>
      </c>
      <c r="G33" s="103" t="s">
        <v>71</v>
      </c>
      <c r="H33" s="103" t="s">
        <v>5785</v>
      </c>
      <c r="I33" s="103" t="s">
        <v>143</v>
      </c>
      <c r="J33" s="103" t="s">
        <v>142</v>
      </c>
      <c r="K33" s="103" t="s">
        <v>5801</v>
      </c>
      <c r="L33" s="103"/>
      <c r="M33" s="103"/>
      <c r="N33" s="103" t="s">
        <v>5783</v>
      </c>
      <c r="O33" s="103" t="s">
        <v>5818</v>
      </c>
      <c r="P33" s="103" t="s">
        <v>5805</v>
      </c>
      <c r="Q33" s="103"/>
      <c r="R33" s="103"/>
      <c r="S33" s="103" t="s">
        <v>5803</v>
      </c>
      <c r="T33" s="103">
        <v>838258</v>
      </c>
      <c r="U33" s="103">
        <v>8.4</v>
      </c>
      <c r="V33" s="103" t="s">
        <v>65</v>
      </c>
      <c r="W33" s="103" t="s">
        <v>310</v>
      </c>
    </row>
    <row r="34" spans="1:23" x14ac:dyDescent="0.45">
      <c r="A34" s="103">
        <f t="shared" si="2"/>
        <v>33</v>
      </c>
      <c r="B34" s="103" t="s">
        <v>5783</v>
      </c>
      <c r="C34" s="103" t="s">
        <v>5782</v>
      </c>
      <c r="D34" s="103"/>
      <c r="E34" s="103" t="s">
        <v>100</v>
      </c>
      <c r="F34" s="103" t="s">
        <v>77</v>
      </c>
      <c r="G34" s="103" t="s">
        <v>71</v>
      </c>
      <c r="H34" s="103" t="s">
        <v>5785</v>
      </c>
      <c r="I34" s="103" t="s">
        <v>143</v>
      </c>
      <c r="J34" s="103" t="s">
        <v>142</v>
      </c>
      <c r="K34" s="103" t="s">
        <v>5801</v>
      </c>
      <c r="L34" s="103"/>
      <c r="M34" s="103"/>
      <c r="N34" s="103" t="s">
        <v>5783</v>
      </c>
      <c r="O34" s="103" t="s">
        <v>5819</v>
      </c>
      <c r="P34" s="103" t="s">
        <v>5806</v>
      </c>
      <c r="Q34" s="103"/>
      <c r="R34" s="103"/>
      <c r="S34" s="103">
        <v>15</v>
      </c>
      <c r="T34" s="103">
        <v>838258</v>
      </c>
      <c r="U34" s="103">
        <v>8.3000000000000007</v>
      </c>
      <c r="V34" s="103" t="s">
        <v>65</v>
      </c>
      <c r="W34" s="103" t="s">
        <v>310</v>
      </c>
    </row>
    <row r="35" spans="1:23" x14ac:dyDescent="0.45">
      <c r="A35" s="103">
        <f t="shared" si="2"/>
        <v>34</v>
      </c>
      <c r="B35" s="103" t="s">
        <v>5783</v>
      </c>
      <c r="C35" s="103" t="s">
        <v>5782</v>
      </c>
      <c r="D35" s="103"/>
      <c r="E35" s="103" t="s">
        <v>100</v>
      </c>
      <c r="F35" s="103" t="s">
        <v>77</v>
      </c>
      <c r="G35" s="103" t="s">
        <v>71</v>
      </c>
      <c r="H35" s="103" t="s">
        <v>5785</v>
      </c>
      <c r="I35" s="103" t="s">
        <v>143</v>
      </c>
      <c r="J35" s="103" t="s">
        <v>142</v>
      </c>
      <c r="K35" s="103" t="s">
        <v>5801</v>
      </c>
      <c r="L35" s="103"/>
      <c r="M35" s="103"/>
      <c r="N35" s="103" t="s">
        <v>5783</v>
      </c>
      <c r="O35" s="103" t="s">
        <v>5820</v>
      </c>
      <c r="P35" s="103" t="s">
        <v>5804</v>
      </c>
      <c r="Q35" s="103"/>
      <c r="R35" s="103"/>
      <c r="S35" s="103" t="s">
        <v>5805</v>
      </c>
      <c r="T35" s="103">
        <v>838258</v>
      </c>
      <c r="U35" s="103" t="s">
        <v>5796</v>
      </c>
      <c r="V35" s="103" t="s">
        <v>65</v>
      </c>
      <c r="W35" s="103" t="s">
        <v>310</v>
      </c>
    </row>
    <row r="36" spans="1:23" x14ac:dyDescent="0.45">
      <c r="A36" s="103">
        <f t="shared" si="2"/>
        <v>35</v>
      </c>
      <c r="B36" s="103" t="s">
        <v>5783</v>
      </c>
      <c r="C36" s="103" t="s">
        <v>5782</v>
      </c>
      <c r="D36" s="103"/>
      <c r="E36" s="103" t="s">
        <v>100</v>
      </c>
      <c r="F36" s="103" t="s">
        <v>77</v>
      </c>
      <c r="G36" s="103" t="s">
        <v>71</v>
      </c>
      <c r="H36" s="103" t="s">
        <v>5785</v>
      </c>
      <c r="I36" s="103" t="s">
        <v>143</v>
      </c>
      <c r="J36" s="103" t="s">
        <v>142</v>
      </c>
      <c r="K36" s="103" t="s">
        <v>5801</v>
      </c>
      <c r="L36" s="103"/>
      <c r="M36" s="103"/>
      <c r="N36" s="103" t="s">
        <v>5783</v>
      </c>
      <c r="O36" s="103" t="s">
        <v>5821</v>
      </c>
      <c r="P36" s="103" t="s">
        <v>5802</v>
      </c>
      <c r="Q36" s="103"/>
      <c r="R36" s="103"/>
      <c r="S36" s="103" t="s">
        <v>5805</v>
      </c>
      <c r="T36" s="103">
        <v>838258</v>
      </c>
      <c r="U36" s="103" t="s">
        <v>5796</v>
      </c>
      <c r="V36" s="103" t="s">
        <v>65</v>
      </c>
      <c r="W36" s="103" t="s">
        <v>310</v>
      </c>
    </row>
    <row r="37" spans="1:23" x14ac:dyDescent="0.45">
      <c r="A37" s="103">
        <f t="shared" si="2"/>
        <v>36</v>
      </c>
      <c r="B37" s="103" t="s">
        <v>5783</v>
      </c>
      <c r="C37" s="103" t="s">
        <v>5782</v>
      </c>
      <c r="D37" s="103"/>
      <c r="E37" s="103" t="s">
        <v>100</v>
      </c>
      <c r="F37" s="103" t="s">
        <v>77</v>
      </c>
      <c r="G37" s="103" t="s">
        <v>71</v>
      </c>
      <c r="H37" s="103" t="s">
        <v>5785</v>
      </c>
      <c r="I37" s="103" t="s">
        <v>143</v>
      </c>
      <c r="J37" s="103" t="s">
        <v>142</v>
      </c>
      <c r="K37" s="103" t="s">
        <v>5801</v>
      </c>
      <c r="L37" s="103"/>
      <c r="M37" s="103"/>
      <c r="N37" s="103" t="s">
        <v>5783</v>
      </c>
      <c r="O37" s="103" t="s">
        <v>5822</v>
      </c>
      <c r="P37" s="103" t="s">
        <v>5802</v>
      </c>
      <c r="Q37" s="103"/>
      <c r="R37" s="103"/>
      <c r="S37" s="103" t="s">
        <v>5807</v>
      </c>
      <c r="T37" s="103">
        <v>838258</v>
      </c>
      <c r="U37" s="103">
        <v>8.4</v>
      </c>
      <c r="V37" s="103" t="s">
        <v>65</v>
      </c>
      <c r="W37" s="103" t="s">
        <v>310</v>
      </c>
    </row>
    <row r="38" spans="1:23" x14ac:dyDescent="0.45">
      <c r="A38" s="103">
        <f t="shared" si="2"/>
        <v>37</v>
      </c>
      <c r="B38" s="103" t="s">
        <v>5783</v>
      </c>
      <c r="C38" s="103" t="s">
        <v>5782</v>
      </c>
      <c r="D38" s="103"/>
      <c r="E38" s="103" t="s">
        <v>100</v>
      </c>
      <c r="F38" s="103" t="s">
        <v>77</v>
      </c>
      <c r="G38" s="103" t="s">
        <v>71</v>
      </c>
      <c r="H38" s="103" t="s">
        <v>5785</v>
      </c>
      <c r="I38" s="103" t="s">
        <v>143</v>
      </c>
      <c r="J38" s="103" t="s">
        <v>122</v>
      </c>
      <c r="K38" s="103" t="s">
        <v>5788</v>
      </c>
      <c r="L38" s="103"/>
      <c r="M38" s="103"/>
      <c r="N38" s="103" t="s">
        <v>5783</v>
      </c>
      <c r="O38" s="103" t="s">
        <v>47</v>
      </c>
      <c r="P38" s="103" t="s">
        <v>5789</v>
      </c>
      <c r="Q38" s="103"/>
      <c r="R38" s="103"/>
      <c r="S38" s="103" t="s">
        <v>5790</v>
      </c>
      <c r="T38" s="103">
        <v>838258</v>
      </c>
      <c r="U38" s="103">
        <v>8.3000000000000007</v>
      </c>
      <c r="V38" s="103" t="s">
        <v>5823</v>
      </c>
      <c r="W38" s="103" t="s">
        <v>310</v>
      </c>
    </row>
    <row r="39" spans="1:23" x14ac:dyDescent="0.45">
      <c r="A39" s="103">
        <f t="shared" si="2"/>
        <v>38</v>
      </c>
      <c r="B39" s="103" t="s">
        <v>5783</v>
      </c>
      <c r="C39" s="103" t="s">
        <v>5782</v>
      </c>
      <c r="D39" s="103"/>
      <c r="E39" s="103" t="s">
        <v>100</v>
      </c>
      <c r="F39" s="103" t="s">
        <v>77</v>
      </c>
      <c r="G39" s="103" t="s">
        <v>71</v>
      </c>
      <c r="H39" s="103" t="s">
        <v>5785</v>
      </c>
      <c r="I39" s="103" t="s">
        <v>143</v>
      </c>
      <c r="J39" s="103" t="s">
        <v>122</v>
      </c>
      <c r="K39" s="103" t="s">
        <v>5788</v>
      </c>
      <c r="L39" s="103"/>
      <c r="M39" s="103"/>
      <c r="N39" s="103" t="s">
        <v>5783</v>
      </c>
      <c r="O39" s="103" t="s">
        <v>5580</v>
      </c>
      <c r="P39" s="103" t="s">
        <v>5791</v>
      </c>
      <c r="Q39" s="103"/>
      <c r="R39" s="103"/>
      <c r="S39" s="103" t="s">
        <v>5792</v>
      </c>
      <c r="T39" s="103">
        <v>838258</v>
      </c>
      <c r="U39" s="103">
        <v>8.3000000000000007</v>
      </c>
      <c r="V39" s="103" t="s">
        <v>5823</v>
      </c>
      <c r="W39" s="103" t="s">
        <v>310</v>
      </c>
    </row>
    <row r="40" spans="1:23" x14ac:dyDescent="0.45">
      <c r="A40" s="103">
        <f t="shared" si="2"/>
        <v>39</v>
      </c>
      <c r="B40" s="103" t="s">
        <v>5783</v>
      </c>
      <c r="C40" s="103" t="s">
        <v>5782</v>
      </c>
      <c r="D40" s="103"/>
      <c r="E40" s="103" t="s">
        <v>100</v>
      </c>
      <c r="F40" s="103" t="s">
        <v>77</v>
      </c>
      <c r="G40" s="103" t="s">
        <v>71</v>
      </c>
      <c r="H40" s="103" t="s">
        <v>5785</v>
      </c>
      <c r="I40" s="103" t="s">
        <v>143</v>
      </c>
      <c r="J40" s="103" t="s">
        <v>5622</v>
      </c>
      <c r="K40" s="103" t="s">
        <v>5793</v>
      </c>
      <c r="L40" s="103"/>
      <c r="M40" s="103"/>
      <c r="N40" s="103" t="s">
        <v>5783</v>
      </c>
      <c r="O40" s="103" t="s">
        <v>5812</v>
      </c>
      <c r="P40" s="103" t="s">
        <v>5794</v>
      </c>
      <c r="Q40" s="103"/>
      <c r="R40" s="103"/>
      <c r="S40" s="103" t="s">
        <v>5795</v>
      </c>
      <c r="T40" s="103">
        <v>838258</v>
      </c>
      <c r="U40" s="103">
        <v>8.3000000000000007</v>
      </c>
      <c r="V40" s="103" t="s">
        <v>5823</v>
      </c>
      <c r="W40" s="103" t="s">
        <v>310</v>
      </c>
    </row>
    <row r="41" spans="1:23" x14ac:dyDescent="0.45">
      <c r="A41" s="103">
        <f t="shared" si="2"/>
        <v>40</v>
      </c>
      <c r="B41" s="103" t="s">
        <v>5783</v>
      </c>
      <c r="C41" s="103" t="s">
        <v>5782</v>
      </c>
      <c r="D41" s="103"/>
      <c r="E41" s="103" t="s">
        <v>100</v>
      </c>
      <c r="F41" s="103" t="s">
        <v>77</v>
      </c>
      <c r="G41" s="103" t="s">
        <v>71</v>
      </c>
      <c r="H41" s="103" t="s">
        <v>5785</v>
      </c>
      <c r="I41" s="103" t="s">
        <v>143</v>
      </c>
      <c r="J41" s="103" t="s">
        <v>5622</v>
      </c>
      <c r="K41" s="103" t="s">
        <v>5793</v>
      </c>
      <c r="L41" s="103"/>
      <c r="M41" s="103"/>
      <c r="N41" s="103" t="s">
        <v>5783</v>
      </c>
      <c r="O41" s="103" t="s">
        <v>5581</v>
      </c>
      <c r="P41" s="103" t="s">
        <v>5797</v>
      </c>
      <c r="Q41" s="103"/>
      <c r="R41" s="103"/>
      <c r="S41" s="103" t="s">
        <v>5798</v>
      </c>
      <c r="T41" s="103">
        <v>838258</v>
      </c>
      <c r="U41" s="103" t="s">
        <v>5796</v>
      </c>
      <c r="V41" s="103" t="s">
        <v>5823</v>
      </c>
      <c r="W41" s="103" t="s">
        <v>310</v>
      </c>
    </row>
    <row r="42" spans="1:23" x14ac:dyDescent="0.45">
      <c r="A42" s="103">
        <f t="shared" si="2"/>
        <v>41</v>
      </c>
      <c r="B42" s="103" t="s">
        <v>5783</v>
      </c>
      <c r="C42" s="103" t="s">
        <v>5782</v>
      </c>
      <c r="D42" s="103"/>
      <c r="E42" s="103" t="s">
        <v>100</v>
      </c>
      <c r="F42" s="103" t="s">
        <v>77</v>
      </c>
      <c r="G42" s="103" t="s">
        <v>71</v>
      </c>
      <c r="H42" s="103" t="s">
        <v>5785</v>
      </c>
      <c r="I42" s="103" t="s">
        <v>143</v>
      </c>
      <c r="J42" s="103" t="s">
        <v>5622</v>
      </c>
      <c r="K42" s="103" t="s">
        <v>5793</v>
      </c>
      <c r="L42" s="103"/>
      <c r="M42" s="103"/>
      <c r="N42" s="103" t="s">
        <v>5783</v>
      </c>
      <c r="O42" s="103" t="s">
        <v>5813</v>
      </c>
      <c r="P42" s="103" t="s">
        <v>5799</v>
      </c>
      <c r="Q42" s="103"/>
      <c r="R42" s="103"/>
      <c r="S42" s="103" t="s">
        <v>5795</v>
      </c>
      <c r="T42" s="103">
        <v>838258</v>
      </c>
      <c r="U42" s="103" t="s">
        <v>5796</v>
      </c>
      <c r="V42" s="103" t="s">
        <v>5823</v>
      </c>
      <c r="W42" s="103" t="s">
        <v>310</v>
      </c>
    </row>
    <row r="43" spans="1:23" x14ac:dyDescent="0.45">
      <c r="A43" s="103">
        <f t="shared" si="2"/>
        <v>42</v>
      </c>
      <c r="B43" s="103" t="s">
        <v>5783</v>
      </c>
      <c r="C43" s="103" t="s">
        <v>5782</v>
      </c>
      <c r="D43" s="103"/>
      <c r="E43" s="103" t="s">
        <v>100</v>
      </c>
      <c r="F43" s="103" t="s">
        <v>77</v>
      </c>
      <c r="G43" s="103" t="s">
        <v>71</v>
      </c>
      <c r="H43" s="103" t="s">
        <v>5785</v>
      </c>
      <c r="I43" s="103" t="s">
        <v>143</v>
      </c>
      <c r="J43" s="103" t="s">
        <v>5622</v>
      </c>
      <c r="K43" s="103" t="s">
        <v>5793</v>
      </c>
      <c r="L43" s="103"/>
      <c r="M43" s="103"/>
      <c r="N43" s="103" t="s">
        <v>5783</v>
      </c>
      <c r="O43" s="103" t="s">
        <v>5814</v>
      </c>
      <c r="P43" s="103">
        <v>5</v>
      </c>
      <c r="Q43" s="103"/>
      <c r="R43" s="103"/>
      <c r="S43" s="103" t="s">
        <v>5800</v>
      </c>
      <c r="T43" s="103">
        <v>838258</v>
      </c>
      <c r="U43" s="103">
        <v>8.3000000000000007</v>
      </c>
      <c r="V43" s="103" t="s">
        <v>5823</v>
      </c>
      <c r="W43" s="103" t="s">
        <v>310</v>
      </c>
    </row>
    <row r="44" spans="1:23" x14ac:dyDescent="0.45">
      <c r="A44" s="103">
        <f t="shared" si="2"/>
        <v>43</v>
      </c>
      <c r="B44" s="103" t="s">
        <v>5783</v>
      </c>
      <c r="C44" s="103" t="s">
        <v>5782</v>
      </c>
      <c r="D44" s="103"/>
      <c r="E44" s="103" t="s">
        <v>100</v>
      </c>
      <c r="F44" s="103" t="s">
        <v>77</v>
      </c>
      <c r="G44" s="103" t="s">
        <v>71</v>
      </c>
      <c r="H44" s="103" t="s">
        <v>5785</v>
      </c>
      <c r="I44" s="103" t="s">
        <v>143</v>
      </c>
      <c r="J44" s="103" t="s">
        <v>142</v>
      </c>
      <c r="K44" s="103" t="s">
        <v>5801</v>
      </c>
      <c r="L44" s="103"/>
      <c r="M44" s="103"/>
      <c r="N44" s="103" t="s">
        <v>5783</v>
      </c>
      <c r="O44" s="103" t="s">
        <v>5815</v>
      </c>
      <c r="P44" s="103" t="s">
        <v>5802</v>
      </c>
      <c r="Q44" s="103"/>
      <c r="R44" s="103"/>
      <c r="S44" s="103" t="s">
        <v>5803</v>
      </c>
      <c r="T44" s="103">
        <v>838258</v>
      </c>
      <c r="U44" s="103">
        <v>8.3000000000000007</v>
      </c>
      <c r="V44" s="103" t="s">
        <v>5823</v>
      </c>
      <c r="W44" s="103" t="s">
        <v>310</v>
      </c>
    </row>
    <row r="45" spans="1:23" x14ac:dyDescent="0.45">
      <c r="A45" s="103">
        <f t="shared" si="2"/>
        <v>44</v>
      </c>
      <c r="B45" s="103" t="s">
        <v>5783</v>
      </c>
      <c r="C45" s="103" t="s">
        <v>5782</v>
      </c>
      <c r="D45" s="103"/>
      <c r="E45" s="103"/>
      <c r="F45" s="103" t="s">
        <v>77</v>
      </c>
      <c r="G45" s="103" t="s">
        <v>71</v>
      </c>
      <c r="H45" s="103" t="s">
        <v>5785</v>
      </c>
      <c r="I45" s="103" t="s">
        <v>143</v>
      </c>
      <c r="J45" s="103" t="s">
        <v>142</v>
      </c>
      <c r="K45" s="103" t="s">
        <v>5801</v>
      </c>
      <c r="L45" s="103"/>
      <c r="M45" s="103"/>
      <c r="N45" s="103" t="s">
        <v>5783</v>
      </c>
      <c r="O45" s="103" t="s">
        <v>5816</v>
      </c>
      <c r="P45" s="103" t="s">
        <v>5802</v>
      </c>
      <c r="Q45" s="103"/>
      <c r="R45" s="103"/>
      <c r="S45" s="103" t="s">
        <v>5803</v>
      </c>
      <c r="T45" s="103">
        <v>838258</v>
      </c>
      <c r="U45" s="103">
        <v>8.3000000000000007</v>
      </c>
      <c r="V45" s="103" t="s">
        <v>5823</v>
      </c>
      <c r="W45" s="103" t="s">
        <v>310</v>
      </c>
    </row>
    <row r="46" spans="1:23" x14ac:dyDescent="0.45">
      <c r="A46" s="103">
        <f t="shared" si="2"/>
        <v>45</v>
      </c>
      <c r="B46" s="103" t="s">
        <v>5783</v>
      </c>
      <c r="C46" s="103" t="s">
        <v>5782</v>
      </c>
      <c r="D46" s="103"/>
      <c r="E46" s="103" t="s">
        <v>100</v>
      </c>
      <c r="F46" s="103" t="s">
        <v>77</v>
      </c>
      <c r="G46" s="103" t="s">
        <v>71</v>
      </c>
      <c r="H46" s="103" t="s">
        <v>5785</v>
      </c>
      <c r="I46" s="103" t="s">
        <v>143</v>
      </c>
      <c r="J46" s="103" t="s">
        <v>142</v>
      </c>
      <c r="K46" s="103" t="s">
        <v>5801</v>
      </c>
      <c r="L46" s="103"/>
      <c r="M46" s="103"/>
      <c r="N46" s="103" t="s">
        <v>5783</v>
      </c>
      <c r="O46" s="103" t="s">
        <v>5817</v>
      </c>
      <c r="P46" s="103" t="s">
        <v>5802</v>
      </c>
      <c r="Q46" s="103"/>
      <c r="R46" s="103"/>
      <c r="S46" s="103" t="s">
        <v>5804</v>
      </c>
      <c r="T46" s="103">
        <v>838258</v>
      </c>
      <c r="U46" s="103" t="s">
        <v>5796</v>
      </c>
      <c r="V46" s="103" t="s">
        <v>5823</v>
      </c>
      <c r="W46" s="103" t="s">
        <v>310</v>
      </c>
    </row>
    <row r="47" spans="1:23" x14ac:dyDescent="0.45">
      <c r="A47" s="103">
        <f t="shared" si="2"/>
        <v>46</v>
      </c>
      <c r="B47" s="103" t="s">
        <v>5783</v>
      </c>
      <c r="C47" s="103" t="s">
        <v>5782</v>
      </c>
      <c r="D47" s="103"/>
      <c r="E47" s="103" t="s">
        <v>100</v>
      </c>
      <c r="F47" s="103" t="s">
        <v>77</v>
      </c>
      <c r="G47" s="103" t="s">
        <v>71</v>
      </c>
      <c r="H47" s="103" t="s">
        <v>5785</v>
      </c>
      <c r="I47" s="103" t="s">
        <v>143</v>
      </c>
      <c r="J47" s="103" t="s">
        <v>142</v>
      </c>
      <c r="K47" s="103" t="s">
        <v>5801</v>
      </c>
      <c r="L47" s="103"/>
      <c r="M47" s="103"/>
      <c r="N47" s="103" t="s">
        <v>5783</v>
      </c>
      <c r="O47" s="103" t="s">
        <v>5815</v>
      </c>
      <c r="P47" s="103" t="s">
        <v>5805</v>
      </c>
      <c r="Q47" s="103"/>
      <c r="R47" s="103"/>
      <c r="S47" s="103" t="s">
        <v>5803</v>
      </c>
      <c r="T47" s="103">
        <v>838258</v>
      </c>
      <c r="U47" s="103">
        <v>8.4</v>
      </c>
      <c r="V47" s="103" t="s">
        <v>5823</v>
      </c>
      <c r="W47" s="103" t="s">
        <v>310</v>
      </c>
    </row>
    <row r="48" spans="1:23" x14ac:dyDescent="0.45">
      <c r="A48" s="103">
        <f t="shared" si="2"/>
        <v>47</v>
      </c>
      <c r="B48" s="103" t="s">
        <v>5783</v>
      </c>
      <c r="C48" s="103" t="s">
        <v>5782</v>
      </c>
      <c r="D48" s="103"/>
      <c r="E48" s="103" t="s">
        <v>100</v>
      </c>
      <c r="F48" s="103" t="s">
        <v>77</v>
      </c>
      <c r="G48" s="103" t="s">
        <v>71</v>
      </c>
      <c r="H48" s="103" t="s">
        <v>5785</v>
      </c>
      <c r="I48" s="103" t="s">
        <v>143</v>
      </c>
      <c r="J48" s="103" t="s">
        <v>142</v>
      </c>
      <c r="K48" s="103" t="s">
        <v>5801</v>
      </c>
      <c r="L48" s="103"/>
      <c r="M48" s="103"/>
      <c r="N48" s="103" t="s">
        <v>5783</v>
      </c>
      <c r="O48" s="103" t="s">
        <v>5819</v>
      </c>
      <c r="P48" s="103" t="s">
        <v>5806</v>
      </c>
      <c r="Q48" s="103"/>
      <c r="R48" s="103"/>
      <c r="S48" s="103">
        <v>15</v>
      </c>
      <c r="T48" s="103">
        <v>838258</v>
      </c>
      <c r="U48" s="103">
        <v>8.3000000000000007</v>
      </c>
      <c r="V48" s="103" t="s">
        <v>5823</v>
      </c>
      <c r="W48" s="103" t="s">
        <v>310</v>
      </c>
    </row>
    <row r="49" spans="1:23" x14ac:dyDescent="0.45">
      <c r="A49" s="103">
        <f t="shared" si="2"/>
        <v>48</v>
      </c>
      <c r="B49" s="103" t="s">
        <v>5783</v>
      </c>
      <c r="C49" s="103" t="s">
        <v>5782</v>
      </c>
      <c r="D49" s="103"/>
      <c r="E49" s="103" t="s">
        <v>100</v>
      </c>
      <c r="F49" s="103" t="s">
        <v>77</v>
      </c>
      <c r="G49" s="103" t="s">
        <v>71</v>
      </c>
      <c r="H49" s="103" t="s">
        <v>5785</v>
      </c>
      <c r="I49" s="103" t="s">
        <v>143</v>
      </c>
      <c r="J49" s="103" t="s">
        <v>142</v>
      </c>
      <c r="K49" s="103" t="s">
        <v>5801</v>
      </c>
      <c r="L49" s="103"/>
      <c r="M49" s="103"/>
      <c r="N49" s="103" t="s">
        <v>5783</v>
      </c>
      <c r="O49" s="103" t="s">
        <v>5820</v>
      </c>
      <c r="P49" s="103" t="s">
        <v>5804</v>
      </c>
      <c r="Q49" s="103"/>
      <c r="R49" s="103"/>
      <c r="S49" s="103" t="s">
        <v>5805</v>
      </c>
      <c r="T49" s="103">
        <v>838258</v>
      </c>
      <c r="U49" s="103" t="s">
        <v>5796</v>
      </c>
      <c r="V49" s="103" t="s">
        <v>5823</v>
      </c>
      <c r="W49" s="103" t="s">
        <v>310</v>
      </c>
    </row>
    <row r="50" spans="1:23" x14ac:dyDescent="0.45">
      <c r="A50" s="103">
        <f t="shared" si="2"/>
        <v>49</v>
      </c>
      <c r="B50" s="103" t="s">
        <v>5783</v>
      </c>
      <c r="C50" s="103" t="s">
        <v>5782</v>
      </c>
      <c r="D50" s="103"/>
      <c r="E50" s="103" t="s">
        <v>100</v>
      </c>
      <c r="F50" s="103" t="s">
        <v>77</v>
      </c>
      <c r="G50" s="103" t="s">
        <v>71</v>
      </c>
      <c r="H50" s="103" t="s">
        <v>5785</v>
      </c>
      <c r="I50" s="103" t="s">
        <v>143</v>
      </c>
      <c r="J50" s="103" t="s">
        <v>142</v>
      </c>
      <c r="K50" s="103" t="s">
        <v>5801</v>
      </c>
      <c r="L50" s="103"/>
      <c r="M50" s="103"/>
      <c r="N50" s="103" t="s">
        <v>5783</v>
      </c>
      <c r="O50" s="103" t="s">
        <v>5821</v>
      </c>
      <c r="P50" s="103" t="s">
        <v>5802</v>
      </c>
      <c r="Q50" s="103"/>
      <c r="R50" s="103"/>
      <c r="S50" s="103" t="s">
        <v>5805</v>
      </c>
      <c r="T50" s="103">
        <v>838258</v>
      </c>
      <c r="U50" s="103" t="s">
        <v>5796</v>
      </c>
      <c r="V50" s="103" t="s">
        <v>5823</v>
      </c>
      <c r="W50" s="103" t="s">
        <v>310</v>
      </c>
    </row>
    <row r="51" spans="1:23" x14ac:dyDescent="0.45">
      <c r="A51" s="103">
        <f t="shared" si="2"/>
        <v>50</v>
      </c>
      <c r="B51" s="103" t="s">
        <v>5783</v>
      </c>
      <c r="C51" s="103" t="s">
        <v>5782</v>
      </c>
      <c r="D51" s="103"/>
      <c r="E51" s="103" t="s">
        <v>100</v>
      </c>
      <c r="F51" s="103" t="s">
        <v>77</v>
      </c>
      <c r="G51" s="103" t="s">
        <v>71</v>
      </c>
      <c r="H51" s="103" t="s">
        <v>5785</v>
      </c>
      <c r="I51" s="103" t="s">
        <v>143</v>
      </c>
      <c r="J51" s="103" t="s">
        <v>142</v>
      </c>
      <c r="K51" s="103" t="s">
        <v>5801</v>
      </c>
      <c r="L51" s="103"/>
      <c r="M51" s="103"/>
      <c r="N51" s="103" t="s">
        <v>5783</v>
      </c>
      <c r="O51" s="103" t="s">
        <v>5822</v>
      </c>
      <c r="P51" s="103" t="s">
        <v>5802</v>
      </c>
      <c r="Q51" s="103"/>
      <c r="R51" s="103"/>
      <c r="S51" s="103" t="s">
        <v>5807</v>
      </c>
      <c r="T51" s="103">
        <v>838258</v>
      </c>
      <c r="U51" s="103">
        <v>8.4</v>
      </c>
      <c r="V51" s="103" t="s">
        <v>5823</v>
      </c>
      <c r="W51" s="103" t="s">
        <v>310</v>
      </c>
    </row>
    <row r="52" spans="1:23" x14ac:dyDescent="0.45">
      <c r="A52" s="103">
        <f t="shared" ref="A52:A58" si="3">ROW()-1</f>
        <v>51</v>
      </c>
      <c r="B52" s="103" t="s">
        <v>5824</v>
      </c>
      <c r="C52" s="103" t="s">
        <v>5825</v>
      </c>
      <c r="D52" s="103"/>
      <c r="E52" s="103" t="s">
        <v>100</v>
      </c>
      <c r="F52" s="103" t="s">
        <v>72</v>
      </c>
      <c r="G52" s="103"/>
      <c r="H52" s="103" t="s">
        <v>5827</v>
      </c>
      <c r="I52" s="103" t="s">
        <v>123</v>
      </c>
      <c r="J52" s="103" t="s">
        <v>5830</v>
      </c>
      <c r="K52" s="103">
        <v>366</v>
      </c>
      <c r="L52" s="103"/>
      <c r="M52" s="103"/>
      <c r="N52" s="103" t="s">
        <v>5824</v>
      </c>
      <c r="O52" s="103" t="s">
        <v>47</v>
      </c>
      <c r="P52" s="103" t="s">
        <v>5831</v>
      </c>
      <c r="Q52" s="103"/>
      <c r="R52" s="103"/>
      <c r="S52" s="103" t="s">
        <v>5832</v>
      </c>
      <c r="T52" s="103">
        <v>908586</v>
      </c>
      <c r="U52" s="103">
        <v>8.5</v>
      </c>
      <c r="V52" s="103" t="s">
        <v>65</v>
      </c>
      <c r="W52" s="103" t="s">
        <v>310</v>
      </c>
    </row>
    <row r="53" spans="1:23" x14ac:dyDescent="0.45">
      <c r="A53" s="103">
        <f t="shared" si="3"/>
        <v>52</v>
      </c>
      <c r="B53" s="103" t="s">
        <v>5824</v>
      </c>
      <c r="C53" s="103" t="s">
        <v>5825</v>
      </c>
      <c r="D53" s="103"/>
      <c r="E53" s="103" t="s">
        <v>100</v>
      </c>
      <c r="F53" s="103" t="s">
        <v>72</v>
      </c>
      <c r="G53" s="103"/>
      <c r="H53" s="103" t="s">
        <v>5827</v>
      </c>
      <c r="I53" s="103" t="s">
        <v>123</v>
      </c>
      <c r="J53" s="103" t="s">
        <v>5830</v>
      </c>
      <c r="K53" s="103">
        <v>366</v>
      </c>
      <c r="L53" s="103"/>
      <c r="M53" s="103"/>
      <c r="N53" s="103" t="s">
        <v>5824</v>
      </c>
      <c r="O53" s="103" t="s">
        <v>5580</v>
      </c>
      <c r="P53" s="103">
        <v>12</v>
      </c>
      <c r="Q53" s="103"/>
      <c r="R53" s="103"/>
      <c r="S53" s="103" t="s">
        <v>5833</v>
      </c>
      <c r="T53" s="103">
        <v>908586</v>
      </c>
      <c r="U53" s="103">
        <v>8.5</v>
      </c>
      <c r="V53" s="103" t="s">
        <v>65</v>
      </c>
      <c r="W53" s="103" t="s">
        <v>310</v>
      </c>
    </row>
    <row r="54" spans="1:23" x14ac:dyDescent="0.45">
      <c r="A54" s="103">
        <f t="shared" si="3"/>
        <v>53</v>
      </c>
      <c r="B54" s="103" t="s">
        <v>5824</v>
      </c>
      <c r="C54" s="103" t="s">
        <v>5825</v>
      </c>
      <c r="D54" s="103"/>
      <c r="E54" s="103" t="s">
        <v>100</v>
      </c>
      <c r="F54" s="103" t="s">
        <v>72</v>
      </c>
      <c r="G54" s="103"/>
      <c r="H54" s="103" t="s">
        <v>5827</v>
      </c>
      <c r="I54" s="103" t="s">
        <v>123</v>
      </c>
      <c r="J54" s="103" t="s">
        <v>142</v>
      </c>
      <c r="K54" s="103" t="s">
        <v>5834</v>
      </c>
      <c r="L54" s="103">
        <v>1003224843</v>
      </c>
      <c r="M54" s="103"/>
      <c r="N54" s="103" t="s">
        <v>5824</v>
      </c>
      <c r="O54" s="103" t="s">
        <v>5812</v>
      </c>
      <c r="P54" s="103" t="s">
        <v>5835</v>
      </c>
      <c r="Q54" s="103"/>
      <c r="R54" s="103"/>
      <c r="S54" s="103" t="s">
        <v>5835</v>
      </c>
      <c r="T54" s="103">
        <v>908586</v>
      </c>
      <c r="U54" s="103">
        <v>9</v>
      </c>
      <c r="V54" s="103" t="s">
        <v>65</v>
      </c>
      <c r="W54" s="103" t="s">
        <v>310</v>
      </c>
    </row>
    <row r="55" spans="1:23" x14ac:dyDescent="0.45">
      <c r="A55" s="103">
        <f t="shared" si="3"/>
        <v>54</v>
      </c>
      <c r="B55" s="103" t="s">
        <v>5824</v>
      </c>
      <c r="C55" s="103" t="s">
        <v>5825</v>
      </c>
      <c r="D55" s="103"/>
      <c r="E55" s="103" t="s">
        <v>100</v>
      </c>
      <c r="F55" s="103" t="s">
        <v>72</v>
      </c>
      <c r="G55" s="103"/>
      <c r="H55" s="103" t="s">
        <v>5827</v>
      </c>
      <c r="I55" s="103"/>
      <c r="J55" s="103" t="s">
        <v>142</v>
      </c>
      <c r="K55" s="103" t="s">
        <v>5834</v>
      </c>
      <c r="L55" s="103">
        <v>1003210141</v>
      </c>
      <c r="M55" s="103"/>
      <c r="N55" s="103" t="s">
        <v>5824</v>
      </c>
      <c r="O55" s="103" t="s">
        <v>5581</v>
      </c>
      <c r="P55" s="103" t="s">
        <v>5835</v>
      </c>
      <c r="Q55" s="103"/>
      <c r="R55" s="103"/>
      <c r="S55" s="103" t="s">
        <v>5835</v>
      </c>
      <c r="T55" s="103">
        <v>908586</v>
      </c>
      <c r="U55" s="103">
        <v>9</v>
      </c>
      <c r="V55" s="103" t="s">
        <v>65</v>
      </c>
      <c r="W55" s="103" t="s">
        <v>310</v>
      </c>
    </row>
    <row r="56" spans="1:23" x14ac:dyDescent="0.45">
      <c r="A56" s="103">
        <f t="shared" si="3"/>
        <v>55</v>
      </c>
      <c r="B56" s="103" t="s">
        <v>5824</v>
      </c>
      <c r="C56" s="103" t="s">
        <v>5825</v>
      </c>
      <c r="D56" s="103"/>
      <c r="E56" s="103" t="s">
        <v>100</v>
      </c>
      <c r="F56" s="103" t="s">
        <v>72</v>
      </c>
      <c r="G56" s="103"/>
      <c r="H56" s="103" t="s">
        <v>5827</v>
      </c>
      <c r="I56" s="103" t="s">
        <v>123</v>
      </c>
      <c r="J56" s="103" t="s">
        <v>142</v>
      </c>
      <c r="K56" s="103" t="s">
        <v>5834</v>
      </c>
      <c r="L56" s="103">
        <v>1003210144</v>
      </c>
      <c r="M56" s="103"/>
      <c r="N56" s="103" t="s">
        <v>5824</v>
      </c>
      <c r="O56" s="103" t="s">
        <v>5813</v>
      </c>
      <c r="P56" s="103" t="s">
        <v>5835</v>
      </c>
      <c r="Q56" s="103"/>
      <c r="R56" s="103"/>
      <c r="S56" s="103" t="s">
        <v>5835</v>
      </c>
      <c r="T56" s="103">
        <v>908586</v>
      </c>
      <c r="U56" s="103">
        <v>9</v>
      </c>
      <c r="V56" s="103" t="s">
        <v>65</v>
      </c>
      <c r="W56" s="103" t="s">
        <v>310</v>
      </c>
    </row>
    <row r="57" spans="1:23" x14ac:dyDescent="0.45">
      <c r="A57" s="103">
        <f t="shared" si="3"/>
        <v>56</v>
      </c>
      <c r="B57" s="103" t="s">
        <v>5824</v>
      </c>
      <c r="C57" s="103" t="s">
        <v>5825</v>
      </c>
      <c r="D57" s="103"/>
      <c r="E57" s="103" t="s">
        <v>100</v>
      </c>
      <c r="F57" s="103" t="s">
        <v>72</v>
      </c>
      <c r="G57" s="103"/>
      <c r="H57" s="103" t="s">
        <v>5827</v>
      </c>
      <c r="I57" s="103" t="s">
        <v>123</v>
      </c>
      <c r="J57" s="103" t="s">
        <v>142</v>
      </c>
      <c r="K57" s="103" t="s">
        <v>5834</v>
      </c>
      <c r="L57" s="103">
        <v>1003224842</v>
      </c>
      <c r="M57" s="103"/>
      <c r="N57" s="103"/>
      <c r="O57" s="103" t="s">
        <v>5814</v>
      </c>
      <c r="P57" s="103" t="s">
        <v>5835</v>
      </c>
      <c r="Q57" s="103"/>
      <c r="R57" s="103"/>
      <c r="S57" s="103" t="s">
        <v>5835</v>
      </c>
      <c r="T57" s="103">
        <v>908586</v>
      </c>
      <c r="U57" s="103">
        <v>9</v>
      </c>
      <c r="V57" s="103" t="s">
        <v>65</v>
      </c>
      <c r="W57" s="103" t="s">
        <v>310</v>
      </c>
    </row>
    <row r="58" spans="1:23" x14ac:dyDescent="0.45">
      <c r="A58" s="103">
        <f t="shared" si="3"/>
        <v>57</v>
      </c>
      <c r="B58" s="103" t="s">
        <v>5824</v>
      </c>
      <c r="C58" s="103" t="s">
        <v>5825</v>
      </c>
      <c r="D58" s="103"/>
      <c r="E58" s="103" t="s">
        <v>100</v>
      </c>
      <c r="F58" s="103" t="s">
        <v>72</v>
      </c>
      <c r="G58" s="103"/>
      <c r="H58" s="103" t="s">
        <v>5827</v>
      </c>
      <c r="I58" s="103"/>
      <c r="J58" s="103"/>
      <c r="K58" s="103"/>
      <c r="L58" s="103"/>
      <c r="M58" s="103"/>
      <c r="N58" s="103" t="s">
        <v>5824</v>
      </c>
      <c r="O58" s="103" t="s">
        <v>5819</v>
      </c>
      <c r="P58" s="103"/>
      <c r="Q58" s="103"/>
      <c r="R58" s="103"/>
      <c r="S58" s="103"/>
      <c r="T58" s="103">
        <v>908586</v>
      </c>
      <c r="U58" s="103"/>
      <c r="V58" s="103" t="s">
        <v>65</v>
      </c>
      <c r="W58" s="103" t="s">
        <v>310</v>
      </c>
    </row>
    <row r="59" spans="1:23" x14ac:dyDescent="0.45">
      <c r="A59" s="103">
        <f t="shared" ref="A59:A71" si="4">ROW()-1</f>
        <v>58</v>
      </c>
      <c r="B59" s="103" t="s">
        <v>5824</v>
      </c>
      <c r="C59" s="103" t="s">
        <v>1018</v>
      </c>
      <c r="D59" s="103" t="s">
        <v>330</v>
      </c>
      <c r="E59" s="103" t="s">
        <v>100</v>
      </c>
      <c r="F59" s="103" t="s">
        <v>72</v>
      </c>
      <c r="G59" s="103"/>
      <c r="H59" s="103" t="s">
        <v>5837</v>
      </c>
      <c r="I59" s="103" t="s">
        <v>143</v>
      </c>
      <c r="J59" s="103" t="s">
        <v>122</v>
      </c>
      <c r="K59" s="103" t="s">
        <v>5788</v>
      </c>
      <c r="L59" s="103" t="s">
        <v>5846</v>
      </c>
      <c r="M59" s="103"/>
      <c r="N59" s="103" t="s">
        <v>5824</v>
      </c>
      <c r="O59" s="103" t="s">
        <v>47</v>
      </c>
      <c r="P59" s="103" t="s">
        <v>5806</v>
      </c>
      <c r="Q59" s="103"/>
      <c r="R59" s="103"/>
      <c r="S59" s="103" t="s">
        <v>5806</v>
      </c>
      <c r="T59" s="103">
        <v>859858</v>
      </c>
      <c r="U59" s="103">
        <v>8.5</v>
      </c>
      <c r="V59" s="103" t="s">
        <v>65</v>
      </c>
      <c r="W59" s="103" t="s">
        <v>310</v>
      </c>
    </row>
    <row r="60" spans="1:23" x14ac:dyDescent="0.45">
      <c r="A60" s="103">
        <f t="shared" si="4"/>
        <v>59</v>
      </c>
      <c r="B60" s="103" t="s">
        <v>5824</v>
      </c>
      <c r="C60" s="103" t="s">
        <v>1018</v>
      </c>
      <c r="D60" s="103" t="s">
        <v>330</v>
      </c>
      <c r="E60" s="103" t="s">
        <v>100</v>
      </c>
      <c r="F60" s="103" t="s">
        <v>72</v>
      </c>
      <c r="G60" s="103"/>
      <c r="H60" s="103" t="s">
        <v>5837</v>
      </c>
      <c r="I60" s="103" t="s">
        <v>143</v>
      </c>
      <c r="J60" s="103" t="s">
        <v>122</v>
      </c>
      <c r="K60" s="103" t="s">
        <v>5788</v>
      </c>
      <c r="L60" s="103" t="s">
        <v>5847</v>
      </c>
      <c r="M60" s="103"/>
      <c r="N60" s="103" t="s">
        <v>5824</v>
      </c>
      <c r="O60" s="103" t="s">
        <v>5580</v>
      </c>
      <c r="P60" s="103" t="s">
        <v>5806</v>
      </c>
      <c r="Q60" s="103"/>
      <c r="R60" s="103"/>
      <c r="S60" s="103" t="s">
        <v>5806</v>
      </c>
      <c r="T60" s="103">
        <v>859858</v>
      </c>
      <c r="U60" s="103">
        <v>8.5</v>
      </c>
      <c r="V60" s="103" t="s">
        <v>65</v>
      </c>
      <c r="W60" s="103" t="s">
        <v>310</v>
      </c>
    </row>
    <row r="61" spans="1:23" x14ac:dyDescent="0.45">
      <c r="A61" s="103">
        <f t="shared" si="4"/>
        <v>60</v>
      </c>
      <c r="B61" s="103" t="s">
        <v>5824</v>
      </c>
      <c r="C61" s="103" t="s">
        <v>1018</v>
      </c>
      <c r="D61" s="103" t="s">
        <v>330</v>
      </c>
      <c r="E61" s="103" t="s">
        <v>100</v>
      </c>
      <c r="F61" s="103" t="s">
        <v>72</v>
      </c>
      <c r="G61" s="103"/>
      <c r="H61" s="103" t="s">
        <v>5837</v>
      </c>
      <c r="I61" s="103" t="s">
        <v>143</v>
      </c>
      <c r="J61" s="103" t="s">
        <v>5840</v>
      </c>
      <c r="K61" s="103" t="s">
        <v>5841</v>
      </c>
      <c r="L61" s="103"/>
      <c r="M61" s="103"/>
      <c r="N61" s="103" t="s">
        <v>5824</v>
      </c>
      <c r="O61" s="103" t="s">
        <v>5812</v>
      </c>
      <c r="P61" s="103" t="s">
        <v>5802</v>
      </c>
      <c r="Q61" s="103"/>
      <c r="R61" s="103"/>
      <c r="S61" s="103">
        <v>15</v>
      </c>
      <c r="T61" s="103">
        <v>859858</v>
      </c>
      <c r="U61" s="103">
        <v>8.4</v>
      </c>
      <c r="V61" s="103" t="s">
        <v>65</v>
      </c>
      <c r="W61" s="103" t="s">
        <v>310</v>
      </c>
    </row>
    <row r="62" spans="1:23" x14ac:dyDescent="0.45">
      <c r="A62" s="103">
        <f t="shared" si="4"/>
        <v>61</v>
      </c>
      <c r="B62" s="103" t="s">
        <v>5824</v>
      </c>
      <c r="C62" s="103" t="s">
        <v>1018</v>
      </c>
      <c r="D62" s="103" t="s">
        <v>330</v>
      </c>
      <c r="E62" s="103" t="s">
        <v>100</v>
      </c>
      <c r="F62" s="103" t="s">
        <v>72</v>
      </c>
      <c r="G62" s="103"/>
      <c r="H62" s="103" t="s">
        <v>5837</v>
      </c>
      <c r="I62" s="103"/>
      <c r="J62" s="103" t="s">
        <v>5840</v>
      </c>
      <c r="K62" s="103" t="s">
        <v>5841</v>
      </c>
      <c r="L62" s="103"/>
      <c r="M62" s="103"/>
      <c r="N62" s="103" t="s">
        <v>5824</v>
      </c>
      <c r="O62" s="103" t="s">
        <v>5581</v>
      </c>
      <c r="P62" s="103" t="s">
        <v>5842</v>
      </c>
      <c r="Q62" s="103"/>
      <c r="R62" s="103"/>
      <c r="S62" s="103" t="s">
        <v>5843</v>
      </c>
      <c r="T62" s="103">
        <v>859858</v>
      </c>
      <c r="U62" s="103" t="s">
        <v>5796</v>
      </c>
      <c r="V62" s="103" t="s">
        <v>65</v>
      </c>
      <c r="W62" s="103" t="s">
        <v>310</v>
      </c>
    </row>
    <row r="63" spans="1:23" x14ac:dyDescent="0.45">
      <c r="A63" s="103">
        <f t="shared" si="4"/>
        <v>62</v>
      </c>
      <c r="B63" s="103" t="s">
        <v>5824</v>
      </c>
      <c r="C63" s="103" t="s">
        <v>1018</v>
      </c>
      <c r="D63" s="103" t="s">
        <v>330</v>
      </c>
      <c r="E63" s="103" t="s">
        <v>100</v>
      </c>
      <c r="F63" s="103" t="s">
        <v>72</v>
      </c>
      <c r="G63" s="103"/>
      <c r="H63" s="103" t="s">
        <v>5837</v>
      </c>
      <c r="I63" s="103" t="s">
        <v>143</v>
      </c>
      <c r="J63" s="103" t="s">
        <v>5840</v>
      </c>
      <c r="K63" s="103" t="s">
        <v>5841</v>
      </c>
      <c r="L63" s="103"/>
      <c r="M63" s="103"/>
      <c r="N63" s="103" t="s">
        <v>5824</v>
      </c>
      <c r="O63" s="103" t="s">
        <v>5813</v>
      </c>
      <c r="P63" s="103">
        <v>12</v>
      </c>
      <c r="Q63" s="103"/>
      <c r="R63" s="103"/>
      <c r="S63" s="103" t="s">
        <v>5844</v>
      </c>
      <c r="T63" s="103">
        <v>859858</v>
      </c>
      <c r="U63" s="103" t="s">
        <v>5796</v>
      </c>
      <c r="V63" s="103" t="s">
        <v>65</v>
      </c>
      <c r="W63" s="103" t="s">
        <v>310</v>
      </c>
    </row>
    <row r="64" spans="1:23" x14ac:dyDescent="0.45">
      <c r="A64" s="103">
        <f t="shared" si="4"/>
        <v>63</v>
      </c>
      <c r="B64" s="103" t="s">
        <v>5824</v>
      </c>
      <c r="C64" s="103" t="s">
        <v>1018</v>
      </c>
      <c r="D64" s="103" t="s">
        <v>330</v>
      </c>
      <c r="E64" s="103" t="s">
        <v>100</v>
      </c>
      <c r="F64" s="103" t="s">
        <v>72</v>
      </c>
      <c r="G64" s="103"/>
      <c r="H64" s="103" t="s">
        <v>5837</v>
      </c>
      <c r="I64" s="103" t="s">
        <v>143</v>
      </c>
      <c r="J64" s="103" t="s">
        <v>5840</v>
      </c>
      <c r="K64" s="103" t="s">
        <v>5841</v>
      </c>
      <c r="L64" s="103"/>
      <c r="M64" s="103"/>
      <c r="N64" s="103"/>
      <c r="O64" s="103" t="s">
        <v>5814</v>
      </c>
      <c r="P64" s="103">
        <v>12</v>
      </c>
      <c r="Q64" s="103"/>
      <c r="R64" s="103"/>
      <c r="S64" s="103" t="s">
        <v>5845</v>
      </c>
      <c r="T64" s="103">
        <v>859858</v>
      </c>
      <c r="U64" s="103">
        <v>8.4</v>
      </c>
      <c r="V64" s="103" t="s">
        <v>65</v>
      </c>
      <c r="W64" s="103" t="s">
        <v>310</v>
      </c>
    </row>
    <row r="65" spans="1:23" x14ac:dyDescent="0.45">
      <c r="A65" s="103">
        <f t="shared" si="4"/>
        <v>64</v>
      </c>
      <c r="B65" s="103" t="s">
        <v>5824</v>
      </c>
      <c r="C65" s="103" t="s">
        <v>1018</v>
      </c>
      <c r="D65" s="103" t="s">
        <v>330</v>
      </c>
      <c r="E65" s="103" t="s">
        <v>100</v>
      </c>
      <c r="F65" s="103" t="s">
        <v>72</v>
      </c>
      <c r="G65" s="103"/>
      <c r="H65" s="103" t="s">
        <v>5837</v>
      </c>
      <c r="I65" s="103"/>
      <c r="J65" s="103"/>
      <c r="K65" s="103"/>
      <c r="L65" s="103"/>
      <c r="M65" s="103"/>
      <c r="N65" s="103" t="s">
        <v>5824</v>
      </c>
      <c r="O65" s="103" t="s">
        <v>5819</v>
      </c>
      <c r="P65" s="103"/>
      <c r="Q65" s="103"/>
      <c r="R65" s="103"/>
      <c r="S65" s="103"/>
      <c r="T65" s="103">
        <v>859858</v>
      </c>
      <c r="U65" s="103"/>
      <c r="V65" s="103" t="s">
        <v>65</v>
      </c>
      <c r="W65" s="103" t="s">
        <v>310</v>
      </c>
    </row>
    <row r="66" spans="1:23" x14ac:dyDescent="0.45">
      <c r="A66" s="103">
        <f t="shared" si="4"/>
        <v>65</v>
      </c>
      <c r="B66" s="103" t="s">
        <v>5824</v>
      </c>
      <c r="C66" s="103" t="s">
        <v>1018</v>
      </c>
      <c r="D66" s="103" t="s">
        <v>330</v>
      </c>
      <c r="E66" s="103" t="s">
        <v>100</v>
      </c>
      <c r="F66" s="103" t="s">
        <v>72</v>
      </c>
      <c r="G66" s="103"/>
      <c r="H66" s="103" t="s">
        <v>5837</v>
      </c>
      <c r="I66" s="103" t="s">
        <v>143</v>
      </c>
      <c r="J66" s="103" t="s">
        <v>136</v>
      </c>
      <c r="K66" s="103" t="s">
        <v>220</v>
      </c>
      <c r="L66" s="103"/>
      <c r="M66" s="103"/>
      <c r="N66" s="103" t="s">
        <v>5824</v>
      </c>
      <c r="O66" s="103" t="s">
        <v>47</v>
      </c>
      <c r="P66" s="103" t="s">
        <v>5800</v>
      </c>
      <c r="Q66" s="103"/>
      <c r="R66" s="103"/>
      <c r="S66" s="103">
        <v>0</v>
      </c>
      <c r="T66" s="103">
        <v>859858</v>
      </c>
      <c r="U66" s="103">
        <v>8.4</v>
      </c>
      <c r="V66" s="103" t="s">
        <v>5823</v>
      </c>
      <c r="W66" s="103" t="s">
        <v>310</v>
      </c>
    </row>
    <row r="67" spans="1:23" x14ac:dyDescent="0.45">
      <c r="A67" s="103">
        <f t="shared" si="4"/>
        <v>66</v>
      </c>
      <c r="B67" s="103" t="s">
        <v>5824</v>
      </c>
      <c r="C67" s="103" t="s">
        <v>1018</v>
      </c>
      <c r="D67" s="103" t="s">
        <v>330</v>
      </c>
      <c r="E67" s="103" t="s">
        <v>100</v>
      </c>
      <c r="F67" s="103" t="s">
        <v>72</v>
      </c>
      <c r="G67" s="103"/>
      <c r="H67" s="103" t="s">
        <v>5837</v>
      </c>
      <c r="I67" s="103" t="s">
        <v>143</v>
      </c>
      <c r="J67" s="103" t="s">
        <v>136</v>
      </c>
      <c r="K67" s="103" t="s">
        <v>220</v>
      </c>
      <c r="L67" s="103"/>
      <c r="M67" s="103"/>
      <c r="N67" s="103" t="s">
        <v>5824</v>
      </c>
      <c r="O67" s="103" t="s">
        <v>5580</v>
      </c>
      <c r="P67" s="103" t="s">
        <v>5848</v>
      </c>
      <c r="Q67" s="103"/>
      <c r="R67" s="103"/>
      <c r="S67" s="103">
        <v>2</v>
      </c>
      <c r="T67" s="103">
        <v>859858</v>
      </c>
      <c r="U67" s="103">
        <v>8.4</v>
      </c>
      <c r="V67" s="103" t="s">
        <v>5823</v>
      </c>
      <c r="W67" s="103" t="s">
        <v>310</v>
      </c>
    </row>
    <row r="68" spans="1:23" x14ac:dyDescent="0.45">
      <c r="A68" s="103">
        <f t="shared" si="4"/>
        <v>67</v>
      </c>
      <c r="B68" s="103" t="s">
        <v>5824</v>
      </c>
      <c r="C68" s="103" t="s">
        <v>1018</v>
      </c>
      <c r="D68" s="103" t="s">
        <v>330</v>
      </c>
      <c r="E68" s="103" t="s">
        <v>100</v>
      </c>
      <c r="F68" s="103" t="s">
        <v>72</v>
      </c>
      <c r="G68" s="103"/>
      <c r="H68" s="103" t="s">
        <v>5837</v>
      </c>
      <c r="I68" s="103" t="s">
        <v>143</v>
      </c>
      <c r="J68" s="103" t="s">
        <v>5840</v>
      </c>
      <c r="K68" s="103" t="s">
        <v>5841</v>
      </c>
      <c r="L68" s="103"/>
      <c r="M68" s="103"/>
      <c r="N68" s="103" t="s">
        <v>5824</v>
      </c>
      <c r="O68" s="103" t="s">
        <v>5812</v>
      </c>
      <c r="P68" s="103" t="s">
        <v>5802</v>
      </c>
      <c r="Q68" s="103"/>
      <c r="R68" s="103"/>
      <c r="S68" s="103">
        <v>15</v>
      </c>
      <c r="T68" s="103">
        <v>859858</v>
      </c>
      <c r="U68" s="103">
        <v>8.4</v>
      </c>
      <c r="V68" s="103" t="s">
        <v>5823</v>
      </c>
      <c r="W68" s="103" t="s">
        <v>310</v>
      </c>
    </row>
    <row r="69" spans="1:23" x14ac:dyDescent="0.45">
      <c r="A69" s="103">
        <f t="shared" si="4"/>
        <v>68</v>
      </c>
      <c r="B69" s="103" t="s">
        <v>5824</v>
      </c>
      <c r="C69" s="103" t="s">
        <v>1018</v>
      </c>
      <c r="D69" s="103" t="s">
        <v>330</v>
      </c>
      <c r="E69" s="103" t="s">
        <v>100</v>
      </c>
      <c r="F69" s="103" t="s">
        <v>72</v>
      </c>
      <c r="G69" s="103"/>
      <c r="H69" s="103" t="s">
        <v>5837</v>
      </c>
      <c r="I69" s="103" t="s">
        <v>143</v>
      </c>
      <c r="J69" s="103" t="s">
        <v>5840</v>
      </c>
      <c r="K69" s="103" t="s">
        <v>5841</v>
      </c>
      <c r="L69" s="103"/>
      <c r="M69" s="103"/>
      <c r="N69" s="103" t="s">
        <v>5824</v>
      </c>
      <c r="O69" s="103" t="s">
        <v>5581</v>
      </c>
      <c r="P69" s="103" t="s">
        <v>5842</v>
      </c>
      <c r="Q69" s="103"/>
      <c r="R69" s="103"/>
      <c r="S69" s="103" t="s">
        <v>5843</v>
      </c>
      <c r="T69" s="103">
        <v>859858</v>
      </c>
      <c r="U69" s="103" t="s">
        <v>5796</v>
      </c>
      <c r="V69" s="103" t="s">
        <v>5823</v>
      </c>
      <c r="W69" s="103" t="s">
        <v>310</v>
      </c>
    </row>
    <row r="70" spans="1:23" x14ac:dyDescent="0.45">
      <c r="A70" s="103">
        <f t="shared" si="4"/>
        <v>69</v>
      </c>
      <c r="B70" s="103" t="s">
        <v>5824</v>
      </c>
      <c r="C70" s="103" t="s">
        <v>1018</v>
      </c>
      <c r="D70" s="103" t="s">
        <v>330</v>
      </c>
      <c r="E70" s="103" t="s">
        <v>100</v>
      </c>
      <c r="F70" s="103" t="s">
        <v>72</v>
      </c>
      <c r="G70" s="103"/>
      <c r="H70" s="103" t="s">
        <v>5837</v>
      </c>
      <c r="I70" s="103" t="s">
        <v>143</v>
      </c>
      <c r="J70" s="103" t="s">
        <v>5840</v>
      </c>
      <c r="K70" s="103" t="s">
        <v>5841</v>
      </c>
      <c r="L70" s="103"/>
      <c r="M70" s="103"/>
      <c r="N70" s="103" t="s">
        <v>5824</v>
      </c>
      <c r="O70" s="103" t="s">
        <v>5813</v>
      </c>
      <c r="P70" s="103">
        <v>12</v>
      </c>
      <c r="Q70" s="103"/>
      <c r="R70" s="103"/>
      <c r="S70" s="103" t="s">
        <v>5844</v>
      </c>
      <c r="T70" s="103">
        <v>859858</v>
      </c>
      <c r="U70" s="103" t="s">
        <v>5796</v>
      </c>
      <c r="V70" s="103" t="s">
        <v>5823</v>
      </c>
      <c r="W70" s="103" t="s">
        <v>310</v>
      </c>
    </row>
    <row r="71" spans="1:23" x14ac:dyDescent="0.45">
      <c r="A71" s="103">
        <f t="shared" si="4"/>
        <v>70</v>
      </c>
      <c r="B71" s="103" t="s">
        <v>5824</v>
      </c>
      <c r="C71" s="103" t="s">
        <v>1018</v>
      </c>
      <c r="D71" s="103" t="s">
        <v>330</v>
      </c>
      <c r="E71" s="103" t="s">
        <v>100</v>
      </c>
      <c r="F71" s="103" t="s">
        <v>72</v>
      </c>
      <c r="G71" s="103"/>
      <c r="H71" s="103" t="s">
        <v>5837</v>
      </c>
      <c r="I71" s="103" t="s">
        <v>143</v>
      </c>
      <c r="J71" s="103" t="s">
        <v>5840</v>
      </c>
      <c r="K71" s="103" t="s">
        <v>5841</v>
      </c>
      <c r="L71" s="103"/>
      <c r="M71" s="103"/>
      <c r="N71" s="103" t="s">
        <v>5824</v>
      </c>
      <c r="O71" s="103" t="s">
        <v>5814</v>
      </c>
      <c r="P71" s="103">
        <v>12</v>
      </c>
      <c r="Q71" s="103"/>
      <c r="R71" s="103"/>
      <c r="S71" s="103" t="s">
        <v>5845</v>
      </c>
      <c r="T71" s="103">
        <v>859858</v>
      </c>
      <c r="U71" s="103">
        <v>8.4</v>
      </c>
      <c r="V71" s="103" t="s">
        <v>5823</v>
      </c>
      <c r="W71" s="103" t="s">
        <v>310</v>
      </c>
    </row>
    <row r="72" spans="1:23" x14ac:dyDescent="0.45">
      <c r="A72" s="103">
        <f t="shared" ref="A72:A99" si="5">ROW()-1</f>
        <v>71</v>
      </c>
      <c r="B72" s="103" t="s">
        <v>5824</v>
      </c>
      <c r="C72" s="103" t="s">
        <v>3598</v>
      </c>
      <c r="D72" s="103" t="s">
        <v>330</v>
      </c>
      <c r="E72" s="103" t="s">
        <v>99</v>
      </c>
      <c r="F72" s="103" t="s">
        <v>77</v>
      </c>
      <c r="G72" s="103" t="s">
        <v>71</v>
      </c>
      <c r="H72" s="103" t="s">
        <v>5849</v>
      </c>
      <c r="I72" s="103" t="s">
        <v>130</v>
      </c>
      <c r="J72" s="103" t="s">
        <v>118</v>
      </c>
      <c r="K72" s="103" t="s">
        <v>131</v>
      </c>
      <c r="L72" s="103"/>
      <c r="M72" s="103"/>
      <c r="N72" s="103" t="s">
        <v>5824</v>
      </c>
      <c r="O72" s="103" t="s">
        <v>5820</v>
      </c>
      <c r="P72" s="103"/>
      <c r="Q72" s="103"/>
      <c r="R72" s="103"/>
      <c r="S72" s="103"/>
      <c r="T72" s="103">
        <v>618482</v>
      </c>
      <c r="U72" s="103">
        <v>8.5</v>
      </c>
      <c r="V72" s="103" t="s">
        <v>65</v>
      </c>
      <c r="W72" s="103" t="s">
        <v>312</v>
      </c>
    </row>
    <row r="73" spans="1:23" x14ac:dyDescent="0.45">
      <c r="A73" s="103">
        <f t="shared" si="5"/>
        <v>72</v>
      </c>
      <c r="B73" s="103" t="s">
        <v>5824</v>
      </c>
      <c r="C73" s="103" t="s">
        <v>3598</v>
      </c>
      <c r="D73" s="103" t="s">
        <v>330</v>
      </c>
      <c r="E73" s="103" t="s">
        <v>99</v>
      </c>
      <c r="F73" s="103" t="s">
        <v>77</v>
      </c>
      <c r="G73" s="103" t="s">
        <v>71</v>
      </c>
      <c r="H73" s="103" t="s">
        <v>5849</v>
      </c>
      <c r="I73" s="103" t="s">
        <v>130</v>
      </c>
      <c r="J73" s="103" t="s">
        <v>118</v>
      </c>
      <c r="K73" s="103" t="s">
        <v>131</v>
      </c>
      <c r="L73" s="103"/>
      <c r="M73" s="103"/>
      <c r="N73" s="103" t="s">
        <v>5824</v>
      </c>
      <c r="O73" s="103" t="s">
        <v>5821</v>
      </c>
      <c r="P73" s="103" t="s">
        <v>5856</v>
      </c>
      <c r="Q73" s="103"/>
      <c r="R73" s="103"/>
      <c r="S73" s="103">
        <v>11</v>
      </c>
      <c r="T73" s="103">
        <v>618482</v>
      </c>
      <c r="U73" s="103">
        <v>8.5</v>
      </c>
      <c r="V73" s="103" t="s">
        <v>65</v>
      </c>
      <c r="W73" s="103" t="s">
        <v>312</v>
      </c>
    </row>
    <row r="74" spans="1:23" x14ac:dyDescent="0.45">
      <c r="A74" s="103">
        <f t="shared" si="5"/>
        <v>73</v>
      </c>
      <c r="B74" s="103" t="s">
        <v>5824</v>
      </c>
      <c r="C74" s="103" t="s">
        <v>3598</v>
      </c>
      <c r="D74" s="103" t="s">
        <v>330</v>
      </c>
      <c r="E74" s="103" t="s">
        <v>99</v>
      </c>
      <c r="F74" s="103" t="s">
        <v>77</v>
      </c>
      <c r="G74" s="103" t="s">
        <v>71</v>
      </c>
      <c r="H74" s="103" t="s">
        <v>5849</v>
      </c>
      <c r="I74" s="103" t="s">
        <v>130</v>
      </c>
      <c r="J74" s="103" t="s">
        <v>118</v>
      </c>
      <c r="K74" s="103" t="s">
        <v>131</v>
      </c>
      <c r="L74" s="103"/>
      <c r="M74" s="103"/>
      <c r="N74" s="103" t="s">
        <v>5824</v>
      </c>
      <c r="O74" s="103" t="s">
        <v>5822</v>
      </c>
      <c r="P74" s="103">
        <v>11</v>
      </c>
      <c r="Q74" s="103"/>
      <c r="R74" s="103"/>
      <c r="S74" s="103" t="s">
        <v>5857</v>
      </c>
      <c r="T74" s="103">
        <v>618482</v>
      </c>
      <c r="U74" s="103">
        <v>8.5</v>
      </c>
      <c r="V74" s="103" t="s">
        <v>65</v>
      </c>
      <c r="W74" s="103" t="s">
        <v>312</v>
      </c>
    </row>
    <row r="75" spans="1:23" x14ac:dyDescent="0.45">
      <c r="A75" s="103">
        <f t="shared" si="5"/>
        <v>74</v>
      </c>
      <c r="B75" s="103" t="s">
        <v>5824</v>
      </c>
      <c r="C75" s="103" t="s">
        <v>3598</v>
      </c>
      <c r="D75" s="103" t="s">
        <v>330</v>
      </c>
      <c r="E75" s="103" t="s">
        <v>99</v>
      </c>
      <c r="F75" s="103" t="s">
        <v>77</v>
      </c>
      <c r="G75" s="103" t="s">
        <v>71</v>
      </c>
      <c r="H75" s="103" t="s">
        <v>5849</v>
      </c>
      <c r="I75" s="103" t="s">
        <v>130</v>
      </c>
      <c r="J75" s="103" t="s">
        <v>118</v>
      </c>
      <c r="K75" s="103" t="s">
        <v>131</v>
      </c>
      <c r="L75" s="103"/>
      <c r="M75" s="103"/>
      <c r="N75" s="103" t="s">
        <v>5824</v>
      </c>
      <c r="O75" s="103" t="s">
        <v>5858</v>
      </c>
      <c r="P75" s="103" t="s">
        <v>5852</v>
      </c>
      <c r="Q75" s="103"/>
      <c r="R75" s="103"/>
      <c r="S75" s="103">
        <v>10</v>
      </c>
      <c r="T75" s="103">
        <v>618482</v>
      </c>
      <c r="U75" s="103">
        <v>8.5</v>
      </c>
      <c r="V75" s="103" t="s">
        <v>65</v>
      </c>
      <c r="W75" s="103" t="s">
        <v>312</v>
      </c>
    </row>
    <row r="76" spans="1:23" x14ac:dyDescent="0.45">
      <c r="A76" s="103">
        <f t="shared" si="5"/>
        <v>75</v>
      </c>
      <c r="B76" s="103" t="s">
        <v>5824</v>
      </c>
      <c r="C76" s="103" t="s">
        <v>3598</v>
      </c>
      <c r="D76" s="103" t="s">
        <v>330</v>
      </c>
      <c r="E76" s="103" t="s">
        <v>99</v>
      </c>
      <c r="F76" s="103" t="s">
        <v>77</v>
      </c>
      <c r="G76" s="103" t="s">
        <v>71</v>
      </c>
      <c r="H76" s="103" t="s">
        <v>5849</v>
      </c>
      <c r="I76" s="103" t="s">
        <v>130</v>
      </c>
      <c r="J76" s="103" t="s">
        <v>118</v>
      </c>
      <c r="K76" s="103" t="s">
        <v>131</v>
      </c>
      <c r="L76" s="103"/>
      <c r="M76" s="103"/>
      <c r="N76" s="103" t="s">
        <v>5824</v>
      </c>
      <c r="O76" s="103" t="s">
        <v>5859</v>
      </c>
      <c r="P76" s="103">
        <v>11</v>
      </c>
      <c r="Q76" s="103"/>
      <c r="R76" s="103"/>
      <c r="S76" s="103" t="s">
        <v>5853</v>
      </c>
      <c r="T76" s="103">
        <v>618482</v>
      </c>
      <c r="U76" s="103">
        <v>8.5</v>
      </c>
      <c r="V76" s="103" t="s">
        <v>65</v>
      </c>
      <c r="W76" s="103" t="s">
        <v>312</v>
      </c>
    </row>
    <row r="77" spans="1:23" x14ac:dyDescent="0.45">
      <c r="A77" s="103">
        <f t="shared" si="5"/>
        <v>76</v>
      </c>
      <c r="B77" s="103" t="s">
        <v>5824</v>
      </c>
      <c r="C77" s="103" t="s">
        <v>3598</v>
      </c>
      <c r="D77" s="103" t="s">
        <v>330</v>
      </c>
      <c r="E77" s="103" t="s">
        <v>99</v>
      </c>
      <c r="F77" s="103" t="s">
        <v>77</v>
      </c>
      <c r="G77" s="103" t="s">
        <v>71</v>
      </c>
      <c r="H77" s="103" t="s">
        <v>5849</v>
      </c>
      <c r="I77" s="103" t="s">
        <v>130</v>
      </c>
      <c r="J77" s="103" t="s">
        <v>118</v>
      </c>
      <c r="K77" s="103" t="s">
        <v>131</v>
      </c>
      <c r="L77" s="103"/>
      <c r="M77" s="103"/>
      <c r="N77" s="103" t="s">
        <v>5824</v>
      </c>
      <c r="O77" s="103" t="s">
        <v>5860</v>
      </c>
      <c r="P77" s="103">
        <v>9</v>
      </c>
      <c r="Q77" s="103"/>
      <c r="R77" s="103"/>
      <c r="S77" s="103" t="s">
        <v>5851</v>
      </c>
      <c r="T77" s="103">
        <v>618482</v>
      </c>
      <c r="U77" s="103">
        <v>8.5</v>
      </c>
      <c r="V77" s="103" t="s">
        <v>65</v>
      </c>
      <c r="W77" s="103" t="s">
        <v>312</v>
      </c>
    </row>
    <row r="78" spans="1:23" x14ac:dyDescent="0.45">
      <c r="A78" s="103">
        <f t="shared" si="5"/>
        <v>77</v>
      </c>
      <c r="B78" s="103" t="s">
        <v>5824</v>
      </c>
      <c r="C78" s="103" t="s">
        <v>3598</v>
      </c>
      <c r="D78" s="103" t="s">
        <v>330</v>
      </c>
      <c r="E78" s="103" t="s">
        <v>99</v>
      </c>
      <c r="F78" s="103" t="s">
        <v>77</v>
      </c>
      <c r="G78" s="103" t="s">
        <v>71</v>
      </c>
      <c r="H78" s="103" t="s">
        <v>5849</v>
      </c>
      <c r="I78" s="103" t="s">
        <v>130</v>
      </c>
      <c r="J78" s="103" t="s">
        <v>118</v>
      </c>
      <c r="K78" s="103" t="s">
        <v>131</v>
      </c>
      <c r="L78" s="103"/>
      <c r="M78" s="103"/>
      <c r="N78" s="103" t="s">
        <v>5824</v>
      </c>
      <c r="O78" s="103" t="s">
        <v>5861</v>
      </c>
      <c r="P78" s="103" t="s">
        <v>5854</v>
      </c>
      <c r="Q78" s="103"/>
      <c r="R78" s="103"/>
      <c r="S78" s="103" t="s">
        <v>5855</v>
      </c>
      <c r="T78" s="103">
        <v>618482</v>
      </c>
      <c r="U78" s="103">
        <v>8.5</v>
      </c>
      <c r="V78" s="103" t="s">
        <v>65</v>
      </c>
      <c r="W78" s="103" t="s">
        <v>312</v>
      </c>
    </row>
    <row r="79" spans="1:23" x14ac:dyDescent="0.45">
      <c r="A79" s="103">
        <f t="shared" si="5"/>
        <v>78</v>
      </c>
      <c r="B79" s="103" t="s">
        <v>5824</v>
      </c>
      <c r="C79" s="103" t="s">
        <v>3598</v>
      </c>
      <c r="D79" s="103" t="s">
        <v>330</v>
      </c>
      <c r="E79" s="103" t="s">
        <v>99</v>
      </c>
      <c r="F79" s="103" t="s">
        <v>77</v>
      </c>
      <c r="G79" s="103" t="s">
        <v>71</v>
      </c>
      <c r="H79" s="103" t="s">
        <v>5849</v>
      </c>
      <c r="I79" s="103" t="s">
        <v>130</v>
      </c>
      <c r="J79" s="103" t="s">
        <v>118</v>
      </c>
      <c r="K79" s="103" t="s">
        <v>131</v>
      </c>
      <c r="L79" s="103"/>
      <c r="M79" s="103"/>
      <c r="N79" s="103" t="s">
        <v>5824</v>
      </c>
      <c r="O79" s="103" t="s">
        <v>5819</v>
      </c>
      <c r="P79" s="103" t="s">
        <v>5850</v>
      </c>
      <c r="Q79" s="103"/>
      <c r="R79" s="103"/>
      <c r="S79" s="103" t="s">
        <v>5851</v>
      </c>
      <c r="T79" s="103">
        <v>618482</v>
      </c>
      <c r="U79" s="103">
        <v>8.5</v>
      </c>
      <c r="V79" s="103" t="s">
        <v>5823</v>
      </c>
      <c r="W79" s="103" t="s">
        <v>312</v>
      </c>
    </row>
    <row r="80" spans="1:23" x14ac:dyDescent="0.45">
      <c r="A80" s="103">
        <f t="shared" si="5"/>
        <v>79</v>
      </c>
      <c r="B80" s="103" t="s">
        <v>5824</v>
      </c>
      <c r="C80" s="103" t="s">
        <v>3598</v>
      </c>
      <c r="D80" s="103" t="s">
        <v>330</v>
      </c>
      <c r="E80" s="103" t="s">
        <v>99</v>
      </c>
      <c r="F80" s="103" t="s">
        <v>77</v>
      </c>
      <c r="G80" s="103" t="s">
        <v>71</v>
      </c>
      <c r="H80" s="103" t="s">
        <v>5849</v>
      </c>
      <c r="I80" s="103" t="s">
        <v>130</v>
      </c>
      <c r="J80" s="103" t="s">
        <v>118</v>
      </c>
      <c r="K80" s="103" t="s">
        <v>131</v>
      </c>
      <c r="L80" s="103"/>
      <c r="M80" s="103"/>
      <c r="N80" s="103" t="s">
        <v>5824</v>
      </c>
      <c r="O80" s="103" t="s">
        <v>5820</v>
      </c>
      <c r="P80" s="103">
        <v>10</v>
      </c>
      <c r="Q80" s="103"/>
      <c r="R80" s="103"/>
      <c r="S80" s="103" t="s">
        <v>5851</v>
      </c>
      <c r="T80" s="103">
        <v>618482</v>
      </c>
      <c r="U80" s="103">
        <v>8.5</v>
      </c>
      <c r="V80" s="103" t="s">
        <v>5823</v>
      </c>
      <c r="W80" s="103" t="s">
        <v>312</v>
      </c>
    </row>
    <row r="81" spans="1:23" x14ac:dyDescent="0.45">
      <c r="A81" s="103">
        <f t="shared" si="5"/>
        <v>80</v>
      </c>
      <c r="B81" s="103" t="s">
        <v>5824</v>
      </c>
      <c r="C81" s="103" t="s">
        <v>3598</v>
      </c>
      <c r="D81" s="103" t="s">
        <v>330</v>
      </c>
      <c r="E81" s="103" t="s">
        <v>99</v>
      </c>
      <c r="F81" s="103" t="s">
        <v>77</v>
      </c>
      <c r="G81" s="103" t="s">
        <v>71</v>
      </c>
      <c r="H81" s="103" t="s">
        <v>5849</v>
      </c>
      <c r="I81" s="103" t="s">
        <v>130</v>
      </c>
      <c r="J81" s="103" t="s">
        <v>118</v>
      </c>
      <c r="K81" s="103" t="s">
        <v>131</v>
      </c>
      <c r="L81" s="103"/>
      <c r="M81" s="103"/>
      <c r="N81" s="103" t="s">
        <v>5824</v>
      </c>
      <c r="O81" s="103" t="s">
        <v>5821</v>
      </c>
      <c r="P81" s="103" t="s">
        <v>5856</v>
      </c>
      <c r="Q81" s="103"/>
      <c r="R81" s="103"/>
      <c r="S81" s="103">
        <v>11</v>
      </c>
      <c r="T81" s="103">
        <v>618482</v>
      </c>
      <c r="U81" s="103">
        <v>8.5</v>
      </c>
      <c r="V81" s="103" t="s">
        <v>5823</v>
      </c>
      <c r="W81" s="103" t="s">
        <v>312</v>
      </c>
    </row>
    <row r="82" spans="1:23" x14ac:dyDescent="0.45">
      <c r="A82" s="103">
        <f t="shared" si="5"/>
        <v>81</v>
      </c>
      <c r="B82" s="103" t="s">
        <v>5824</v>
      </c>
      <c r="C82" s="103" t="s">
        <v>3598</v>
      </c>
      <c r="D82" s="103" t="s">
        <v>330</v>
      </c>
      <c r="E82" s="103" t="s">
        <v>99</v>
      </c>
      <c r="F82" s="103" t="s">
        <v>77</v>
      </c>
      <c r="G82" s="103" t="s">
        <v>71</v>
      </c>
      <c r="H82" s="103" t="s">
        <v>5849</v>
      </c>
      <c r="I82" s="103" t="s">
        <v>130</v>
      </c>
      <c r="J82" s="103" t="s">
        <v>118</v>
      </c>
      <c r="K82" s="103" t="s">
        <v>131</v>
      </c>
      <c r="L82" s="103"/>
      <c r="M82" s="103"/>
      <c r="N82" s="103" t="s">
        <v>5824</v>
      </c>
      <c r="O82" s="103" t="s">
        <v>5822</v>
      </c>
      <c r="P82" s="103">
        <v>11</v>
      </c>
      <c r="Q82" s="103"/>
      <c r="R82" s="103"/>
      <c r="S82" s="103" t="s">
        <v>5857</v>
      </c>
      <c r="T82" s="103">
        <v>618482</v>
      </c>
      <c r="U82" s="103">
        <v>8.5</v>
      </c>
      <c r="V82" s="103" t="s">
        <v>5823</v>
      </c>
      <c r="W82" s="103" t="s">
        <v>312</v>
      </c>
    </row>
    <row r="83" spans="1:23" x14ac:dyDescent="0.45">
      <c r="A83" s="103">
        <f t="shared" si="5"/>
        <v>82</v>
      </c>
      <c r="B83" s="103" t="s">
        <v>5824</v>
      </c>
      <c r="C83" s="103" t="s">
        <v>3598</v>
      </c>
      <c r="D83" s="103" t="s">
        <v>330</v>
      </c>
      <c r="E83" s="103" t="s">
        <v>99</v>
      </c>
      <c r="F83" s="103" t="s">
        <v>77</v>
      </c>
      <c r="G83" s="103" t="s">
        <v>71</v>
      </c>
      <c r="H83" s="103" t="s">
        <v>5849</v>
      </c>
      <c r="I83" s="103" t="s">
        <v>130</v>
      </c>
      <c r="J83" s="103" t="s">
        <v>118</v>
      </c>
      <c r="K83" s="103" t="s">
        <v>131</v>
      </c>
      <c r="L83" s="103"/>
      <c r="M83" s="103"/>
      <c r="N83" s="103" t="s">
        <v>5824</v>
      </c>
      <c r="O83" s="103" t="s">
        <v>5858</v>
      </c>
      <c r="P83" s="103" t="s">
        <v>5852</v>
      </c>
      <c r="Q83" s="103"/>
      <c r="R83" s="103"/>
      <c r="S83" s="103">
        <v>10</v>
      </c>
      <c r="T83" s="103">
        <v>618482</v>
      </c>
      <c r="U83" s="103">
        <v>8.5</v>
      </c>
      <c r="V83" s="103" t="s">
        <v>5823</v>
      </c>
      <c r="W83" s="103" t="s">
        <v>312</v>
      </c>
    </row>
    <row r="84" spans="1:23" x14ac:dyDescent="0.45">
      <c r="A84" s="103">
        <f t="shared" si="5"/>
        <v>83</v>
      </c>
      <c r="B84" s="103" t="s">
        <v>5824</v>
      </c>
      <c r="C84" s="103" t="s">
        <v>3598</v>
      </c>
      <c r="D84" s="103" t="s">
        <v>330</v>
      </c>
      <c r="E84" s="103" t="s">
        <v>99</v>
      </c>
      <c r="F84" s="103" t="s">
        <v>77</v>
      </c>
      <c r="G84" s="103" t="s">
        <v>71</v>
      </c>
      <c r="H84" s="103" t="s">
        <v>5849</v>
      </c>
      <c r="I84" s="103" t="s">
        <v>130</v>
      </c>
      <c r="J84" s="103" t="s">
        <v>118</v>
      </c>
      <c r="K84" s="103" t="s">
        <v>131</v>
      </c>
      <c r="L84" s="103"/>
      <c r="M84" s="103"/>
      <c r="N84" s="103" t="s">
        <v>5824</v>
      </c>
      <c r="O84" s="103" t="s">
        <v>5859</v>
      </c>
      <c r="P84" s="103">
        <v>11</v>
      </c>
      <c r="Q84" s="103"/>
      <c r="R84" s="103"/>
      <c r="S84" s="103" t="s">
        <v>5853</v>
      </c>
      <c r="T84" s="103">
        <v>618482</v>
      </c>
      <c r="U84" s="103">
        <v>8.5</v>
      </c>
      <c r="V84" s="103" t="s">
        <v>5823</v>
      </c>
      <c r="W84" s="103" t="s">
        <v>312</v>
      </c>
    </row>
    <row r="85" spans="1:23" x14ac:dyDescent="0.45">
      <c r="A85" s="103">
        <f t="shared" si="5"/>
        <v>84</v>
      </c>
      <c r="B85" s="103" t="s">
        <v>5824</v>
      </c>
      <c r="C85" s="103" t="s">
        <v>3598</v>
      </c>
      <c r="D85" s="103" t="s">
        <v>330</v>
      </c>
      <c r="E85" s="103" t="s">
        <v>99</v>
      </c>
      <c r="F85" s="103" t="s">
        <v>77</v>
      </c>
      <c r="G85" s="103" t="s">
        <v>71</v>
      </c>
      <c r="H85" s="103" t="s">
        <v>5849</v>
      </c>
      <c r="I85" s="103" t="s">
        <v>130</v>
      </c>
      <c r="J85" s="103" t="s">
        <v>118</v>
      </c>
      <c r="K85" s="103" t="s">
        <v>131</v>
      </c>
      <c r="L85" s="103"/>
      <c r="M85" s="103"/>
      <c r="N85" s="103" t="s">
        <v>5824</v>
      </c>
      <c r="O85" s="103" t="s">
        <v>5860</v>
      </c>
      <c r="P85" s="103">
        <v>9</v>
      </c>
      <c r="Q85" s="103"/>
      <c r="R85" s="103"/>
      <c r="S85" s="103" t="s">
        <v>5851</v>
      </c>
      <c r="T85" s="103">
        <v>618482</v>
      </c>
      <c r="U85" s="103">
        <v>8.5</v>
      </c>
      <c r="V85" s="103" t="s">
        <v>5823</v>
      </c>
      <c r="W85" s="103" t="s">
        <v>312</v>
      </c>
    </row>
    <row r="86" spans="1:23" x14ac:dyDescent="0.45">
      <c r="A86" s="103">
        <f t="shared" si="5"/>
        <v>85</v>
      </c>
      <c r="B86" s="103" t="s">
        <v>5824</v>
      </c>
      <c r="C86" s="103" t="s">
        <v>3598</v>
      </c>
      <c r="D86" s="103" t="s">
        <v>330</v>
      </c>
      <c r="E86" s="103" t="s">
        <v>99</v>
      </c>
      <c r="F86" s="103" t="s">
        <v>77</v>
      </c>
      <c r="G86" s="103" t="s">
        <v>71</v>
      </c>
      <c r="H86" s="103" t="s">
        <v>5849</v>
      </c>
      <c r="I86" s="103" t="s">
        <v>130</v>
      </c>
      <c r="J86" s="103" t="s">
        <v>118</v>
      </c>
      <c r="K86" s="103" t="s">
        <v>131</v>
      </c>
      <c r="L86" s="103"/>
      <c r="M86" s="103"/>
      <c r="N86" s="103" t="s">
        <v>5824</v>
      </c>
      <c r="O86" s="103" t="s">
        <v>5861</v>
      </c>
      <c r="P86" s="103" t="s">
        <v>5854</v>
      </c>
      <c r="Q86" s="103"/>
      <c r="R86" s="103"/>
      <c r="S86" s="103" t="s">
        <v>5855</v>
      </c>
      <c r="T86" s="103">
        <v>618482</v>
      </c>
      <c r="U86" s="103">
        <v>8.5</v>
      </c>
      <c r="V86" s="103" t="s">
        <v>5823</v>
      </c>
      <c r="W86" s="103" t="s">
        <v>312</v>
      </c>
    </row>
    <row r="87" spans="1:23" x14ac:dyDescent="0.45">
      <c r="A87" s="103">
        <f t="shared" si="5"/>
        <v>86</v>
      </c>
      <c r="B87" s="103" t="s">
        <v>5824</v>
      </c>
      <c r="C87" s="103" t="s">
        <v>5862</v>
      </c>
      <c r="D87" s="103"/>
      <c r="E87" s="103" t="s">
        <v>73</v>
      </c>
      <c r="F87" s="103" t="s">
        <v>72</v>
      </c>
      <c r="G87" s="103" t="s">
        <v>71</v>
      </c>
      <c r="H87" s="103" t="s">
        <v>5864</v>
      </c>
      <c r="I87" s="103" t="s">
        <v>267</v>
      </c>
      <c r="J87" s="103" t="s">
        <v>122</v>
      </c>
      <c r="K87" s="103" t="s">
        <v>5875</v>
      </c>
      <c r="L87" s="103"/>
      <c r="M87" s="103" t="s">
        <v>5874</v>
      </c>
      <c r="N87" s="103" t="s">
        <v>5824</v>
      </c>
      <c r="O87" s="103" t="s">
        <v>47</v>
      </c>
      <c r="P87" s="103" t="s">
        <v>5789</v>
      </c>
      <c r="Q87" s="103"/>
      <c r="R87" s="103"/>
      <c r="S87" s="103" t="s">
        <v>5789</v>
      </c>
      <c r="T87" s="103">
        <v>23329</v>
      </c>
      <c r="U87" s="103">
        <v>6.5</v>
      </c>
      <c r="V87" s="103" t="s">
        <v>65</v>
      </c>
      <c r="W87" s="103" t="s">
        <v>310</v>
      </c>
    </row>
    <row r="88" spans="1:23" x14ac:dyDescent="0.45">
      <c r="A88" s="103">
        <f t="shared" si="5"/>
        <v>87</v>
      </c>
      <c r="B88" s="103" t="s">
        <v>5824</v>
      </c>
      <c r="C88" s="103" t="s">
        <v>5862</v>
      </c>
      <c r="D88" s="103"/>
      <c r="E88" s="103" t="s">
        <v>73</v>
      </c>
      <c r="F88" s="103" t="s">
        <v>72</v>
      </c>
      <c r="G88" s="103" t="s">
        <v>71</v>
      </c>
      <c r="H88" s="103" t="s">
        <v>5864</v>
      </c>
      <c r="I88" s="103" t="s">
        <v>267</v>
      </c>
      <c r="J88" s="103" t="s">
        <v>122</v>
      </c>
      <c r="K88" s="103" t="s">
        <v>5875</v>
      </c>
      <c r="L88" s="103"/>
      <c r="M88" s="103" t="s">
        <v>5874</v>
      </c>
      <c r="N88" s="103" t="s">
        <v>5824</v>
      </c>
      <c r="O88" s="103" t="s">
        <v>5580</v>
      </c>
      <c r="P88" s="103" t="s">
        <v>5789</v>
      </c>
      <c r="Q88" s="103"/>
      <c r="R88" s="103"/>
      <c r="S88" s="103" t="s">
        <v>5789</v>
      </c>
      <c r="T88" s="103">
        <v>23329</v>
      </c>
      <c r="U88" s="103">
        <v>6.5</v>
      </c>
      <c r="V88" s="103" t="s">
        <v>65</v>
      </c>
      <c r="W88" s="103" t="s">
        <v>310</v>
      </c>
    </row>
    <row r="89" spans="1:23" x14ac:dyDescent="0.45">
      <c r="A89" s="103">
        <f t="shared" si="5"/>
        <v>88</v>
      </c>
      <c r="B89" s="103" t="s">
        <v>5824</v>
      </c>
      <c r="C89" s="103" t="s">
        <v>5862</v>
      </c>
      <c r="D89" s="103"/>
      <c r="E89" s="103" t="s">
        <v>73</v>
      </c>
      <c r="F89" s="103" t="s">
        <v>72</v>
      </c>
      <c r="G89" s="103" t="s">
        <v>71</v>
      </c>
      <c r="H89" s="103" t="s">
        <v>5864</v>
      </c>
      <c r="I89" s="103" t="s">
        <v>267</v>
      </c>
      <c r="J89" s="103" t="s">
        <v>115</v>
      </c>
      <c r="K89" s="103" t="s">
        <v>5869</v>
      </c>
      <c r="L89" s="103"/>
      <c r="M89" s="103"/>
      <c r="N89" s="103" t="s">
        <v>5824</v>
      </c>
      <c r="O89" s="103" t="s">
        <v>5812</v>
      </c>
      <c r="P89" s="103" t="s">
        <v>5870</v>
      </c>
      <c r="Q89" s="103"/>
      <c r="R89" s="103"/>
      <c r="S89" s="103">
        <v>5</v>
      </c>
      <c r="T89" s="103">
        <v>23329</v>
      </c>
      <c r="U89" s="103">
        <v>5.2</v>
      </c>
      <c r="V89" s="103" t="s">
        <v>65</v>
      </c>
      <c r="W89" s="103" t="s">
        <v>310</v>
      </c>
    </row>
    <row r="90" spans="1:23" x14ac:dyDescent="0.45">
      <c r="A90" s="103">
        <f t="shared" si="5"/>
        <v>89</v>
      </c>
      <c r="B90" s="103" t="s">
        <v>5824</v>
      </c>
      <c r="C90" s="103" t="s">
        <v>5862</v>
      </c>
      <c r="D90" s="103"/>
      <c r="E90" s="103" t="s">
        <v>73</v>
      </c>
      <c r="F90" s="103" t="s">
        <v>72</v>
      </c>
      <c r="G90" s="103" t="s">
        <v>71</v>
      </c>
      <c r="H90" s="103" t="s">
        <v>5864</v>
      </c>
      <c r="I90" s="103"/>
      <c r="J90" s="103" t="s">
        <v>115</v>
      </c>
      <c r="K90" s="103" t="s">
        <v>5869</v>
      </c>
      <c r="L90" s="103"/>
      <c r="M90" s="103"/>
      <c r="N90" s="103" t="s">
        <v>5824</v>
      </c>
      <c r="O90" s="103" t="s">
        <v>5581</v>
      </c>
      <c r="P90" s="103">
        <v>4</v>
      </c>
      <c r="Q90" s="103"/>
      <c r="R90" s="103"/>
      <c r="S90" s="103" t="s">
        <v>5871</v>
      </c>
      <c r="T90" s="103">
        <v>23329</v>
      </c>
      <c r="U90" s="103" t="s">
        <v>5796</v>
      </c>
      <c r="V90" s="103" t="s">
        <v>65</v>
      </c>
      <c r="W90" s="103" t="s">
        <v>310</v>
      </c>
    </row>
    <row r="91" spans="1:23" x14ac:dyDescent="0.45">
      <c r="A91" s="103">
        <f t="shared" si="5"/>
        <v>90</v>
      </c>
      <c r="B91" s="103" t="s">
        <v>5824</v>
      </c>
      <c r="C91" s="103" t="s">
        <v>5862</v>
      </c>
      <c r="D91" s="103"/>
      <c r="E91" s="103" t="s">
        <v>73</v>
      </c>
      <c r="F91" s="103" t="s">
        <v>72</v>
      </c>
      <c r="G91" s="103" t="s">
        <v>71</v>
      </c>
      <c r="H91" s="103" t="s">
        <v>5864</v>
      </c>
      <c r="I91" s="103" t="s">
        <v>267</v>
      </c>
      <c r="J91" s="103" t="s">
        <v>115</v>
      </c>
      <c r="K91" s="103" t="s">
        <v>5869</v>
      </c>
      <c r="L91" s="103"/>
      <c r="M91" s="103"/>
      <c r="N91" s="103" t="s">
        <v>5824</v>
      </c>
      <c r="O91" s="103" t="s">
        <v>5813</v>
      </c>
      <c r="P91" s="103" t="s">
        <v>5872</v>
      </c>
      <c r="Q91" s="103"/>
      <c r="R91" s="103"/>
      <c r="S91" s="103" t="s">
        <v>5871</v>
      </c>
      <c r="T91" s="103">
        <v>23329</v>
      </c>
      <c r="U91" s="103" t="s">
        <v>5796</v>
      </c>
      <c r="V91" s="103" t="s">
        <v>65</v>
      </c>
      <c r="W91" s="103" t="s">
        <v>310</v>
      </c>
    </row>
    <row r="92" spans="1:23" x14ac:dyDescent="0.45">
      <c r="A92" s="103">
        <f t="shared" si="5"/>
        <v>91</v>
      </c>
      <c r="B92" s="103" t="s">
        <v>5824</v>
      </c>
      <c r="C92" s="103" t="s">
        <v>5862</v>
      </c>
      <c r="D92" s="103"/>
      <c r="E92" s="103" t="s">
        <v>73</v>
      </c>
      <c r="F92" s="103" t="s">
        <v>72</v>
      </c>
      <c r="G92" s="103" t="s">
        <v>71</v>
      </c>
      <c r="H92" s="103" t="s">
        <v>5864</v>
      </c>
      <c r="I92" s="103" t="s">
        <v>267</v>
      </c>
      <c r="J92" s="103" t="s">
        <v>115</v>
      </c>
      <c r="K92" s="103" t="s">
        <v>5869</v>
      </c>
      <c r="L92" s="103"/>
      <c r="M92" s="103"/>
      <c r="N92" s="103"/>
      <c r="O92" s="103" t="s">
        <v>5814</v>
      </c>
      <c r="P92" s="103" t="s">
        <v>5872</v>
      </c>
      <c r="Q92" s="103"/>
      <c r="R92" s="103"/>
      <c r="S92" s="103" t="s">
        <v>5873</v>
      </c>
      <c r="T92" s="103">
        <v>23329</v>
      </c>
      <c r="U92" s="103">
        <v>5.2</v>
      </c>
      <c r="V92" s="103" t="s">
        <v>65</v>
      </c>
      <c r="W92" s="103" t="s">
        <v>310</v>
      </c>
    </row>
    <row r="93" spans="1:23" x14ac:dyDescent="0.45">
      <c r="A93" s="103">
        <f t="shared" si="5"/>
        <v>92</v>
      </c>
      <c r="B93" s="103" t="s">
        <v>5824</v>
      </c>
      <c r="C93" s="103" t="s">
        <v>5862</v>
      </c>
      <c r="D93" s="103"/>
      <c r="E93" s="103" t="s">
        <v>73</v>
      </c>
      <c r="F93" s="103" t="s">
        <v>72</v>
      </c>
      <c r="G93" s="103" t="s">
        <v>71</v>
      </c>
      <c r="H93" s="103" t="s">
        <v>5864</v>
      </c>
      <c r="I93" s="103"/>
      <c r="J93" s="103"/>
      <c r="K93" s="103"/>
      <c r="L93" s="103"/>
      <c r="M93" s="103"/>
      <c r="N93" s="103" t="s">
        <v>5824</v>
      </c>
      <c r="O93" s="103" t="s">
        <v>5819</v>
      </c>
      <c r="P93" s="103"/>
      <c r="Q93" s="103"/>
      <c r="R93" s="103"/>
      <c r="S93" s="103"/>
      <c r="T93" s="103">
        <v>23329</v>
      </c>
      <c r="U93" s="103"/>
      <c r="V93" s="103" t="s">
        <v>65</v>
      </c>
      <c r="W93" s="103" t="s">
        <v>310</v>
      </c>
    </row>
    <row r="94" spans="1:23" x14ac:dyDescent="0.45">
      <c r="A94" s="103">
        <f t="shared" si="5"/>
        <v>93</v>
      </c>
      <c r="B94" s="103" t="s">
        <v>5824</v>
      </c>
      <c r="C94" s="103" t="s">
        <v>5862</v>
      </c>
      <c r="D94" s="103"/>
      <c r="E94" s="103" t="s">
        <v>73</v>
      </c>
      <c r="F94" s="103" t="s">
        <v>72</v>
      </c>
      <c r="G94" s="103" t="s">
        <v>71</v>
      </c>
      <c r="H94" s="103" t="s">
        <v>5864</v>
      </c>
      <c r="I94" s="103" t="s">
        <v>267</v>
      </c>
      <c r="J94" s="103" t="s">
        <v>164</v>
      </c>
      <c r="K94" s="103" t="s">
        <v>5867</v>
      </c>
      <c r="L94" s="103"/>
      <c r="M94" s="103"/>
      <c r="N94" s="103" t="s">
        <v>5824</v>
      </c>
      <c r="O94" s="103" t="s">
        <v>47</v>
      </c>
      <c r="P94" s="103"/>
      <c r="Q94" s="103"/>
      <c r="R94" s="103"/>
      <c r="S94" s="103"/>
      <c r="T94" s="103">
        <v>23329</v>
      </c>
      <c r="U94" s="103"/>
      <c r="V94" s="103" t="s">
        <v>5823</v>
      </c>
      <c r="W94" s="103" t="s">
        <v>310</v>
      </c>
    </row>
    <row r="95" spans="1:23" x14ac:dyDescent="0.45">
      <c r="A95" s="103">
        <f t="shared" si="5"/>
        <v>94</v>
      </c>
      <c r="B95" s="103" t="s">
        <v>5824</v>
      </c>
      <c r="C95" s="103" t="s">
        <v>5862</v>
      </c>
      <c r="D95" s="103"/>
      <c r="E95" s="103" t="s">
        <v>73</v>
      </c>
      <c r="F95" s="103" t="s">
        <v>72</v>
      </c>
      <c r="G95" s="103" t="s">
        <v>71</v>
      </c>
      <c r="H95" s="103" t="s">
        <v>5864</v>
      </c>
      <c r="I95" s="103" t="s">
        <v>267</v>
      </c>
      <c r="J95" s="103" t="s">
        <v>118</v>
      </c>
      <c r="K95" s="103" t="s">
        <v>5868</v>
      </c>
      <c r="L95" s="103"/>
      <c r="M95" s="103"/>
      <c r="N95" s="103" t="s">
        <v>5824</v>
      </c>
      <c r="O95" s="103" t="s">
        <v>5580</v>
      </c>
      <c r="P95" s="103"/>
      <c r="Q95" s="103"/>
      <c r="R95" s="103"/>
      <c r="S95" s="103"/>
      <c r="T95" s="103">
        <v>23329</v>
      </c>
      <c r="U95" s="103"/>
      <c r="V95" s="103" t="s">
        <v>5823</v>
      </c>
      <c r="W95" s="103" t="s">
        <v>310</v>
      </c>
    </row>
    <row r="96" spans="1:23" x14ac:dyDescent="0.45">
      <c r="A96" s="103">
        <f t="shared" si="5"/>
        <v>95</v>
      </c>
      <c r="B96" s="103" t="s">
        <v>5824</v>
      </c>
      <c r="C96" s="103" t="s">
        <v>5862</v>
      </c>
      <c r="D96" s="103"/>
      <c r="E96" s="103" t="s">
        <v>73</v>
      </c>
      <c r="F96" s="103" t="s">
        <v>72</v>
      </c>
      <c r="G96" s="103" t="s">
        <v>71</v>
      </c>
      <c r="H96" s="103" t="s">
        <v>5864</v>
      </c>
      <c r="I96" s="103" t="s">
        <v>267</v>
      </c>
      <c r="J96" s="103" t="s">
        <v>115</v>
      </c>
      <c r="K96" s="103" t="s">
        <v>5869</v>
      </c>
      <c r="L96" s="103"/>
      <c r="M96" s="103"/>
      <c r="N96" s="103" t="s">
        <v>5824</v>
      </c>
      <c r="O96" s="103" t="s">
        <v>5812</v>
      </c>
      <c r="P96" s="103" t="s">
        <v>5870</v>
      </c>
      <c r="Q96" s="103"/>
      <c r="R96" s="103"/>
      <c r="S96" s="103">
        <v>5</v>
      </c>
      <c r="T96" s="103">
        <v>23329</v>
      </c>
      <c r="U96" s="103">
        <v>5.2</v>
      </c>
      <c r="V96" s="103" t="s">
        <v>5823</v>
      </c>
      <c r="W96" s="103" t="s">
        <v>310</v>
      </c>
    </row>
    <row r="97" spans="1:23" x14ac:dyDescent="0.45">
      <c r="A97" s="103">
        <f t="shared" si="5"/>
        <v>96</v>
      </c>
      <c r="B97" s="103" t="s">
        <v>5824</v>
      </c>
      <c r="C97" s="103" t="s">
        <v>5862</v>
      </c>
      <c r="D97" s="103"/>
      <c r="E97" s="103" t="s">
        <v>73</v>
      </c>
      <c r="F97" s="103" t="s">
        <v>72</v>
      </c>
      <c r="G97" s="103" t="s">
        <v>71</v>
      </c>
      <c r="H97" s="103" t="s">
        <v>5864</v>
      </c>
      <c r="I97" s="103" t="s">
        <v>267</v>
      </c>
      <c r="J97" s="103" t="s">
        <v>115</v>
      </c>
      <c r="K97" s="103" t="s">
        <v>5869</v>
      </c>
      <c r="L97" s="103"/>
      <c r="M97" s="103"/>
      <c r="N97" s="103" t="s">
        <v>5824</v>
      </c>
      <c r="O97" s="103" t="s">
        <v>5581</v>
      </c>
      <c r="P97" s="103">
        <v>4</v>
      </c>
      <c r="Q97" s="103"/>
      <c r="R97" s="103"/>
      <c r="S97" s="103" t="s">
        <v>5871</v>
      </c>
      <c r="T97" s="103">
        <v>23329</v>
      </c>
      <c r="U97" s="103" t="s">
        <v>5796</v>
      </c>
      <c r="V97" s="103" t="s">
        <v>5823</v>
      </c>
      <c r="W97" s="103" t="s">
        <v>310</v>
      </c>
    </row>
    <row r="98" spans="1:23" x14ac:dyDescent="0.45">
      <c r="A98" s="103">
        <f t="shared" si="5"/>
        <v>97</v>
      </c>
      <c r="B98" s="103" t="s">
        <v>5824</v>
      </c>
      <c r="C98" s="103" t="s">
        <v>5862</v>
      </c>
      <c r="D98" s="103"/>
      <c r="E98" s="103" t="s">
        <v>73</v>
      </c>
      <c r="F98" s="103" t="s">
        <v>72</v>
      </c>
      <c r="G98" s="103" t="s">
        <v>71</v>
      </c>
      <c r="H98" s="103" t="s">
        <v>5864</v>
      </c>
      <c r="I98" s="103" t="s">
        <v>267</v>
      </c>
      <c r="J98" s="103" t="s">
        <v>115</v>
      </c>
      <c r="K98" s="103" t="s">
        <v>5869</v>
      </c>
      <c r="L98" s="103"/>
      <c r="M98" s="103"/>
      <c r="N98" s="103" t="s">
        <v>5824</v>
      </c>
      <c r="O98" s="103" t="s">
        <v>5813</v>
      </c>
      <c r="P98" s="103" t="s">
        <v>5872</v>
      </c>
      <c r="Q98" s="103"/>
      <c r="R98" s="103"/>
      <c r="S98" s="103" t="s">
        <v>5871</v>
      </c>
      <c r="T98" s="103">
        <v>23329</v>
      </c>
      <c r="U98" s="103" t="s">
        <v>5796</v>
      </c>
      <c r="V98" s="103" t="s">
        <v>5823</v>
      </c>
      <c r="W98" s="103" t="s">
        <v>310</v>
      </c>
    </row>
    <row r="99" spans="1:23" x14ac:dyDescent="0.45">
      <c r="A99" s="103">
        <f t="shared" si="5"/>
        <v>98</v>
      </c>
      <c r="B99" s="103" t="s">
        <v>5824</v>
      </c>
      <c r="C99" s="103" t="s">
        <v>5862</v>
      </c>
      <c r="D99" s="103"/>
      <c r="E99" s="103" t="s">
        <v>73</v>
      </c>
      <c r="F99" s="103" t="s">
        <v>72</v>
      </c>
      <c r="G99" s="103" t="s">
        <v>71</v>
      </c>
      <c r="H99" s="103" t="s">
        <v>5864</v>
      </c>
      <c r="I99" s="103" t="s">
        <v>267</v>
      </c>
      <c r="J99" s="103" t="s">
        <v>115</v>
      </c>
      <c r="K99" s="103" t="s">
        <v>5869</v>
      </c>
      <c r="L99" s="103"/>
      <c r="M99" s="103"/>
      <c r="N99" s="103" t="s">
        <v>5824</v>
      </c>
      <c r="O99" s="103" t="s">
        <v>5814</v>
      </c>
      <c r="P99" s="103" t="s">
        <v>5872</v>
      </c>
      <c r="Q99" s="103"/>
      <c r="R99" s="103"/>
      <c r="S99" s="103" t="s">
        <v>5873</v>
      </c>
      <c r="T99" s="103">
        <v>23329</v>
      </c>
      <c r="U99" s="103">
        <v>5.2</v>
      </c>
      <c r="V99" s="103" t="s">
        <v>5823</v>
      </c>
      <c r="W99" s="103" t="s">
        <v>310</v>
      </c>
    </row>
    <row r="100" spans="1:23" x14ac:dyDescent="0.45">
      <c r="A100" s="103">
        <f t="shared" ref="A100:A127" si="6">ROW()-1</f>
        <v>99</v>
      </c>
      <c r="B100" s="103" t="s">
        <v>5824</v>
      </c>
      <c r="C100" s="103" t="s">
        <v>5876</v>
      </c>
      <c r="D100" s="103"/>
      <c r="E100" s="103" t="s">
        <v>93</v>
      </c>
      <c r="F100" s="103" t="s">
        <v>77</v>
      </c>
      <c r="G100" s="103" t="s">
        <v>71</v>
      </c>
      <c r="H100" s="103" t="s">
        <v>5877</v>
      </c>
      <c r="I100" s="103" t="s">
        <v>143</v>
      </c>
      <c r="J100" s="103" t="s">
        <v>5880</v>
      </c>
      <c r="K100" s="103" t="s">
        <v>5881</v>
      </c>
      <c r="L100" s="103"/>
      <c r="M100" s="103"/>
      <c r="N100" s="103" t="s">
        <v>5824</v>
      </c>
      <c r="O100" s="103" t="s">
        <v>47</v>
      </c>
      <c r="P100" s="103" t="s">
        <v>5791</v>
      </c>
      <c r="Q100" s="103"/>
      <c r="R100" s="103"/>
      <c r="S100" s="103" t="s">
        <v>5883</v>
      </c>
      <c r="T100" s="103">
        <v>534282</v>
      </c>
      <c r="U100" s="103">
        <v>8.5</v>
      </c>
      <c r="V100" s="103" t="s">
        <v>65</v>
      </c>
      <c r="W100" s="103" t="s">
        <v>310</v>
      </c>
    </row>
    <row r="101" spans="1:23" x14ac:dyDescent="0.45">
      <c r="A101" s="103">
        <f t="shared" si="6"/>
        <v>100</v>
      </c>
      <c r="B101" s="103" t="s">
        <v>5824</v>
      </c>
      <c r="C101" s="103" t="s">
        <v>5876</v>
      </c>
      <c r="D101" s="103"/>
      <c r="E101" s="103" t="s">
        <v>93</v>
      </c>
      <c r="F101" s="103" t="s">
        <v>77</v>
      </c>
      <c r="G101" s="103" t="s">
        <v>71</v>
      </c>
      <c r="H101" s="103" t="s">
        <v>5877</v>
      </c>
      <c r="I101" s="103" t="s">
        <v>143</v>
      </c>
      <c r="J101" s="103" t="s">
        <v>5880</v>
      </c>
      <c r="K101" s="103" t="s">
        <v>5881</v>
      </c>
      <c r="L101" s="103"/>
      <c r="M101" s="103"/>
      <c r="N101" s="103" t="s">
        <v>5824</v>
      </c>
      <c r="O101" s="103" t="s">
        <v>5580</v>
      </c>
      <c r="P101" s="103">
        <v>11</v>
      </c>
      <c r="Q101" s="103"/>
      <c r="R101" s="103"/>
      <c r="S101" s="103">
        <v>11</v>
      </c>
      <c r="T101" s="103">
        <v>534282</v>
      </c>
      <c r="U101" s="103">
        <v>8.5</v>
      </c>
      <c r="V101" s="103" t="s">
        <v>65</v>
      </c>
      <c r="W101" s="103" t="s">
        <v>310</v>
      </c>
    </row>
    <row r="102" spans="1:23" x14ac:dyDescent="0.45">
      <c r="A102" s="103">
        <f t="shared" si="6"/>
        <v>101</v>
      </c>
      <c r="B102" s="103" t="s">
        <v>5824</v>
      </c>
      <c r="C102" s="103" t="s">
        <v>5876</v>
      </c>
      <c r="D102" s="103"/>
      <c r="E102" s="103" t="s">
        <v>93</v>
      </c>
      <c r="F102" s="103" t="s">
        <v>77</v>
      </c>
      <c r="G102" s="103" t="s">
        <v>71</v>
      </c>
      <c r="H102" s="103" t="s">
        <v>5877</v>
      </c>
      <c r="I102" s="103" t="s">
        <v>143</v>
      </c>
      <c r="J102" s="103" t="s">
        <v>5880</v>
      </c>
      <c r="K102" s="103" t="s">
        <v>5882</v>
      </c>
      <c r="L102" s="103"/>
      <c r="M102" s="103"/>
      <c r="N102" s="103" t="s">
        <v>5824</v>
      </c>
      <c r="O102" s="103" t="s">
        <v>5812</v>
      </c>
      <c r="P102" s="103" t="s">
        <v>5884</v>
      </c>
      <c r="Q102" s="103"/>
      <c r="R102" s="103"/>
      <c r="S102" s="103" t="s">
        <v>5885</v>
      </c>
      <c r="T102" s="103">
        <v>534282</v>
      </c>
      <c r="U102" s="103">
        <v>8.5</v>
      </c>
      <c r="V102" s="103" t="s">
        <v>65</v>
      </c>
      <c r="W102" s="103" t="s">
        <v>310</v>
      </c>
    </row>
    <row r="103" spans="1:23" x14ac:dyDescent="0.45">
      <c r="A103" s="103">
        <f t="shared" si="6"/>
        <v>102</v>
      </c>
      <c r="B103" s="103" t="s">
        <v>5824</v>
      </c>
      <c r="C103" s="103" t="s">
        <v>5876</v>
      </c>
      <c r="D103" s="103"/>
      <c r="E103" s="103" t="s">
        <v>93</v>
      </c>
      <c r="F103" s="103" t="s">
        <v>77</v>
      </c>
      <c r="G103" s="103" t="s">
        <v>71</v>
      </c>
      <c r="H103" s="103" t="s">
        <v>5877</v>
      </c>
      <c r="I103" s="103"/>
      <c r="J103" s="103" t="s">
        <v>5880</v>
      </c>
      <c r="K103" s="103" t="s">
        <v>5882</v>
      </c>
      <c r="L103" s="103"/>
      <c r="M103" s="103"/>
      <c r="N103" s="103" t="s">
        <v>5824</v>
      </c>
      <c r="O103" s="103" t="s">
        <v>5581</v>
      </c>
      <c r="P103" s="103">
        <v>13</v>
      </c>
      <c r="Q103" s="103"/>
      <c r="R103" s="103"/>
      <c r="S103" s="103" t="s">
        <v>5831</v>
      </c>
      <c r="T103" s="103">
        <v>534282</v>
      </c>
      <c r="U103" s="103" t="s">
        <v>5796</v>
      </c>
      <c r="V103" s="103" t="s">
        <v>65</v>
      </c>
      <c r="W103" s="103" t="s">
        <v>310</v>
      </c>
    </row>
    <row r="104" spans="1:23" x14ac:dyDescent="0.45">
      <c r="A104" s="103">
        <f t="shared" si="6"/>
        <v>103</v>
      </c>
      <c r="B104" s="103" t="s">
        <v>5824</v>
      </c>
      <c r="C104" s="103" t="s">
        <v>5876</v>
      </c>
      <c r="D104" s="103"/>
      <c r="E104" s="103" t="s">
        <v>93</v>
      </c>
      <c r="F104" s="103" t="s">
        <v>77</v>
      </c>
      <c r="G104" s="103" t="s">
        <v>71</v>
      </c>
      <c r="H104" s="103" t="s">
        <v>5877</v>
      </c>
      <c r="I104" s="103" t="s">
        <v>143</v>
      </c>
      <c r="J104" s="103" t="s">
        <v>5880</v>
      </c>
      <c r="K104" s="103" t="s">
        <v>5882</v>
      </c>
      <c r="L104" s="103"/>
      <c r="M104" s="103"/>
      <c r="N104" s="103" t="s">
        <v>5824</v>
      </c>
      <c r="O104" s="103" t="s">
        <v>5813</v>
      </c>
      <c r="P104" s="103" t="s">
        <v>5795</v>
      </c>
      <c r="Q104" s="103"/>
      <c r="R104" s="103"/>
      <c r="S104" s="103" t="s">
        <v>5797</v>
      </c>
      <c r="T104" s="103">
        <v>534282</v>
      </c>
      <c r="U104" s="103" t="s">
        <v>5796</v>
      </c>
      <c r="V104" s="103" t="s">
        <v>65</v>
      </c>
      <c r="W104" s="103" t="s">
        <v>310</v>
      </c>
    </row>
    <row r="105" spans="1:23" x14ac:dyDescent="0.45">
      <c r="A105" s="103">
        <f t="shared" si="6"/>
        <v>104</v>
      </c>
      <c r="B105" s="103" t="s">
        <v>5824</v>
      </c>
      <c r="C105" s="103" t="s">
        <v>5876</v>
      </c>
      <c r="D105" s="103"/>
      <c r="E105" s="103" t="s">
        <v>93</v>
      </c>
      <c r="F105" s="103" t="s">
        <v>77</v>
      </c>
      <c r="G105" s="103" t="s">
        <v>71</v>
      </c>
      <c r="H105" s="103" t="s">
        <v>5877</v>
      </c>
      <c r="I105" s="103" t="s">
        <v>143</v>
      </c>
      <c r="J105" s="103" t="s">
        <v>5880</v>
      </c>
      <c r="K105" s="103" t="s">
        <v>5882</v>
      </c>
      <c r="L105" s="103"/>
      <c r="M105" s="103"/>
      <c r="N105" s="103"/>
      <c r="O105" s="103" t="s">
        <v>5814</v>
      </c>
      <c r="P105" s="103" t="s">
        <v>5886</v>
      </c>
      <c r="Q105" s="103"/>
      <c r="R105" s="103"/>
      <c r="S105" s="103" t="s">
        <v>5791</v>
      </c>
      <c r="T105" s="103">
        <v>534282</v>
      </c>
      <c r="U105" s="103">
        <v>8.5</v>
      </c>
      <c r="V105" s="103" t="s">
        <v>65</v>
      </c>
      <c r="W105" s="103" t="s">
        <v>310</v>
      </c>
    </row>
    <row r="106" spans="1:23" x14ac:dyDescent="0.45">
      <c r="A106" s="103">
        <f t="shared" si="6"/>
        <v>105</v>
      </c>
      <c r="B106" s="103" t="s">
        <v>5824</v>
      </c>
      <c r="C106" s="103" t="s">
        <v>5876</v>
      </c>
      <c r="D106" s="103"/>
      <c r="E106" s="103" t="s">
        <v>93</v>
      </c>
      <c r="F106" s="103" t="s">
        <v>77</v>
      </c>
      <c r="G106" s="103" t="s">
        <v>71</v>
      </c>
      <c r="H106" s="103" t="s">
        <v>5877</v>
      </c>
      <c r="I106" s="103" t="s">
        <v>116</v>
      </c>
      <c r="J106" s="103" t="s">
        <v>5880</v>
      </c>
      <c r="K106" s="103" t="s">
        <v>5887</v>
      </c>
      <c r="L106" s="103"/>
      <c r="M106" s="103"/>
      <c r="N106" s="103" t="s">
        <v>5824</v>
      </c>
      <c r="O106" s="103" t="s">
        <v>5815</v>
      </c>
      <c r="P106" s="103"/>
      <c r="Q106" s="103"/>
      <c r="R106" s="103"/>
      <c r="S106" s="103" t="s">
        <v>5892</v>
      </c>
      <c r="T106" s="103">
        <v>534282</v>
      </c>
      <c r="U106" s="103">
        <v>8.5</v>
      </c>
      <c r="V106" s="103" t="s">
        <v>65</v>
      </c>
      <c r="W106" s="103" t="s">
        <v>310</v>
      </c>
    </row>
    <row r="107" spans="1:23" x14ac:dyDescent="0.45">
      <c r="A107" s="103">
        <f t="shared" si="6"/>
        <v>106</v>
      </c>
      <c r="B107" s="103" t="s">
        <v>5824</v>
      </c>
      <c r="C107" s="103" t="s">
        <v>5876</v>
      </c>
      <c r="D107" s="103"/>
      <c r="E107" s="103" t="s">
        <v>93</v>
      </c>
      <c r="F107" s="103" t="s">
        <v>77</v>
      </c>
      <c r="G107" s="103" t="s">
        <v>71</v>
      </c>
      <c r="H107" s="103" t="s">
        <v>5877</v>
      </c>
      <c r="I107" s="103" t="s">
        <v>116</v>
      </c>
      <c r="J107" s="103" t="s">
        <v>5880</v>
      </c>
      <c r="K107" s="103" t="s">
        <v>5887</v>
      </c>
      <c r="L107" s="103"/>
      <c r="M107" s="103"/>
      <c r="N107" s="103" t="s">
        <v>5824</v>
      </c>
      <c r="O107" s="103" t="s">
        <v>5816</v>
      </c>
      <c r="P107" s="103" t="s">
        <v>5888</v>
      </c>
      <c r="Q107" s="103"/>
      <c r="R107" s="103"/>
      <c r="S107" s="103" t="s">
        <v>5789</v>
      </c>
      <c r="T107" s="103">
        <v>534282</v>
      </c>
      <c r="U107" s="103" t="s">
        <v>5796</v>
      </c>
      <c r="V107" s="103" t="s">
        <v>65</v>
      </c>
      <c r="W107" s="103" t="s">
        <v>310</v>
      </c>
    </row>
    <row r="108" spans="1:23" x14ac:dyDescent="0.45">
      <c r="A108" s="103">
        <f t="shared" si="6"/>
        <v>107</v>
      </c>
      <c r="B108" s="103" t="s">
        <v>5824</v>
      </c>
      <c r="C108" s="103" t="s">
        <v>5876</v>
      </c>
      <c r="D108" s="103"/>
      <c r="E108" s="103" t="s">
        <v>93</v>
      </c>
      <c r="F108" s="103" t="s">
        <v>77</v>
      </c>
      <c r="G108" s="103" t="s">
        <v>71</v>
      </c>
      <c r="H108" s="103" t="s">
        <v>5877</v>
      </c>
      <c r="I108" s="103" t="s">
        <v>116</v>
      </c>
      <c r="J108" s="103" t="s">
        <v>5880</v>
      </c>
      <c r="K108" s="103" t="s">
        <v>5887</v>
      </c>
      <c r="L108" s="103"/>
      <c r="M108" s="103"/>
      <c r="N108" s="103" t="s">
        <v>5824</v>
      </c>
      <c r="O108" s="103" t="s">
        <v>5817</v>
      </c>
      <c r="P108" s="103" t="s">
        <v>5888</v>
      </c>
      <c r="Q108" s="103"/>
      <c r="R108" s="103"/>
      <c r="S108" s="103" t="s">
        <v>5789</v>
      </c>
      <c r="T108" s="103">
        <v>534282</v>
      </c>
      <c r="U108" s="103" t="s">
        <v>5796</v>
      </c>
      <c r="V108" s="103" t="s">
        <v>65</v>
      </c>
      <c r="W108" s="103" t="s">
        <v>310</v>
      </c>
    </row>
    <row r="109" spans="1:23" x14ac:dyDescent="0.45">
      <c r="A109" s="103">
        <f t="shared" si="6"/>
        <v>108</v>
      </c>
      <c r="B109" s="103" t="s">
        <v>5824</v>
      </c>
      <c r="C109" s="103" t="s">
        <v>5876</v>
      </c>
      <c r="D109" s="103"/>
      <c r="E109" s="103" t="s">
        <v>93</v>
      </c>
      <c r="F109" s="103" t="s">
        <v>77</v>
      </c>
      <c r="G109" s="103" t="s">
        <v>71</v>
      </c>
      <c r="H109" s="103" t="s">
        <v>5877</v>
      </c>
      <c r="I109" s="103" t="s">
        <v>116</v>
      </c>
      <c r="J109" s="103" t="s">
        <v>5880</v>
      </c>
      <c r="K109" s="103" t="s">
        <v>5887</v>
      </c>
      <c r="L109" s="103"/>
      <c r="M109" s="103"/>
      <c r="N109" s="103" t="s">
        <v>5824</v>
      </c>
      <c r="O109" s="103" t="s">
        <v>5818</v>
      </c>
      <c r="P109" s="103" t="s">
        <v>5857</v>
      </c>
      <c r="Q109" s="103"/>
      <c r="R109" s="103"/>
      <c r="S109" s="103" t="s">
        <v>5892</v>
      </c>
      <c r="T109" s="103">
        <v>534282</v>
      </c>
      <c r="U109" s="103">
        <v>8.5</v>
      </c>
      <c r="V109" s="103" t="s">
        <v>65</v>
      </c>
      <c r="W109" s="103" t="s">
        <v>310</v>
      </c>
    </row>
    <row r="110" spans="1:23" x14ac:dyDescent="0.45">
      <c r="A110" s="103">
        <f t="shared" si="6"/>
        <v>109</v>
      </c>
      <c r="B110" s="103" t="s">
        <v>5824</v>
      </c>
      <c r="C110" s="103" t="s">
        <v>5876</v>
      </c>
      <c r="D110" s="103"/>
      <c r="E110" s="103" t="s">
        <v>93</v>
      </c>
      <c r="F110" s="103" t="s">
        <v>77</v>
      </c>
      <c r="G110" s="103" t="s">
        <v>71</v>
      </c>
      <c r="H110" s="103" t="s">
        <v>5877</v>
      </c>
      <c r="I110" s="103" t="s">
        <v>116</v>
      </c>
      <c r="J110" s="103" t="s">
        <v>142</v>
      </c>
      <c r="K110" s="103" t="s">
        <v>5696</v>
      </c>
      <c r="L110" s="103">
        <v>1006082275</v>
      </c>
      <c r="M110" s="103"/>
      <c r="N110" s="103" t="s">
        <v>5824</v>
      </c>
      <c r="O110" s="103" t="s">
        <v>5819</v>
      </c>
      <c r="P110" s="103">
        <v>15</v>
      </c>
      <c r="Q110" s="103"/>
      <c r="R110" s="103"/>
      <c r="S110" s="103">
        <v>15</v>
      </c>
      <c r="T110" s="103">
        <v>534282</v>
      </c>
      <c r="U110" s="103">
        <v>8.5</v>
      </c>
      <c r="V110" s="103" t="s">
        <v>65</v>
      </c>
      <c r="W110" s="103" t="s">
        <v>310</v>
      </c>
    </row>
    <row r="111" spans="1:23" x14ac:dyDescent="0.45">
      <c r="A111" s="103">
        <f t="shared" si="6"/>
        <v>110</v>
      </c>
      <c r="B111" s="103" t="s">
        <v>5824</v>
      </c>
      <c r="C111" s="103" t="s">
        <v>5876</v>
      </c>
      <c r="D111" s="103"/>
      <c r="E111" s="103" t="s">
        <v>93</v>
      </c>
      <c r="F111" s="103" t="s">
        <v>77</v>
      </c>
      <c r="G111" s="103" t="s">
        <v>71</v>
      </c>
      <c r="H111" s="103" t="s">
        <v>5877</v>
      </c>
      <c r="I111" s="103" t="s">
        <v>116</v>
      </c>
      <c r="J111" s="103" t="s">
        <v>142</v>
      </c>
      <c r="K111" s="103" t="s">
        <v>5696</v>
      </c>
      <c r="L111" s="103">
        <v>3002238094</v>
      </c>
      <c r="M111" s="103"/>
      <c r="N111" s="103" t="s">
        <v>5824</v>
      </c>
      <c r="O111" s="103" t="s">
        <v>5820</v>
      </c>
      <c r="P111" s="103">
        <v>15</v>
      </c>
      <c r="Q111" s="103"/>
      <c r="R111" s="103"/>
      <c r="S111" s="103">
        <v>15</v>
      </c>
      <c r="T111" s="103">
        <v>534282</v>
      </c>
      <c r="U111" s="103">
        <v>8.5</v>
      </c>
      <c r="V111" s="103" t="s">
        <v>65</v>
      </c>
      <c r="W111" s="103" t="s">
        <v>310</v>
      </c>
    </row>
    <row r="112" spans="1:23" x14ac:dyDescent="0.45">
      <c r="A112" s="103">
        <f t="shared" si="6"/>
        <v>111</v>
      </c>
      <c r="B112" s="103" t="s">
        <v>5824</v>
      </c>
      <c r="C112" s="103" t="s">
        <v>5876</v>
      </c>
      <c r="D112" s="103"/>
      <c r="E112" s="103" t="s">
        <v>93</v>
      </c>
      <c r="F112" s="103" t="s">
        <v>77</v>
      </c>
      <c r="G112" s="103" t="s">
        <v>71</v>
      </c>
      <c r="H112" s="103" t="s">
        <v>5877</v>
      </c>
      <c r="I112" s="103" t="s">
        <v>116</v>
      </c>
      <c r="J112" s="103" t="s">
        <v>142</v>
      </c>
      <c r="K112" s="103" t="s">
        <v>5696</v>
      </c>
      <c r="L112" s="103">
        <v>1006109707</v>
      </c>
      <c r="M112" s="103"/>
      <c r="N112" s="103" t="s">
        <v>5824</v>
      </c>
      <c r="O112" s="103" t="s">
        <v>5821</v>
      </c>
      <c r="P112" s="103">
        <v>15</v>
      </c>
      <c r="Q112" s="103"/>
      <c r="R112" s="103"/>
      <c r="S112" s="103">
        <v>15</v>
      </c>
      <c r="T112" s="103">
        <v>534282</v>
      </c>
      <c r="U112" s="103">
        <v>8.5</v>
      </c>
      <c r="V112" s="103" t="s">
        <v>65</v>
      </c>
      <c r="W112" s="103" t="s">
        <v>310</v>
      </c>
    </row>
    <row r="113" spans="1:23" x14ac:dyDescent="0.45">
      <c r="A113" s="103">
        <f t="shared" si="6"/>
        <v>112</v>
      </c>
      <c r="B113" s="103" t="s">
        <v>5824</v>
      </c>
      <c r="C113" s="103" t="s">
        <v>5876</v>
      </c>
      <c r="D113" s="103"/>
      <c r="E113" s="103" t="s">
        <v>93</v>
      </c>
      <c r="F113" s="103" t="s">
        <v>77</v>
      </c>
      <c r="G113" s="103" t="s">
        <v>71</v>
      </c>
      <c r="H113" s="103" t="s">
        <v>5877</v>
      </c>
      <c r="I113" s="103" t="s">
        <v>116</v>
      </c>
      <c r="J113" s="103" t="s">
        <v>142</v>
      </c>
      <c r="K113" s="103" t="s">
        <v>5696</v>
      </c>
      <c r="L113" s="103">
        <v>3002231712</v>
      </c>
      <c r="M113" s="103"/>
      <c r="N113" s="103" t="s">
        <v>5824</v>
      </c>
      <c r="O113" s="103" t="s">
        <v>5822</v>
      </c>
      <c r="P113" s="103">
        <v>15</v>
      </c>
      <c r="Q113" s="103"/>
      <c r="R113" s="103"/>
      <c r="S113" s="103">
        <v>15</v>
      </c>
      <c r="T113" s="103">
        <v>534282</v>
      </c>
      <c r="U113" s="103">
        <v>8.5</v>
      </c>
      <c r="V113" s="103" t="s">
        <v>65</v>
      </c>
      <c r="W113" s="103" t="s">
        <v>310</v>
      </c>
    </row>
    <row r="114" spans="1:23" x14ac:dyDescent="0.45">
      <c r="A114" s="103">
        <f t="shared" si="6"/>
        <v>113</v>
      </c>
      <c r="B114" s="103" t="s">
        <v>5824</v>
      </c>
      <c r="C114" s="103" t="s">
        <v>5876</v>
      </c>
      <c r="D114" s="103"/>
      <c r="E114" s="103" t="s">
        <v>93</v>
      </c>
      <c r="F114" s="103" t="s">
        <v>77</v>
      </c>
      <c r="G114" s="103" t="s">
        <v>71</v>
      </c>
      <c r="H114" s="103" t="s">
        <v>5877</v>
      </c>
      <c r="I114" s="103" t="s">
        <v>143</v>
      </c>
      <c r="J114" s="103" t="s">
        <v>5880</v>
      </c>
      <c r="K114" s="103" t="s">
        <v>5881</v>
      </c>
      <c r="L114" s="103"/>
      <c r="M114" s="103"/>
      <c r="N114" s="103" t="s">
        <v>5824</v>
      </c>
      <c r="O114" s="103" t="s">
        <v>47</v>
      </c>
      <c r="P114" s="103" t="s">
        <v>5791</v>
      </c>
      <c r="Q114" s="103"/>
      <c r="R114" s="103"/>
      <c r="S114" s="103" t="s">
        <v>5883</v>
      </c>
      <c r="T114" s="103">
        <v>534282</v>
      </c>
      <c r="U114" s="103">
        <v>8.5</v>
      </c>
      <c r="V114" s="103" t="s">
        <v>5823</v>
      </c>
      <c r="W114" s="103" t="s">
        <v>310</v>
      </c>
    </row>
    <row r="115" spans="1:23" x14ac:dyDescent="0.45">
      <c r="A115" s="103">
        <f t="shared" si="6"/>
        <v>114</v>
      </c>
      <c r="B115" s="103" t="s">
        <v>5824</v>
      </c>
      <c r="C115" s="103" t="s">
        <v>5876</v>
      </c>
      <c r="D115" s="103"/>
      <c r="E115" s="103" t="s">
        <v>93</v>
      </c>
      <c r="F115" s="103" t="s">
        <v>77</v>
      </c>
      <c r="G115" s="103" t="s">
        <v>71</v>
      </c>
      <c r="H115" s="103" t="s">
        <v>5877</v>
      </c>
      <c r="I115" s="103" t="s">
        <v>143</v>
      </c>
      <c r="J115" s="103" t="s">
        <v>5880</v>
      </c>
      <c r="K115" s="103" t="s">
        <v>5881</v>
      </c>
      <c r="L115" s="103"/>
      <c r="M115" s="103"/>
      <c r="N115" s="103" t="s">
        <v>5824</v>
      </c>
      <c r="O115" s="103" t="s">
        <v>5580</v>
      </c>
      <c r="P115" s="103">
        <v>11</v>
      </c>
      <c r="Q115" s="103"/>
      <c r="R115" s="103"/>
      <c r="S115" s="103">
        <v>11</v>
      </c>
      <c r="T115" s="103">
        <v>534282</v>
      </c>
      <c r="U115" s="103">
        <v>8.5</v>
      </c>
      <c r="V115" s="103" t="s">
        <v>5823</v>
      </c>
      <c r="W115" s="103" t="s">
        <v>310</v>
      </c>
    </row>
    <row r="116" spans="1:23" x14ac:dyDescent="0.45">
      <c r="A116" s="103">
        <f t="shared" si="6"/>
        <v>115</v>
      </c>
      <c r="B116" s="103" t="s">
        <v>5824</v>
      </c>
      <c r="C116" s="103" t="s">
        <v>5876</v>
      </c>
      <c r="D116" s="103"/>
      <c r="E116" s="103" t="s">
        <v>93</v>
      </c>
      <c r="F116" s="103" t="s">
        <v>77</v>
      </c>
      <c r="G116" s="103" t="s">
        <v>71</v>
      </c>
      <c r="H116" s="103" t="s">
        <v>5877</v>
      </c>
      <c r="I116" s="103" t="s">
        <v>143</v>
      </c>
      <c r="J116" s="103" t="s">
        <v>5880</v>
      </c>
      <c r="K116" s="103" t="s">
        <v>5882</v>
      </c>
      <c r="L116" s="103"/>
      <c r="M116" s="103"/>
      <c r="N116" s="103" t="s">
        <v>5824</v>
      </c>
      <c r="O116" s="103" t="s">
        <v>5812</v>
      </c>
      <c r="P116" s="103" t="s">
        <v>5884</v>
      </c>
      <c r="Q116" s="103"/>
      <c r="R116" s="103"/>
      <c r="S116" s="103" t="s">
        <v>5885</v>
      </c>
      <c r="T116" s="103">
        <v>534282</v>
      </c>
      <c r="U116" s="103">
        <v>8.5</v>
      </c>
      <c r="V116" s="103" t="s">
        <v>5823</v>
      </c>
      <c r="W116" s="103" t="s">
        <v>310</v>
      </c>
    </row>
    <row r="117" spans="1:23" x14ac:dyDescent="0.45">
      <c r="A117" s="103">
        <f t="shared" si="6"/>
        <v>116</v>
      </c>
      <c r="B117" s="103" t="s">
        <v>5824</v>
      </c>
      <c r="C117" s="103" t="s">
        <v>5876</v>
      </c>
      <c r="D117" s="103"/>
      <c r="E117" s="103" t="s">
        <v>93</v>
      </c>
      <c r="F117" s="103" t="s">
        <v>77</v>
      </c>
      <c r="G117" s="103" t="s">
        <v>71</v>
      </c>
      <c r="H117" s="103" t="s">
        <v>5877</v>
      </c>
      <c r="I117" s="103" t="s">
        <v>143</v>
      </c>
      <c r="J117" s="103" t="s">
        <v>5880</v>
      </c>
      <c r="K117" s="103" t="s">
        <v>5882</v>
      </c>
      <c r="L117" s="103"/>
      <c r="M117" s="103"/>
      <c r="N117" s="103" t="s">
        <v>5824</v>
      </c>
      <c r="O117" s="103" t="s">
        <v>5581</v>
      </c>
      <c r="P117" s="103">
        <v>13</v>
      </c>
      <c r="Q117" s="103"/>
      <c r="R117" s="103"/>
      <c r="S117" s="103" t="s">
        <v>5831</v>
      </c>
      <c r="T117" s="103">
        <v>534282</v>
      </c>
      <c r="U117" s="103" t="s">
        <v>5796</v>
      </c>
      <c r="V117" s="103" t="s">
        <v>5823</v>
      </c>
      <c r="W117" s="103" t="s">
        <v>310</v>
      </c>
    </row>
    <row r="118" spans="1:23" x14ac:dyDescent="0.45">
      <c r="A118" s="103">
        <f t="shared" si="6"/>
        <v>117</v>
      </c>
      <c r="B118" s="103" t="s">
        <v>5824</v>
      </c>
      <c r="C118" s="103" t="s">
        <v>5876</v>
      </c>
      <c r="D118" s="103"/>
      <c r="E118" s="103" t="s">
        <v>93</v>
      </c>
      <c r="F118" s="103" t="s">
        <v>77</v>
      </c>
      <c r="G118" s="103" t="s">
        <v>71</v>
      </c>
      <c r="H118" s="103" t="s">
        <v>5877</v>
      </c>
      <c r="I118" s="103" t="s">
        <v>143</v>
      </c>
      <c r="J118" s="103" t="s">
        <v>5880</v>
      </c>
      <c r="K118" s="103" t="s">
        <v>5882</v>
      </c>
      <c r="L118" s="103"/>
      <c r="M118" s="103"/>
      <c r="N118" s="103" t="s">
        <v>5824</v>
      </c>
      <c r="O118" s="103" t="s">
        <v>5813</v>
      </c>
      <c r="P118" s="103" t="s">
        <v>5795</v>
      </c>
      <c r="Q118" s="103"/>
      <c r="R118" s="103"/>
      <c r="S118" s="103" t="s">
        <v>5797</v>
      </c>
      <c r="T118" s="103">
        <v>534282</v>
      </c>
      <c r="U118" s="103" t="s">
        <v>5796</v>
      </c>
      <c r="V118" s="103" t="s">
        <v>5823</v>
      </c>
      <c r="W118" s="103" t="s">
        <v>310</v>
      </c>
    </row>
    <row r="119" spans="1:23" x14ac:dyDescent="0.45">
      <c r="A119" s="103">
        <f t="shared" si="6"/>
        <v>118</v>
      </c>
      <c r="B119" s="103" t="s">
        <v>5824</v>
      </c>
      <c r="C119" s="103" t="s">
        <v>5876</v>
      </c>
      <c r="D119" s="103"/>
      <c r="E119" s="103" t="s">
        <v>93</v>
      </c>
      <c r="F119" s="103" t="s">
        <v>77</v>
      </c>
      <c r="G119" s="103" t="s">
        <v>71</v>
      </c>
      <c r="H119" s="103" t="s">
        <v>5877</v>
      </c>
      <c r="I119" s="103" t="s">
        <v>143</v>
      </c>
      <c r="J119" s="103" t="s">
        <v>5880</v>
      </c>
      <c r="K119" s="103" t="s">
        <v>5882</v>
      </c>
      <c r="L119" s="103"/>
      <c r="M119" s="103"/>
      <c r="N119" s="103" t="s">
        <v>5824</v>
      </c>
      <c r="O119" s="103" t="s">
        <v>5814</v>
      </c>
      <c r="P119" s="103" t="s">
        <v>5886</v>
      </c>
      <c r="Q119" s="103"/>
      <c r="R119" s="103"/>
      <c r="S119" s="103" t="s">
        <v>5791</v>
      </c>
      <c r="T119" s="103">
        <v>534282</v>
      </c>
      <c r="U119" s="103">
        <v>8.5</v>
      </c>
      <c r="V119" s="103" t="s">
        <v>5823</v>
      </c>
      <c r="W119" s="103" t="s">
        <v>310</v>
      </c>
    </row>
    <row r="120" spans="1:23" x14ac:dyDescent="0.45">
      <c r="A120" s="103">
        <f t="shared" si="6"/>
        <v>119</v>
      </c>
      <c r="B120" s="103" t="s">
        <v>5824</v>
      </c>
      <c r="C120" s="103" t="s">
        <v>5876</v>
      </c>
      <c r="D120" s="103"/>
      <c r="E120" s="103" t="s">
        <v>93</v>
      </c>
      <c r="F120" s="103" t="s">
        <v>77</v>
      </c>
      <c r="G120" s="103" t="s">
        <v>71</v>
      </c>
      <c r="H120" s="103" t="s">
        <v>5877</v>
      </c>
      <c r="I120" s="103" t="s">
        <v>116</v>
      </c>
      <c r="J120" s="103" t="s">
        <v>122</v>
      </c>
      <c r="K120" s="103" t="s">
        <v>288</v>
      </c>
      <c r="L120" s="103"/>
      <c r="M120" s="103"/>
      <c r="N120" s="103" t="s">
        <v>5824</v>
      </c>
      <c r="O120" s="103" t="s">
        <v>5815</v>
      </c>
      <c r="P120" s="103" t="s">
        <v>5888</v>
      </c>
      <c r="Q120" s="103"/>
      <c r="R120" s="103"/>
      <c r="S120" s="103" t="s">
        <v>5889</v>
      </c>
      <c r="T120" s="103">
        <v>534282</v>
      </c>
      <c r="U120" s="103">
        <v>8.5</v>
      </c>
      <c r="V120" s="103" t="s">
        <v>5823</v>
      </c>
      <c r="W120" s="103" t="s">
        <v>310</v>
      </c>
    </row>
    <row r="121" spans="1:23" x14ac:dyDescent="0.45">
      <c r="A121" s="103">
        <f t="shared" si="6"/>
        <v>120</v>
      </c>
      <c r="B121" s="103" t="s">
        <v>5824</v>
      </c>
      <c r="C121" s="103" t="s">
        <v>5876</v>
      </c>
      <c r="D121" s="103"/>
      <c r="E121" s="103" t="s">
        <v>93</v>
      </c>
      <c r="F121" s="103" t="s">
        <v>77</v>
      </c>
      <c r="G121" s="103" t="s">
        <v>71</v>
      </c>
      <c r="H121" s="103" t="s">
        <v>5877</v>
      </c>
      <c r="I121" s="103" t="s">
        <v>116</v>
      </c>
      <c r="J121" s="103" t="s">
        <v>5880</v>
      </c>
      <c r="K121" s="103" t="s">
        <v>5887</v>
      </c>
      <c r="L121" s="103"/>
      <c r="M121" s="103"/>
      <c r="N121" s="103" t="s">
        <v>5824</v>
      </c>
      <c r="O121" s="103" t="s">
        <v>5816</v>
      </c>
      <c r="P121" s="103"/>
      <c r="Q121" s="103">
        <v>6</v>
      </c>
      <c r="R121" s="103"/>
      <c r="S121" s="103" t="s">
        <v>5890</v>
      </c>
      <c r="T121" s="103">
        <v>534282</v>
      </c>
      <c r="U121" s="103" t="s">
        <v>5796</v>
      </c>
      <c r="V121" s="103" t="s">
        <v>5823</v>
      </c>
      <c r="W121" s="103" t="s">
        <v>310</v>
      </c>
    </row>
    <row r="122" spans="1:23" x14ac:dyDescent="0.45">
      <c r="A122" s="103">
        <f t="shared" si="6"/>
        <v>121</v>
      </c>
      <c r="B122" s="103" t="s">
        <v>5824</v>
      </c>
      <c r="C122" s="103" t="s">
        <v>5876</v>
      </c>
      <c r="D122" s="103"/>
      <c r="E122" s="103" t="s">
        <v>93</v>
      </c>
      <c r="F122" s="103" t="s">
        <v>77</v>
      </c>
      <c r="G122" s="103" t="s">
        <v>71</v>
      </c>
      <c r="H122" s="103" t="s">
        <v>5877</v>
      </c>
      <c r="I122" s="103" t="s">
        <v>116</v>
      </c>
      <c r="J122" s="103" t="s">
        <v>5880</v>
      </c>
      <c r="K122" s="103" t="s">
        <v>5887</v>
      </c>
      <c r="L122" s="103"/>
      <c r="M122" s="103"/>
      <c r="N122" s="103" t="s">
        <v>5824</v>
      </c>
      <c r="O122" s="103" t="s">
        <v>5817</v>
      </c>
      <c r="P122" s="103">
        <v>3</v>
      </c>
      <c r="Q122" s="103"/>
      <c r="R122" s="103"/>
      <c r="S122" s="103" t="s">
        <v>5891</v>
      </c>
      <c r="T122" s="103">
        <v>534282</v>
      </c>
      <c r="U122" s="103" t="s">
        <v>5796</v>
      </c>
      <c r="V122" s="103" t="s">
        <v>5823</v>
      </c>
      <c r="W122" s="103" t="s">
        <v>310</v>
      </c>
    </row>
    <row r="123" spans="1:23" x14ac:dyDescent="0.45">
      <c r="A123" s="103">
        <f t="shared" si="6"/>
        <v>122</v>
      </c>
      <c r="B123" s="103" t="s">
        <v>5824</v>
      </c>
      <c r="C123" s="103" t="s">
        <v>5876</v>
      </c>
      <c r="D123" s="103"/>
      <c r="E123" s="103" t="s">
        <v>93</v>
      </c>
      <c r="F123" s="103" t="s">
        <v>77</v>
      </c>
      <c r="G123" s="103" t="s">
        <v>71</v>
      </c>
      <c r="H123" s="103" t="s">
        <v>5877</v>
      </c>
      <c r="I123" s="103" t="s">
        <v>116</v>
      </c>
      <c r="J123" s="103" t="s">
        <v>5880</v>
      </c>
      <c r="K123" s="103" t="s">
        <v>5887</v>
      </c>
      <c r="L123" s="103"/>
      <c r="M123" s="103"/>
      <c r="N123" s="103" t="s">
        <v>5824</v>
      </c>
      <c r="O123" s="103" t="s">
        <v>5815</v>
      </c>
      <c r="P123" s="103" t="s">
        <v>5871</v>
      </c>
      <c r="Q123" s="103"/>
      <c r="R123" s="103"/>
      <c r="S123" s="103">
        <v>3</v>
      </c>
      <c r="T123" s="103">
        <v>534282</v>
      </c>
      <c r="U123" s="103">
        <v>8.5</v>
      </c>
      <c r="V123" s="103" t="s">
        <v>5823</v>
      </c>
      <c r="W123" s="103" t="s">
        <v>310</v>
      </c>
    </row>
    <row r="124" spans="1:23" x14ac:dyDescent="0.45">
      <c r="A124" s="103">
        <f t="shared" si="6"/>
        <v>123</v>
      </c>
      <c r="B124" s="103" t="s">
        <v>5824</v>
      </c>
      <c r="C124" s="103" t="s">
        <v>5876</v>
      </c>
      <c r="D124" s="103"/>
      <c r="E124" s="103" t="s">
        <v>93</v>
      </c>
      <c r="F124" s="103" t="s">
        <v>77</v>
      </c>
      <c r="G124" s="103" t="s">
        <v>71</v>
      </c>
      <c r="H124" s="103" t="s">
        <v>5877</v>
      </c>
      <c r="I124" s="103" t="s">
        <v>116</v>
      </c>
      <c r="J124" s="103" t="s">
        <v>5880</v>
      </c>
      <c r="K124" s="103" t="s">
        <v>5887</v>
      </c>
      <c r="L124" s="103"/>
      <c r="M124" s="103"/>
      <c r="N124" s="103" t="s">
        <v>5824</v>
      </c>
      <c r="O124" s="103" t="s">
        <v>5819</v>
      </c>
      <c r="P124" s="103" t="s">
        <v>5857</v>
      </c>
      <c r="Q124" s="103"/>
      <c r="R124" s="103"/>
      <c r="S124" s="103" t="s">
        <v>5892</v>
      </c>
      <c r="T124" s="103">
        <v>534282</v>
      </c>
      <c r="U124" s="103">
        <v>8.5</v>
      </c>
      <c r="V124" s="103" t="s">
        <v>5823</v>
      </c>
      <c r="W124" s="103" t="s">
        <v>310</v>
      </c>
    </row>
    <row r="125" spans="1:23" x14ac:dyDescent="0.45">
      <c r="A125" s="103">
        <f t="shared" si="6"/>
        <v>124</v>
      </c>
      <c r="B125" s="103" t="s">
        <v>5824</v>
      </c>
      <c r="C125" s="103" t="s">
        <v>5876</v>
      </c>
      <c r="D125" s="103"/>
      <c r="E125" s="103" t="s">
        <v>93</v>
      </c>
      <c r="F125" s="103" t="s">
        <v>77</v>
      </c>
      <c r="G125" s="103" t="s">
        <v>71</v>
      </c>
      <c r="H125" s="103" t="s">
        <v>5877</v>
      </c>
      <c r="I125" s="103" t="s">
        <v>116</v>
      </c>
      <c r="J125" s="103" t="s">
        <v>5880</v>
      </c>
      <c r="K125" s="103" t="s">
        <v>5887</v>
      </c>
      <c r="L125" s="103"/>
      <c r="M125" s="103"/>
      <c r="N125" s="103" t="s">
        <v>5824</v>
      </c>
      <c r="O125" s="103" t="s">
        <v>5820</v>
      </c>
      <c r="P125" s="103" t="s">
        <v>5888</v>
      </c>
      <c r="Q125" s="103"/>
      <c r="R125" s="103"/>
      <c r="S125" s="103" t="s">
        <v>5789</v>
      </c>
      <c r="T125" s="103">
        <v>534282</v>
      </c>
      <c r="U125" s="103" t="s">
        <v>5796</v>
      </c>
      <c r="V125" s="103" t="s">
        <v>5823</v>
      </c>
      <c r="W125" s="103" t="s">
        <v>310</v>
      </c>
    </row>
    <row r="126" spans="1:23" x14ac:dyDescent="0.45">
      <c r="A126" s="103">
        <f t="shared" si="6"/>
        <v>125</v>
      </c>
      <c r="B126" s="103" t="s">
        <v>5824</v>
      </c>
      <c r="C126" s="103" t="s">
        <v>5876</v>
      </c>
      <c r="D126" s="103"/>
      <c r="E126" s="103" t="s">
        <v>93</v>
      </c>
      <c r="F126" s="103" t="s">
        <v>77</v>
      </c>
      <c r="G126" s="103" t="s">
        <v>71</v>
      </c>
      <c r="H126" s="103" t="s">
        <v>5877</v>
      </c>
      <c r="I126" s="103" t="s">
        <v>116</v>
      </c>
      <c r="J126" s="103" t="s">
        <v>5880</v>
      </c>
      <c r="K126" s="103" t="s">
        <v>5887</v>
      </c>
      <c r="L126" s="103"/>
      <c r="M126" s="103"/>
      <c r="N126" s="103" t="s">
        <v>5824</v>
      </c>
      <c r="O126" s="103" t="s">
        <v>5821</v>
      </c>
      <c r="P126" s="103">
        <v>8</v>
      </c>
      <c r="Q126" s="103"/>
      <c r="R126" s="103"/>
      <c r="S126" s="103" t="s">
        <v>5791</v>
      </c>
      <c r="T126" s="103">
        <v>534282</v>
      </c>
      <c r="U126" s="103" t="s">
        <v>5796</v>
      </c>
      <c r="V126" s="103" t="s">
        <v>5823</v>
      </c>
      <c r="W126" s="103" t="s">
        <v>310</v>
      </c>
    </row>
    <row r="127" spans="1:23" x14ac:dyDescent="0.45">
      <c r="A127" s="103">
        <f t="shared" si="6"/>
        <v>126</v>
      </c>
      <c r="B127" s="103" t="s">
        <v>5824</v>
      </c>
      <c r="C127" s="103" t="s">
        <v>5876</v>
      </c>
      <c r="D127" s="103"/>
      <c r="E127" s="103" t="s">
        <v>93</v>
      </c>
      <c r="F127" s="103" t="s">
        <v>77</v>
      </c>
      <c r="G127" s="103" t="s">
        <v>71</v>
      </c>
      <c r="H127" s="103" t="s">
        <v>5877</v>
      </c>
      <c r="I127" s="103" t="s">
        <v>116</v>
      </c>
      <c r="J127" s="103" t="s">
        <v>5880</v>
      </c>
      <c r="K127" s="103" t="s">
        <v>5887</v>
      </c>
      <c r="L127" s="103"/>
      <c r="M127" s="103"/>
      <c r="N127" s="103" t="s">
        <v>5824</v>
      </c>
      <c r="O127" s="103" t="s">
        <v>5822</v>
      </c>
      <c r="P127" s="103" t="s">
        <v>5871</v>
      </c>
      <c r="Q127" s="103"/>
      <c r="R127" s="103"/>
      <c r="S127" s="103" t="s">
        <v>5871</v>
      </c>
      <c r="T127" s="103">
        <v>534282</v>
      </c>
      <c r="U127" s="103">
        <v>8.5</v>
      </c>
      <c r="V127" s="103" t="s">
        <v>5823</v>
      </c>
      <c r="W127" s="103" t="s">
        <v>310</v>
      </c>
    </row>
    <row r="128" spans="1:23" x14ac:dyDescent="0.45">
      <c r="A128" s="103">
        <f t="shared" ref="A128:A138" si="7">ROW()-1</f>
        <v>127</v>
      </c>
      <c r="B128" s="103" t="s">
        <v>5893</v>
      </c>
      <c r="C128" s="103" t="s">
        <v>2679</v>
      </c>
      <c r="D128" s="103" t="s">
        <v>330</v>
      </c>
      <c r="E128" s="103" t="s">
        <v>101</v>
      </c>
      <c r="F128" s="103" t="s">
        <v>77</v>
      </c>
      <c r="G128" s="103" t="s">
        <v>71</v>
      </c>
      <c r="H128" s="103" t="s">
        <v>5894</v>
      </c>
      <c r="I128" s="103" t="s">
        <v>173</v>
      </c>
      <c r="J128" s="103" t="s">
        <v>5596</v>
      </c>
      <c r="K128" s="103" t="s">
        <v>5905</v>
      </c>
      <c r="L128" s="103" t="s">
        <v>5907</v>
      </c>
      <c r="M128" s="103"/>
      <c r="N128" s="103" t="s">
        <v>5893</v>
      </c>
      <c r="O128" s="103" t="s">
        <v>5815</v>
      </c>
      <c r="P128" s="103"/>
      <c r="Q128" s="103"/>
      <c r="R128" s="103"/>
      <c r="S128" s="103" t="s">
        <v>5906</v>
      </c>
      <c r="T128" s="103">
        <v>363787</v>
      </c>
      <c r="U128" s="103">
        <v>9</v>
      </c>
      <c r="V128" s="103" t="s">
        <v>65</v>
      </c>
      <c r="W128" s="103" t="s">
        <v>310</v>
      </c>
    </row>
    <row r="129" spans="1:23" x14ac:dyDescent="0.45">
      <c r="A129" s="103">
        <f t="shared" si="7"/>
        <v>128</v>
      </c>
      <c r="B129" s="103" t="s">
        <v>5893</v>
      </c>
      <c r="C129" s="103" t="s">
        <v>2679</v>
      </c>
      <c r="D129" s="103" t="s">
        <v>330</v>
      </c>
      <c r="E129" s="103" t="s">
        <v>101</v>
      </c>
      <c r="F129" s="103" t="s">
        <v>77</v>
      </c>
      <c r="G129" s="103" t="s">
        <v>71</v>
      </c>
      <c r="H129" s="103" t="s">
        <v>5894</v>
      </c>
      <c r="I129" s="103" t="s">
        <v>173</v>
      </c>
      <c r="J129" s="103" t="s">
        <v>5596</v>
      </c>
      <c r="K129" s="103" t="s">
        <v>5905</v>
      </c>
      <c r="L129" s="103" t="s">
        <v>5908</v>
      </c>
      <c r="M129" s="103"/>
      <c r="N129" s="103" t="s">
        <v>5893</v>
      </c>
      <c r="O129" s="103" t="s">
        <v>5816</v>
      </c>
      <c r="P129" s="103" t="s">
        <v>5906</v>
      </c>
      <c r="Q129" s="103"/>
      <c r="R129" s="103"/>
      <c r="S129" s="103" t="s">
        <v>5906</v>
      </c>
      <c r="T129" s="103">
        <v>363787</v>
      </c>
      <c r="U129" s="103">
        <v>9</v>
      </c>
      <c r="V129" s="103" t="s">
        <v>65</v>
      </c>
      <c r="W129" s="103" t="s">
        <v>310</v>
      </c>
    </row>
    <row r="130" spans="1:23" x14ac:dyDescent="0.45">
      <c r="A130" s="103">
        <f t="shared" si="7"/>
        <v>129</v>
      </c>
      <c r="B130" s="103" t="s">
        <v>5893</v>
      </c>
      <c r="C130" s="103" t="s">
        <v>2679</v>
      </c>
      <c r="D130" s="103" t="s">
        <v>330</v>
      </c>
      <c r="E130" s="103" t="s">
        <v>101</v>
      </c>
      <c r="F130" s="103" t="s">
        <v>77</v>
      </c>
      <c r="G130" s="103" t="s">
        <v>71</v>
      </c>
      <c r="H130" s="103" t="s">
        <v>5894</v>
      </c>
      <c r="I130" s="103" t="s">
        <v>173</v>
      </c>
      <c r="J130" s="103" t="s">
        <v>280</v>
      </c>
      <c r="K130" s="103" t="s">
        <v>5899</v>
      </c>
      <c r="L130" s="103"/>
      <c r="M130" s="103"/>
      <c r="N130" s="103" t="s">
        <v>5893</v>
      </c>
      <c r="O130" s="103" t="s">
        <v>5820</v>
      </c>
      <c r="P130" s="103" t="s">
        <v>5904</v>
      </c>
      <c r="Q130" s="103"/>
      <c r="R130" s="103"/>
      <c r="S130" s="103" t="s">
        <v>5857</v>
      </c>
      <c r="T130" s="103">
        <v>363787</v>
      </c>
      <c r="U130" s="103">
        <v>9</v>
      </c>
      <c r="V130" s="103" t="s">
        <v>65</v>
      </c>
      <c r="W130" s="103" t="s">
        <v>310</v>
      </c>
    </row>
    <row r="131" spans="1:23" x14ac:dyDescent="0.45">
      <c r="A131" s="103">
        <f t="shared" si="7"/>
        <v>130</v>
      </c>
      <c r="B131" s="103" t="s">
        <v>5893</v>
      </c>
      <c r="C131" s="103" t="s">
        <v>2679</v>
      </c>
      <c r="D131" s="103" t="s">
        <v>330</v>
      </c>
      <c r="E131" s="103" t="s">
        <v>101</v>
      </c>
      <c r="F131" s="103" t="s">
        <v>77</v>
      </c>
      <c r="G131" s="103" t="s">
        <v>71</v>
      </c>
      <c r="H131" s="103" t="s">
        <v>5894</v>
      </c>
      <c r="I131" s="103" t="s">
        <v>173</v>
      </c>
      <c r="J131" s="103" t="s">
        <v>142</v>
      </c>
      <c r="K131" s="103" t="s">
        <v>5898</v>
      </c>
      <c r="L131" s="103"/>
      <c r="M131" s="103"/>
      <c r="N131" s="103" t="s">
        <v>5893</v>
      </c>
      <c r="O131" s="103" t="s">
        <v>5858</v>
      </c>
      <c r="P131" s="103" t="s">
        <v>5904</v>
      </c>
      <c r="Q131" s="103"/>
      <c r="R131" s="103"/>
      <c r="S131" s="103" t="s">
        <v>5857</v>
      </c>
      <c r="T131" s="103">
        <v>363787</v>
      </c>
      <c r="U131" s="103">
        <v>9</v>
      </c>
      <c r="V131" s="103" t="s">
        <v>65</v>
      </c>
      <c r="W131" s="103" t="s">
        <v>310</v>
      </c>
    </row>
    <row r="132" spans="1:23" x14ac:dyDescent="0.45">
      <c r="A132" s="103">
        <f t="shared" si="7"/>
        <v>131</v>
      </c>
      <c r="B132" s="103" t="s">
        <v>5893</v>
      </c>
      <c r="C132" s="103" t="s">
        <v>2679</v>
      </c>
      <c r="D132" s="103" t="s">
        <v>330</v>
      </c>
      <c r="E132" s="103" t="s">
        <v>101</v>
      </c>
      <c r="F132" s="103" t="s">
        <v>77</v>
      </c>
      <c r="G132" s="103" t="s">
        <v>71</v>
      </c>
      <c r="H132" s="103" t="s">
        <v>5894</v>
      </c>
      <c r="I132" s="103" t="s">
        <v>173</v>
      </c>
      <c r="J132" s="103" t="s">
        <v>136</v>
      </c>
      <c r="K132" s="103" t="s">
        <v>221</v>
      </c>
      <c r="L132" s="103"/>
      <c r="M132" s="103"/>
      <c r="N132" s="103" t="s">
        <v>5893</v>
      </c>
      <c r="O132" s="103" t="s">
        <v>5859</v>
      </c>
      <c r="P132" s="103" t="s">
        <v>5904</v>
      </c>
      <c r="Q132" s="103"/>
      <c r="R132" s="103"/>
      <c r="S132" s="103" t="s">
        <v>5857</v>
      </c>
      <c r="T132" s="103">
        <v>363787</v>
      </c>
      <c r="U132" s="103">
        <v>9</v>
      </c>
      <c r="V132" s="103" t="s">
        <v>65</v>
      </c>
      <c r="W132" s="103" t="s">
        <v>310</v>
      </c>
    </row>
    <row r="133" spans="1:23" x14ac:dyDescent="0.45">
      <c r="A133" s="103">
        <f t="shared" si="7"/>
        <v>132</v>
      </c>
      <c r="B133" s="103" t="s">
        <v>5893</v>
      </c>
      <c r="C133" s="103" t="s">
        <v>2679</v>
      </c>
      <c r="D133" s="103" t="s">
        <v>330</v>
      </c>
      <c r="E133" s="103" t="s">
        <v>101</v>
      </c>
      <c r="F133" s="103" t="s">
        <v>77</v>
      </c>
      <c r="G133" s="103" t="s">
        <v>71</v>
      </c>
      <c r="H133" s="103" t="s">
        <v>5894</v>
      </c>
      <c r="I133" s="103" t="s">
        <v>173</v>
      </c>
      <c r="J133" s="103" t="s">
        <v>5629</v>
      </c>
      <c r="K133" s="103" t="s">
        <v>5897</v>
      </c>
      <c r="L133" s="103"/>
      <c r="M133" s="103"/>
      <c r="N133" s="103" t="s">
        <v>5893</v>
      </c>
      <c r="O133" s="103" t="s">
        <v>5817</v>
      </c>
      <c r="P133" s="103" t="s">
        <v>5900</v>
      </c>
      <c r="Q133" s="103"/>
      <c r="R133" s="103"/>
      <c r="S133" s="103" t="s">
        <v>5901</v>
      </c>
      <c r="T133" s="103">
        <v>363787</v>
      </c>
      <c r="U133" s="103">
        <v>8.8000000000000007</v>
      </c>
      <c r="V133" s="103" t="s">
        <v>5823</v>
      </c>
      <c r="W133" s="103" t="s">
        <v>310</v>
      </c>
    </row>
    <row r="134" spans="1:23" x14ac:dyDescent="0.45">
      <c r="A134" s="103">
        <f t="shared" si="7"/>
        <v>133</v>
      </c>
      <c r="B134" s="103" t="s">
        <v>5893</v>
      </c>
      <c r="C134" s="103" t="s">
        <v>2679</v>
      </c>
      <c r="D134" s="103" t="s">
        <v>330</v>
      </c>
      <c r="E134" s="103" t="s">
        <v>101</v>
      </c>
      <c r="F134" s="103" t="s">
        <v>77</v>
      </c>
      <c r="G134" s="103" t="s">
        <v>71</v>
      </c>
      <c r="H134" s="103" t="s">
        <v>5894</v>
      </c>
      <c r="I134" s="103" t="s">
        <v>173</v>
      </c>
      <c r="J134" s="103" t="s">
        <v>5629</v>
      </c>
      <c r="K134" s="103" t="s">
        <v>5897</v>
      </c>
      <c r="L134" s="103"/>
      <c r="M134" s="103"/>
      <c r="N134" s="103" t="s">
        <v>5893</v>
      </c>
      <c r="O134" s="103" t="s">
        <v>5815</v>
      </c>
      <c r="P134" s="103" t="s">
        <v>5903</v>
      </c>
      <c r="Q134" s="103"/>
      <c r="R134" s="103"/>
      <c r="S134" s="103" t="s">
        <v>5873</v>
      </c>
      <c r="T134" s="103">
        <v>363787</v>
      </c>
      <c r="U134" s="103">
        <v>8.8000000000000007</v>
      </c>
      <c r="V134" s="103" t="s">
        <v>5823</v>
      </c>
      <c r="W134" s="103" t="s">
        <v>310</v>
      </c>
    </row>
    <row r="135" spans="1:23" x14ac:dyDescent="0.45">
      <c r="A135" s="103">
        <f t="shared" si="7"/>
        <v>134</v>
      </c>
      <c r="B135" s="103" t="s">
        <v>5893</v>
      </c>
      <c r="C135" s="103" t="s">
        <v>2679</v>
      </c>
      <c r="D135" s="103" t="s">
        <v>330</v>
      </c>
      <c r="E135" s="103" t="s">
        <v>101</v>
      </c>
      <c r="F135" s="103" t="s">
        <v>77</v>
      </c>
      <c r="G135" s="103" t="s">
        <v>71</v>
      </c>
      <c r="H135" s="103" t="s">
        <v>5894</v>
      </c>
      <c r="I135" s="103" t="s">
        <v>173</v>
      </c>
      <c r="J135" s="103" t="s">
        <v>142</v>
      </c>
      <c r="K135" s="103" t="s">
        <v>5898</v>
      </c>
      <c r="L135" s="103"/>
      <c r="M135" s="103"/>
      <c r="N135" s="103" t="s">
        <v>5893</v>
      </c>
      <c r="O135" s="103" t="s">
        <v>5821</v>
      </c>
      <c r="P135" s="103" t="s">
        <v>5902</v>
      </c>
      <c r="Q135" s="103"/>
      <c r="R135" s="103"/>
      <c r="S135" s="103">
        <v>10</v>
      </c>
      <c r="T135" s="103">
        <v>363787</v>
      </c>
      <c r="U135" s="103">
        <v>8.8000000000000007</v>
      </c>
      <c r="V135" s="103" t="s">
        <v>5823</v>
      </c>
      <c r="W135" s="103" t="s">
        <v>310</v>
      </c>
    </row>
    <row r="136" spans="1:23" x14ac:dyDescent="0.45">
      <c r="A136" s="103">
        <f t="shared" si="7"/>
        <v>135</v>
      </c>
      <c r="B136" s="103" t="s">
        <v>5893</v>
      </c>
      <c r="C136" s="103" t="s">
        <v>2679</v>
      </c>
      <c r="D136" s="103" t="s">
        <v>330</v>
      </c>
      <c r="E136" s="103" t="s">
        <v>101</v>
      </c>
      <c r="F136" s="103" t="s">
        <v>77</v>
      </c>
      <c r="G136" s="103" t="s">
        <v>71</v>
      </c>
      <c r="H136" s="103" t="s">
        <v>5894</v>
      </c>
      <c r="I136" s="103" t="s">
        <v>173</v>
      </c>
      <c r="J136" s="103" t="s">
        <v>280</v>
      </c>
      <c r="K136" s="103" t="s">
        <v>5899</v>
      </c>
      <c r="L136" s="103"/>
      <c r="M136" s="103"/>
      <c r="N136" s="103" t="s">
        <v>5893</v>
      </c>
      <c r="O136" s="103" t="s">
        <v>5822</v>
      </c>
      <c r="P136" s="103" t="s">
        <v>5854</v>
      </c>
      <c r="Q136" s="103"/>
      <c r="R136" s="103"/>
      <c r="S136" s="103" t="s">
        <v>5850</v>
      </c>
      <c r="T136" s="103">
        <v>363787</v>
      </c>
      <c r="U136" s="103">
        <v>8.8000000000000007</v>
      </c>
      <c r="V136" s="103" t="s">
        <v>5823</v>
      </c>
      <c r="W136" s="103" t="s">
        <v>310</v>
      </c>
    </row>
    <row r="137" spans="1:23" x14ac:dyDescent="0.45">
      <c r="A137" s="103">
        <f t="shared" si="7"/>
        <v>136</v>
      </c>
      <c r="B137" s="103" t="s">
        <v>5893</v>
      </c>
      <c r="C137" s="103" t="s">
        <v>2679</v>
      </c>
      <c r="D137" s="103" t="s">
        <v>330</v>
      </c>
      <c r="E137" s="103" t="s">
        <v>101</v>
      </c>
      <c r="F137" s="103" t="s">
        <v>77</v>
      </c>
      <c r="G137" s="103" t="s">
        <v>71</v>
      </c>
      <c r="H137" s="103" t="s">
        <v>5894</v>
      </c>
      <c r="I137" s="103" t="s">
        <v>173</v>
      </c>
      <c r="J137" s="103" t="s">
        <v>142</v>
      </c>
      <c r="K137" s="103" t="s">
        <v>5898</v>
      </c>
      <c r="L137" s="103"/>
      <c r="M137" s="103"/>
      <c r="N137" s="103" t="s">
        <v>5893</v>
      </c>
      <c r="O137" s="103" t="s">
        <v>5860</v>
      </c>
      <c r="P137" s="103" t="s">
        <v>5904</v>
      </c>
      <c r="Q137" s="103"/>
      <c r="R137" s="103"/>
      <c r="S137" s="103" t="s">
        <v>5857</v>
      </c>
      <c r="T137" s="103">
        <v>363787</v>
      </c>
      <c r="U137" s="103">
        <v>8.8000000000000007</v>
      </c>
      <c r="V137" s="103" t="s">
        <v>5823</v>
      </c>
      <c r="W137" s="103" t="s">
        <v>310</v>
      </c>
    </row>
    <row r="138" spans="1:23" x14ac:dyDescent="0.45">
      <c r="A138" s="103">
        <f t="shared" si="7"/>
        <v>137</v>
      </c>
      <c r="B138" s="103" t="s">
        <v>5893</v>
      </c>
      <c r="C138" s="103" t="s">
        <v>2679</v>
      </c>
      <c r="D138" s="103" t="s">
        <v>330</v>
      </c>
      <c r="E138" s="103" t="s">
        <v>101</v>
      </c>
      <c r="F138" s="103" t="s">
        <v>77</v>
      </c>
      <c r="G138" s="103" t="s">
        <v>71</v>
      </c>
      <c r="H138" s="103" t="s">
        <v>5894</v>
      </c>
      <c r="I138" s="103" t="s">
        <v>173</v>
      </c>
      <c r="J138" s="103" t="s">
        <v>136</v>
      </c>
      <c r="K138" s="103" t="s">
        <v>221</v>
      </c>
      <c r="L138" s="103"/>
      <c r="M138" s="103"/>
      <c r="N138" s="103" t="s">
        <v>5893</v>
      </c>
      <c r="O138" s="103" t="s">
        <v>5861</v>
      </c>
      <c r="P138" s="103" t="s">
        <v>5833</v>
      </c>
      <c r="Q138" s="103"/>
      <c r="R138" s="103"/>
      <c r="S138" s="103" t="s">
        <v>5843</v>
      </c>
      <c r="T138" s="103">
        <v>363787</v>
      </c>
      <c r="U138" s="103">
        <v>8.8000000000000007</v>
      </c>
      <c r="V138" s="103" t="s">
        <v>5823</v>
      </c>
      <c r="W138" s="103" t="s">
        <v>310</v>
      </c>
    </row>
    <row r="139" spans="1:23" x14ac:dyDescent="0.45">
      <c r="A139" s="103">
        <f t="shared" ref="A139:A161" si="8">ROW()-1</f>
        <v>138</v>
      </c>
      <c r="B139" s="103" t="s">
        <v>5909</v>
      </c>
      <c r="C139" s="103" t="s">
        <v>5910</v>
      </c>
      <c r="D139" s="103"/>
      <c r="E139" s="103" t="s">
        <v>5911</v>
      </c>
      <c r="F139" s="103" t="s">
        <v>89</v>
      </c>
      <c r="G139" s="103" t="s">
        <v>74</v>
      </c>
      <c r="H139" s="103" t="s">
        <v>5912</v>
      </c>
      <c r="I139" s="103" t="s">
        <v>123</v>
      </c>
      <c r="J139" s="103" t="s">
        <v>122</v>
      </c>
      <c r="K139" s="103" t="s">
        <v>194</v>
      </c>
      <c r="L139" s="103"/>
      <c r="M139" s="103"/>
      <c r="N139" s="103" t="s">
        <v>5909</v>
      </c>
      <c r="O139" s="103" t="s">
        <v>47</v>
      </c>
      <c r="P139" s="103" t="s">
        <v>5892</v>
      </c>
      <c r="Q139" s="103"/>
      <c r="R139" s="103"/>
      <c r="S139" s="103">
        <v>11</v>
      </c>
      <c r="T139" s="103">
        <v>206397</v>
      </c>
      <c r="U139" s="103" t="s">
        <v>5933</v>
      </c>
      <c r="V139" s="103" t="s">
        <v>65</v>
      </c>
      <c r="W139" s="103" t="s">
        <v>5776</v>
      </c>
    </row>
    <row r="140" spans="1:23" x14ac:dyDescent="0.45">
      <c r="A140" s="103">
        <f t="shared" si="8"/>
        <v>139</v>
      </c>
      <c r="B140" s="103" t="s">
        <v>5909</v>
      </c>
      <c r="C140" s="103" t="s">
        <v>5910</v>
      </c>
      <c r="D140" s="103"/>
      <c r="E140" s="103" t="s">
        <v>5911</v>
      </c>
      <c r="F140" s="103" t="s">
        <v>89</v>
      </c>
      <c r="G140" s="103" t="s">
        <v>74</v>
      </c>
      <c r="H140" s="103" t="s">
        <v>5912</v>
      </c>
      <c r="I140" s="103"/>
      <c r="J140" s="103" t="s">
        <v>122</v>
      </c>
      <c r="K140" s="103" t="s">
        <v>194</v>
      </c>
      <c r="L140" s="103"/>
      <c r="M140" s="103"/>
      <c r="N140" s="103" t="s">
        <v>5909</v>
      </c>
      <c r="O140" s="103" t="s">
        <v>5580</v>
      </c>
      <c r="P140" s="103" t="s">
        <v>5789</v>
      </c>
      <c r="Q140" s="103"/>
      <c r="R140" s="103"/>
      <c r="S140" s="103" t="s">
        <v>5915</v>
      </c>
      <c r="T140" s="103">
        <v>206397</v>
      </c>
      <c r="U140" s="103" t="s">
        <v>5934</v>
      </c>
      <c r="V140" s="103" t="s">
        <v>65</v>
      </c>
      <c r="W140" s="103" t="s">
        <v>5776</v>
      </c>
    </row>
    <row r="141" spans="1:23" x14ac:dyDescent="0.45">
      <c r="A141" s="103">
        <f t="shared" si="8"/>
        <v>140</v>
      </c>
      <c r="B141" s="103" t="s">
        <v>5909</v>
      </c>
      <c r="C141" s="103" t="s">
        <v>5910</v>
      </c>
      <c r="D141" s="103"/>
      <c r="E141" s="103" t="s">
        <v>5911</v>
      </c>
      <c r="F141" s="103" t="s">
        <v>89</v>
      </c>
      <c r="G141" s="103" t="s">
        <v>74</v>
      </c>
      <c r="H141" s="103" t="s">
        <v>5912</v>
      </c>
      <c r="I141" s="103"/>
      <c r="J141" s="103" t="s">
        <v>122</v>
      </c>
      <c r="K141" s="103" t="s">
        <v>194</v>
      </c>
      <c r="L141" s="103"/>
      <c r="M141" s="103"/>
      <c r="N141" s="103" t="s">
        <v>5909</v>
      </c>
      <c r="O141" s="103" t="s">
        <v>5581</v>
      </c>
      <c r="P141" s="103" t="s">
        <v>5857</v>
      </c>
      <c r="Q141" s="103"/>
      <c r="R141" s="103"/>
      <c r="S141" s="103">
        <v>11</v>
      </c>
      <c r="T141" s="103">
        <v>206397</v>
      </c>
      <c r="U141" s="103" t="s">
        <v>5933</v>
      </c>
      <c r="V141" s="103" t="s">
        <v>65</v>
      </c>
      <c r="W141" s="103" t="s">
        <v>5776</v>
      </c>
    </row>
    <row r="142" spans="1:23" x14ac:dyDescent="0.45">
      <c r="A142" s="103">
        <f t="shared" si="8"/>
        <v>141</v>
      </c>
      <c r="B142" s="103" t="s">
        <v>5909</v>
      </c>
      <c r="C142" s="103" t="s">
        <v>5910</v>
      </c>
      <c r="D142" s="103"/>
      <c r="E142" s="103" t="s">
        <v>5911</v>
      </c>
      <c r="F142" s="103" t="s">
        <v>89</v>
      </c>
      <c r="G142" s="103" t="s">
        <v>74</v>
      </c>
      <c r="H142" s="103" t="s">
        <v>5912</v>
      </c>
      <c r="I142" s="103" t="s">
        <v>123</v>
      </c>
      <c r="J142" s="103" t="s">
        <v>122</v>
      </c>
      <c r="K142" s="103" t="s">
        <v>194</v>
      </c>
      <c r="L142" s="103"/>
      <c r="M142" s="103"/>
      <c r="N142" s="103" t="s">
        <v>5909</v>
      </c>
      <c r="O142" s="103" t="s">
        <v>5813</v>
      </c>
      <c r="P142" s="103" t="s">
        <v>5916</v>
      </c>
      <c r="Q142" s="103"/>
      <c r="R142" s="103"/>
      <c r="S142" s="103" t="s">
        <v>5886</v>
      </c>
      <c r="T142" s="103">
        <v>206397</v>
      </c>
      <c r="U142" s="103" t="s">
        <v>5933</v>
      </c>
      <c r="V142" s="103" t="s">
        <v>65</v>
      </c>
      <c r="W142" s="103" t="s">
        <v>5776</v>
      </c>
    </row>
    <row r="143" spans="1:23" x14ac:dyDescent="0.45">
      <c r="A143" s="103">
        <f t="shared" si="8"/>
        <v>142</v>
      </c>
      <c r="B143" s="103" t="s">
        <v>5909</v>
      </c>
      <c r="C143" s="103" t="s">
        <v>5910</v>
      </c>
      <c r="D143" s="103"/>
      <c r="E143" s="103" t="s">
        <v>5911</v>
      </c>
      <c r="F143" s="103" t="s">
        <v>89</v>
      </c>
      <c r="G143" s="103" t="s">
        <v>74</v>
      </c>
      <c r="H143" s="103" t="s">
        <v>5912</v>
      </c>
      <c r="I143" s="103" t="s">
        <v>123</v>
      </c>
      <c r="J143" s="103" t="s">
        <v>122</v>
      </c>
      <c r="K143" s="103" t="s">
        <v>193</v>
      </c>
      <c r="L143" s="103"/>
      <c r="M143" s="103"/>
      <c r="N143" s="103" t="s">
        <v>5909</v>
      </c>
      <c r="O143" s="103" t="s">
        <v>5815</v>
      </c>
      <c r="P143" s="103"/>
      <c r="Q143" s="103"/>
      <c r="R143" s="103"/>
      <c r="S143" s="103" t="s">
        <v>5800</v>
      </c>
      <c r="T143" s="103">
        <v>206397</v>
      </c>
      <c r="U143" s="103" t="s">
        <v>5933</v>
      </c>
      <c r="V143" s="103" t="s">
        <v>65</v>
      </c>
      <c r="W143" s="103" t="s">
        <v>5776</v>
      </c>
    </row>
    <row r="144" spans="1:23" x14ac:dyDescent="0.45">
      <c r="A144" s="103">
        <f t="shared" si="8"/>
        <v>143</v>
      </c>
      <c r="B144" s="103" t="s">
        <v>5909</v>
      </c>
      <c r="C144" s="103" t="s">
        <v>5910</v>
      </c>
      <c r="D144" s="103"/>
      <c r="E144" s="103" t="s">
        <v>5911</v>
      </c>
      <c r="F144" s="103" t="s">
        <v>89</v>
      </c>
      <c r="G144" s="103" t="s">
        <v>74</v>
      </c>
      <c r="H144" s="103" t="s">
        <v>5912</v>
      </c>
      <c r="I144" s="103" t="s">
        <v>123</v>
      </c>
      <c r="J144" s="103" t="s">
        <v>122</v>
      </c>
      <c r="K144" s="103" t="s">
        <v>193</v>
      </c>
      <c r="L144" s="103"/>
      <c r="M144" s="103"/>
      <c r="N144" s="103" t="s">
        <v>5909</v>
      </c>
      <c r="O144" s="103" t="s">
        <v>5816</v>
      </c>
      <c r="P144" s="103" t="s">
        <v>5916</v>
      </c>
      <c r="Q144" s="103"/>
      <c r="R144" s="103"/>
      <c r="S144" s="103" t="s">
        <v>5918</v>
      </c>
      <c r="T144" s="103">
        <v>206397</v>
      </c>
      <c r="U144" s="103" t="s">
        <v>5933</v>
      </c>
      <c r="V144" s="103" t="s">
        <v>65</v>
      </c>
      <c r="W144" s="103" t="s">
        <v>5776</v>
      </c>
    </row>
    <row r="145" spans="1:23" x14ac:dyDescent="0.45">
      <c r="A145" s="103">
        <f t="shared" si="8"/>
        <v>144</v>
      </c>
      <c r="B145" s="103" t="s">
        <v>5909</v>
      </c>
      <c r="C145" s="103" t="s">
        <v>5910</v>
      </c>
      <c r="D145" s="103"/>
      <c r="E145" s="103" t="s">
        <v>5911</v>
      </c>
      <c r="F145" s="103" t="s">
        <v>89</v>
      </c>
      <c r="G145" s="103" t="s">
        <v>74</v>
      </c>
      <c r="H145" s="103" t="s">
        <v>5912</v>
      </c>
      <c r="I145" s="103" t="s">
        <v>123</v>
      </c>
      <c r="J145" s="103" t="s">
        <v>122</v>
      </c>
      <c r="K145" s="103" t="s">
        <v>193</v>
      </c>
      <c r="L145" s="103"/>
      <c r="M145" s="103"/>
      <c r="N145" s="103" t="s">
        <v>5909</v>
      </c>
      <c r="O145" s="103" t="s">
        <v>5817</v>
      </c>
      <c r="P145" s="103" t="s">
        <v>5920</v>
      </c>
      <c r="Q145" s="103"/>
      <c r="R145" s="103"/>
      <c r="S145" s="103" t="s">
        <v>5919</v>
      </c>
      <c r="T145" s="103">
        <v>206397</v>
      </c>
      <c r="U145" s="103" t="s">
        <v>5933</v>
      </c>
      <c r="V145" s="103" t="s">
        <v>65</v>
      </c>
      <c r="W145" s="103" t="s">
        <v>5776</v>
      </c>
    </row>
    <row r="146" spans="1:23" x14ac:dyDescent="0.45">
      <c r="A146" s="103">
        <f t="shared" si="8"/>
        <v>145</v>
      </c>
      <c r="B146" s="103" t="s">
        <v>5909</v>
      </c>
      <c r="C146" s="103" t="s">
        <v>5910</v>
      </c>
      <c r="D146" s="103"/>
      <c r="E146" s="103" t="s">
        <v>5911</v>
      </c>
      <c r="F146" s="103" t="s">
        <v>89</v>
      </c>
      <c r="G146" s="103" t="s">
        <v>74</v>
      </c>
      <c r="H146" s="103" t="s">
        <v>5912</v>
      </c>
      <c r="I146" s="103" t="s">
        <v>123</v>
      </c>
      <c r="J146" s="103" t="s">
        <v>122</v>
      </c>
      <c r="K146" s="103" t="s">
        <v>193</v>
      </c>
      <c r="L146" s="103"/>
      <c r="M146" s="103"/>
      <c r="N146" s="103" t="s">
        <v>5909</v>
      </c>
      <c r="O146" s="103" t="s">
        <v>5818</v>
      </c>
      <c r="P146" s="103" t="s">
        <v>5918</v>
      </c>
      <c r="Q146" s="103"/>
      <c r="R146" s="103"/>
      <c r="S146" s="103" t="s">
        <v>5800</v>
      </c>
      <c r="T146" s="103">
        <v>206397</v>
      </c>
      <c r="U146" s="103" t="s">
        <v>5933</v>
      </c>
      <c r="V146" s="103" t="s">
        <v>65</v>
      </c>
      <c r="W146" s="103" t="s">
        <v>5776</v>
      </c>
    </row>
    <row r="147" spans="1:23" x14ac:dyDescent="0.45">
      <c r="A147" s="103">
        <f t="shared" si="8"/>
        <v>146</v>
      </c>
      <c r="B147" s="103" t="s">
        <v>5909</v>
      </c>
      <c r="C147" s="103" t="s">
        <v>5910</v>
      </c>
      <c r="D147" s="103"/>
      <c r="E147" s="103" t="s">
        <v>5911</v>
      </c>
      <c r="F147" s="103" t="s">
        <v>89</v>
      </c>
      <c r="G147" s="103" t="s">
        <v>74</v>
      </c>
      <c r="H147" s="103" t="s">
        <v>5912</v>
      </c>
      <c r="I147" s="103" t="s">
        <v>123</v>
      </c>
      <c r="J147" s="103" t="s">
        <v>122</v>
      </c>
      <c r="K147" s="103" t="s">
        <v>193</v>
      </c>
      <c r="L147" s="103"/>
      <c r="M147" s="103"/>
      <c r="N147" s="103" t="s">
        <v>5909</v>
      </c>
      <c r="O147" s="103" t="s">
        <v>5820</v>
      </c>
      <c r="P147" s="103" t="s">
        <v>5883</v>
      </c>
      <c r="Q147" s="103"/>
      <c r="R147" s="103"/>
      <c r="S147" s="103" t="s">
        <v>5856</v>
      </c>
      <c r="T147" s="103">
        <v>206397</v>
      </c>
      <c r="U147" s="103" t="s">
        <v>5933</v>
      </c>
      <c r="V147" s="103" t="s">
        <v>65</v>
      </c>
      <c r="W147" s="103" t="s">
        <v>5776</v>
      </c>
    </row>
    <row r="148" spans="1:23" x14ac:dyDescent="0.45">
      <c r="A148" s="103">
        <f t="shared" si="8"/>
        <v>147</v>
      </c>
      <c r="B148" s="103" t="s">
        <v>5909</v>
      </c>
      <c r="C148" s="103" t="s">
        <v>5910</v>
      </c>
      <c r="D148" s="103"/>
      <c r="E148" s="103" t="s">
        <v>5911</v>
      </c>
      <c r="F148" s="103" t="s">
        <v>89</v>
      </c>
      <c r="G148" s="103" t="s">
        <v>74</v>
      </c>
      <c r="H148" s="103" t="s">
        <v>5912</v>
      </c>
      <c r="I148" s="103" t="s">
        <v>123</v>
      </c>
      <c r="J148" s="103" t="s">
        <v>122</v>
      </c>
      <c r="K148" s="103" t="s">
        <v>193</v>
      </c>
      <c r="L148" s="103"/>
      <c r="M148" s="103"/>
      <c r="N148" s="103" t="s">
        <v>5909</v>
      </c>
      <c r="O148" s="103" t="s">
        <v>5821</v>
      </c>
      <c r="P148" s="103" t="s">
        <v>5848</v>
      </c>
      <c r="Q148" s="103"/>
      <c r="R148" s="103"/>
      <c r="S148" s="103" t="s">
        <v>5798</v>
      </c>
      <c r="T148" s="103">
        <v>206397</v>
      </c>
      <c r="U148" s="103" t="s">
        <v>5933</v>
      </c>
      <c r="V148" s="103" t="s">
        <v>65</v>
      </c>
      <c r="W148" s="103" t="s">
        <v>5776</v>
      </c>
    </row>
    <row r="149" spans="1:23" x14ac:dyDescent="0.45">
      <c r="A149" s="103">
        <f t="shared" si="8"/>
        <v>148</v>
      </c>
      <c r="B149" s="103" t="s">
        <v>5909</v>
      </c>
      <c r="C149" s="103" t="s">
        <v>5910</v>
      </c>
      <c r="D149" s="103"/>
      <c r="E149" s="103" t="s">
        <v>5911</v>
      </c>
      <c r="F149" s="103" t="s">
        <v>89</v>
      </c>
      <c r="G149" s="103" t="s">
        <v>74</v>
      </c>
      <c r="H149" s="103" t="s">
        <v>5912</v>
      </c>
      <c r="I149" s="103" t="s">
        <v>123</v>
      </c>
      <c r="J149" s="103" t="s">
        <v>122</v>
      </c>
      <c r="K149" s="103" t="s">
        <v>193</v>
      </c>
      <c r="L149" s="103"/>
      <c r="M149" s="103"/>
      <c r="N149" s="103" t="s">
        <v>5909</v>
      </c>
      <c r="O149" s="103" t="s">
        <v>5822</v>
      </c>
      <c r="P149" s="103" t="s">
        <v>5922</v>
      </c>
      <c r="Q149" s="103"/>
      <c r="R149" s="103"/>
      <c r="S149" s="103" t="s">
        <v>5921</v>
      </c>
      <c r="T149" s="103">
        <v>206397</v>
      </c>
      <c r="U149" s="103" t="s">
        <v>5933</v>
      </c>
      <c r="V149" s="103" t="s">
        <v>65</v>
      </c>
      <c r="W149" s="103" t="s">
        <v>5776</v>
      </c>
    </row>
    <row r="150" spans="1:23" x14ac:dyDescent="0.45">
      <c r="A150" s="103">
        <f t="shared" si="8"/>
        <v>149</v>
      </c>
      <c r="B150" s="103" t="s">
        <v>5909</v>
      </c>
      <c r="C150" s="103" t="s">
        <v>5910</v>
      </c>
      <c r="D150" s="103"/>
      <c r="E150" s="103" t="s">
        <v>5911</v>
      </c>
      <c r="F150" s="103" t="s">
        <v>89</v>
      </c>
      <c r="G150" s="103" t="s">
        <v>74</v>
      </c>
      <c r="H150" s="103" t="s">
        <v>5912</v>
      </c>
      <c r="I150" s="103" t="s">
        <v>123</v>
      </c>
      <c r="J150" s="103" t="s">
        <v>122</v>
      </c>
      <c r="K150" s="103" t="s">
        <v>194</v>
      </c>
      <c r="L150" s="103"/>
      <c r="M150" s="103"/>
      <c r="N150" s="103" t="s">
        <v>5909</v>
      </c>
      <c r="O150" s="103" t="s">
        <v>47</v>
      </c>
      <c r="P150" s="103" t="s">
        <v>5892</v>
      </c>
      <c r="Q150" s="103"/>
      <c r="R150" s="103"/>
      <c r="S150" s="103">
        <v>11</v>
      </c>
      <c r="T150" s="103">
        <v>206397</v>
      </c>
      <c r="U150" s="103" t="s">
        <v>5924</v>
      </c>
      <c r="V150" s="103" t="s">
        <v>5823</v>
      </c>
      <c r="W150" s="103" t="s">
        <v>5776</v>
      </c>
    </row>
    <row r="151" spans="1:23" x14ac:dyDescent="0.45">
      <c r="A151" s="103">
        <f t="shared" si="8"/>
        <v>150</v>
      </c>
      <c r="B151" s="103" t="s">
        <v>5909</v>
      </c>
      <c r="C151" s="103" t="s">
        <v>5910</v>
      </c>
      <c r="D151" s="103"/>
      <c r="E151" s="103" t="s">
        <v>5911</v>
      </c>
      <c r="F151" s="103" t="s">
        <v>89</v>
      </c>
      <c r="G151" s="103" t="s">
        <v>74</v>
      </c>
      <c r="H151" s="103" t="s">
        <v>5912</v>
      </c>
      <c r="I151" s="103"/>
      <c r="J151" s="103" t="s">
        <v>122</v>
      </c>
      <c r="K151" s="103" t="s">
        <v>194</v>
      </c>
      <c r="L151" s="103"/>
      <c r="M151" s="103"/>
      <c r="N151" s="103" t="s">
        <v>5909</v>
      </c>
      <c r="O151" s="103" t="s">
        <v>5580</v>
      </c>
      <c r="P151" s="103" t="s">
        <v>5789</v>
      </c>
      <c r="Q151" s="103"/>
      <c r="R151" s="103"/>
      <c r="S151" s="103" t="s">
        <v>5915</v>
      </c>
      <c r="T151" s="103">
        <v>206397</v>
      </c>
      <c r="U151" s="103" t="s">
        <v>5925</v>
      </c>
      <c r="V151" s="103" t="s">
        <v>5823</v>
      </c>
      <c r="W151" s="103" t="s">
        <v>5776</v>
      </c>
    </row>
    <row r="152" spans="1:23" x14ac:dyDescent="0.45">
      <c r="A152" s="103">
        <f t="shared" si="8"/>
        <v>151</v>
      </c>
      <c r="B152" s="103" t="s">
        <v>5909</v>
      </c>
      <c r="C152" s="103" t="s">
        <v>5910</v>
      </c>
      <c r="D152" s="103"/>
      <c r="E152" s="103" t="s">
        <v>5911</v>
      </c>
      <c r="F152" s="103" t="s">
        <v>89</v>
      </c>
      <c r="G152" s="103" t="s">
        <v>74</v>
      </c>
      <c r="H152" s="103" t="s">
        <v>5912</v>
      </c>
      <c r="I152" s="103" t="s">
        <v>123</v>
      </c>
      <c r="J152" s="103" t="s">
        <v>122</v>
      </c>
      <c r="K152" s="103" t="s">
        <v>194</v>
      </c>
      <c r="L152" s="103"/>
      <c r="M152" s="103"/>
      <c r="N152" s="103" t="s">
        <v>5909</v>
      </c>
      <c r="O152" s="103" t="s">
        <v>5581</v>
      </c>
      <c r="P152" s="103" t="s">
        <v>5857</v>
      </c>
      <c r="Q152" s="103"/>
      <c r="R152" s="103"/>
      <c r="S152" s="103">
        <v>11</v>
      </c>
      <c r="T152" s="103">
        <v>206397</v>
      </c>
      <c r="U152" s="103" t="s">
        <v>5926</v>
      </c>
      <c r="V152" s="103" t="s">
        <v>5823</v>
      </c>
      <c r="W152" s="103" t="s">
        <v>5776</v>
      </c>
    </row>
    <row r="153" spans="1:23" x14ac:dyDescent="0.45">
      <c r="A153" s="103">
        <f t="shared" si="8"/>
        <v>152</v>
      </c>
      <c r="B153" s="103" t="s">
        <v>5909</v>
      </c>
      <c r="C153" s="103" t="s">
        <v>5910</v>
      </c>
      <c r="D153" s="103"/>
      <c r="E153" s="103" t="s">
        <v>5911</v>
      </c>
      <c r="F153" s="103" t="s">
        <v>89</v>
      </c>
      <c r="G153" s="103" t="s">
        <v>74</v>
      </c>
      <c r="H153" s="103" t="s">
        <v>5912</v>
      </c>
      <c r="I153" s="103" t="s">
        <v>123</v>
      </c>
      <c r="J153" s="103" t="s">
        <v>122</v>
      </c>
      <c r="K153" s="103" t="s">
        <v>194</v>
      </c>
      <c r="L153" s="103"/>
      <c r="M153" s="103"/>
      <c r="N153" s="103" t="s">
        <v>5909</v>
      </c>
      <c r="O153" s="103" t="s">
        <v>5813</v>
      </c>
      <c r="P153" s="103" t="s">
        <v>5916</v>
      </c>
      <c r="Q153" s="103"/>
      <c r="R153" s="103"/>
      <c r="S153" s="103" t="s">
        <v>5886</v>
      </c>
      <c r="T153" s="103">
        <v>206397</v>
      </c>
      <c r="U153" s="103" t="s">
        <v>5925</v>
      </c>
      <c r="V153" s="103" t="s">
        <v>5823</v>
      </c>
      <c r="W153" s="103" t="s">
        <v>5776</v>
      </c>
    </row>
    <row r="154" spans="1:23" x14ac:dyDescent="0.45">
      <c r="A154" s="103">
        <f t="shared" si="8"/>
        <v>153</v>
      </c>
      <c r="B154" s="103" t="s">
        <v>5909</v>
      </c>
      <c r="C154" s="103" t="s">
        <v>5910</v>
      </c>
      <c r="D154" s="103"/>
      <c r="E154" s="103" t="s">
        <v>5911</v>
      </c>
      <c r="F154" s="103" t="s">
        <v>89</v>
      </c>
      <c r="G154" s="103" t="s">
        <v>74</v>
      </c>
      <c r="H154" s="103" t="s">
        <v>5912</v>
      </c>
      <c r="I154" s="103" t="s">
        <v>123</v>
      </c>
      <c r="J154" s="103" t="s">
        <v>122</v>
      </c>
      <c r="K154" s="103" t="s">
        <v>193</v>
      </c>
      <c r="L154" s="103"/>
      <c r="M154" s="103"/>
      <c r="N154" s="103" t="s">
        <v>5909</v>
      </c>
      <c r="O154" s="103" t="s">
        <v>5815</v>
      </c>
      <c r="P154" s="103" t="s">
        <v>5856</v>
      </c>
      <c r="Q154" s="103"/>
      <c r="R154" s="103"/>
      <c r="S154" s="103" t="s">
        <v>5883</v>
      </c>
      <c r="T154" s="103">
        <v>206397</v>
      </c>
      <c r="U154" s="103" t="s">
        <v>5927</v>
      </c>
      <c r="V154" s="103" t="s">
        <v>5823</v>
      </c>
      <c r="W154" s="103" t="s">
        <v>5776</v>
      </c>
    </row>
    <row r="155" spans="1:23" x14ac:dyDescent="0.45">
      <c r="A155" s="103">
        <f t="shared" si="8"/>
        <v>154</v>
      </c>
      <c r="B155" s="103" t="s">
        <v>5909</v>
      </c>
      <c r="C155" s="103" t="s">
        <v>5910</v>
      </c>
      <c r="D155" s="103"/>
      <c r="E155" s="103" t="s">
        <v>5911</v>
      </c>
      <c r="F155" s="103" t="s">
        <v>89</v>
      </c>
      <c r="G155" s="103" t="s">
        <v>74</v>
      </c>
      <c r="H155" s="103" t="s">
        <v>5912</v>
      </c>
      <c r="I155" s="103" t="s">
        <v>123</v>
      </c>
      <c r="J155" s="103" t="s">
        <v>122</v>
      </c>
      <c r="K155" s="103" t="s">
        <v>193</v>
      </c>
      <c r="L155" s="103"/>
      <c r="M155" s="103"/>
      <c r="N155" s="103" t="s">
        <v>5909</v>
      </c>
      <c r="O155" s="103" t="s">
        <v>5816</v>
      </c>
      <c r="P155" s="103" t="s">
        <v>5917</v>
      </c>
      <c r="Q155" s="103"/>
      <c r="R155" s="103"/>
      <c r="S155" s="103" t="s">
        <v>5800</v>
      </c>
      <c r="T155" s="103">
        <v>206397</v>
      </c>
      <c r="U155" s="103" t="s">
        <v>5924</v>
      </c>
      <c r="V155" s="103" t="s">
        <v>5823</v>
      </c>
      <c r="W155" s="103" t="s">
        <v>5776</v>
      </c>
    </row>
    <row r="156" spans="1:23" x14ac:dyDescent="0.45">
      <c r="A156" s="103">
        <f t="shared" si="8"/>
        <v>155</v>
      </c>
      <c r="B156" s="103" t="s">
        <v>5909</v>
      </c>
      <c r="C156" s="103" t="s">
        <v>5910</v>
      </c>
      <c r="D156" s="103"/>
      <c r="E156" s="103" t="s">
        <v>5911</v>
      </c>
      <c r="F156" s="103" t="s">
        <v>89</v>
      </c>
      <c r="G156" s="103" t="s">
        <v>74</v>
      </c>
      <c r="H156" s="103" t="s">
        <v>5912</v>
      </c>
      <c r="I156" s="103" t="s">
        <v>123</v>
      </c>
      <c r="J156" s="103" t="s">
        <v>122</v>
      </c>
      <c r="K156" s="103" t="s">
        <v>193</v>
      </c>
      <c r="L156" s="103"/>
      <c r="M156" s="103"/>
      <c r="N156" s="103" t="s">
        <v>5909</v>
      </c>
      <c r="O156" s="103" t="s">
        <v>5817</v>
      </c>
      <c r="P156" s="103" t="s">
        <v>5800</v>
      </c>
      <c r="Q156" s="103"/>
      <c r="R156" s="103"/>
      <c r="S156" s="103" t="s">
        <v>5918</v>
      </c>
      <c r="T156" s="103">
        <v>206397</v>
      </c>
      <c r="U156" s="103" t="s">
        <v>5928</v>
      </c>
      <c r="V156" s="103" t="s">
        <v>5823</v>
      </c>
      <c r="W156" s="103" t="s">
        <v>5776</v>
      </c>
    </row>
    <row r="157" spans="1:23" x14ac:dyDescent="0.45">
      <c r="A157" s="103">
        <f t="shared" si="8"/>
        <v>156</v>
      </c>
      <c r="B157" s="103" t="s">
        <v>5909</v>
      </c>
      <c r="C157" s="103" t="s">
        <v>5910</v>
      </c>
      <c r="D157" s="103"/>
      <c r="E157" s="103" t="s">
        <v>5911</v>
      </c>
      <c r="F157" s="103" t="s">
        <v>89</v>
      </c>
      <c r="G157" s="103" t="s">
        <v>74</v>
      </c>
      <c r="H157" s="103" t="s">
        <v>5912</v>
      </c>
      <c r="I157" s="103" t="s">
        <v>123</v>
      </c>
      <c r="J157" s="103" t="s">
        <v>122</v>
      </c>
      <c r="K157" s="103" t="s">
        <v>193</v>
      </c>
      <c r="L157" s="103"/>
      <c r="M157" s="103"/>
      <c r="N157" s="103" t="s">
        <v>5909</v>
      </c>
      <c r="O157" s="103" t="s">
        <v>5815</v>
      </c>
      <c r="P157" s="103" t="s">
        <v>5919</v>
      </c>
      <c r="Q157" s="103"/>
      <c r="R157" s="103"/>
      <c r="S157" s="103" t="s">
        <v>5920</v>
      </c>
      <c r="T157" s="103">
        <v>206397</v>
      </c>
      <c r="U157" s="103" t="s">
        <v>5925</v>
      </c>
      <c r="V157" s="103" t="s">
        <v>5823</v>
      </c>
      <c r="W157" s="103" t="s">
        <v>5776</v>
      </c>
    </row>
    <row r="158" spans="1:23" x14ac:dyDescent="0.45">
      <c r="A158" s="103">
        <f t="shared" si="8"/>
        <v>157</v>
      </c>
      <c r="B158" s="103" t="s">
        <v>5909</v>
      </c>
      <c r="C158" s="103" t="s">
        <v>5910</v>
      </c>
      <c r="D158" s="103"/>
      <c r="E158" s="103" t="s">
        <v>5911</v>
      </c>
      <c r="F158" s="103" t="s">
        <v>89</v>
      </c>
      <c r="G158" s="103" t="s">
        <v>74</v>
      </c>
      <c r="H158" s="103" t="s">
        <v>5912</v>
      </c>
      <c r="I158" s="103" t="s">
        <v>123</v>
      </c>
      <c r="J158" s="103" t="s">
        <v>122</v>
      </c>
      <c r="K158" s="103" t="s">
        <v>193</v>
      </c>
      <c r="L158" s="103"/>
      <c r="M158" s="103"/>
      <c r="N158" s="103" t="s">
        <v>5909</v>
      </c>
      <c r="O158" s="103" t="s">
        <v>5819</v>
      </c>
      <c r="P158" s="103" t="s">
        <v>5918</v>
      </c>
      <c r="Q158" s="103"/>
      <c r="R158" s="103"/>
      <c r="S158" s="103" t="s">
        <v>5916</v>
      </c>
      <c r="T158" s="103">
        <v>206397</v>
      </c>
      <c r="U158" s="103" t="s">
        <v>5929</v>
      </c>
      <c r="V158" s="103" t="s">
        <v>5823</v>
      </c>
      <c r="W158" s="103" t="s">
        <v>5776</v>
      </c>
    </row>
    <row r="159" spans="1:23" x14ac:dyDescent="0.45">
      <c r="A159" s="103">
        <f t="shared" si="8"/>
        <v>158</v>
      </c>
      <c r="B159" s="103" t="s">
        <v>5909</v>
      </c>
      <c r="C159" s="103" t="s">
        <v>5910</v>
      </c>
      <c r="D159" s="103"/>
      <c r="E159" s="103" t="s">
        <v>5911</v>
      </c>
      <c r="F159" s="103" t="s">
        <v>89</v>
      </c>
      <c r="G159" s="103" t="s">
        <v>74</v>
      </c>
      <c r="H159" s="103" t="s">
        <v>5912</v>
      </c>
      <c r="I159" s="103" t="s">
        <v>123</v>
      </c>
      <c r="J159" s="103" t="s">
        <v>122</v>
      </c>
      <c r="K159" s="103" t="s">
        <v>193</v>
      </c>
      <c r="L159" s="103"/>
      <c r="M159" s="103"/>
      <c r="N159" s="103" t="s">
        <v>5909</v>
      </c>
      <c r="O159" s="103" t="s">
        <v>5820</v>
      </c>
      <c r="P159" s="103" t="s">
        <v>5923</v>
      </c>
      <c r="Q159" s="103"/>
      <c r="R159" s="103"/>
      <c r="S159" s="103" t="s">
        <v>5800</v>
      </c>
      <c r="T159" s="103">
        <v>206397</v>
      </c>
      <c r="U159" s="103" t="s">
        <v>5930</v>
      </c>
      <c r="V159" s="103" t="s">
        <v>5823</v>
      </c>
      <c r="W159" s="103" t="s">
        <v>5776</v>
      </c>
    </row>
    <row r="160" spans="1:23" x14ac:dyDescent="0.45">
      <c r="A160" s="103">
        <f t="shared" si="8"/>
        <v>159</v>
      </c>
      <c r="B160" s="103" t="s">
        <v>5909</v>
      </c>
      <c r="C160" s="103" t="s">
        <v>5910</v>
      </c>
      <c r="D160" s="103"/>
      <c r="E160" s="103" t="s">
        <v>5911</v>
      </c>
      <c r="F160" s="103" t="s">
        <v>89</v>
      </c>
      <c r="G160" s="103" t="s">
        <v>74</v>
      </c>
      <c r="H160" s="103" t="s">
        <v>5912</v>
      </c>
      <c r="I160" s="103" t="s">
        <v>123</v>
      </c>
      <c r="J160" s="103" t="s">
        <v>122</v>
      </c>
      <c r="K160" s="103" t="s">
        <v>193</v>
      </c>
      <c r="L160" s="103"/>
      <c r="M160" s="103"/>
      <c r="N160" s="103" t="s">
        <v>5909</v>
      </c>
      <c r="O160" s="103" t="s">
        <v>5821</v>
      </c>
      <c r="P160" s="103" t="s">
        <v>5921</v>
      </c>
      <c r="Q160" s="103"/>
      <c r="R160" s="103"/>
      <c r="S160" s="103" t="s">
        <v>5922</v>
      </c>
      <c r="T160" s="103">
        <v>206397</v>
      </c>
      <c r="U160" s="103" t="s">
        <v>5931</v>
      </c>
      <c r="V160" s="103" t="s">
        <v>5823</v>
      </c>
      <c r="W160" s="103" t="s">
        <v>5776</v>
      </c>
    </row>
    <row r="161" spans="1:23" x14ac:dyDescent="0.45">
      <c r="A161" s="103">
        <f t="shared" si="8"/>
        <v>160</v>
      </c>
      <c r="B161" s="103" t="s">
        <v>5909</v>
      </c>
      <c r="C161" s="103" t="s">
        <v>5910</v>
      </c>
      <c r="D161" s="103"/>
      <c r="E161" s="103" t="s">
        <v>5911</v>
      </c>
      <c r="F161" s="103" t="s">
        <v>89</v>
      </c>
      <c r="G161" s="103" t="s">
        <v>74</v>
      </c>
      <c r="H161" s="103" t="s">
        <v>5912</v>
      </c>
      <c r="I161" s="103" t="s">
        <v>123</v>
      </c>
      <c r="J161" s="103" t="s">
        <v>115</v>
      </c>
      <c r="K161" s="103" t="s">
        <v>5699</v>
      </c>
      <c r="L161" s="103"/>
      <c r="M161" s="103"/>
      <c r="N161" s="103" t="s">
        <v>5909</v>
      </c>
      <c r="O161" s="103" t="s">
        <v>5822</v>
      </c>
      <c r="P161" s="103" t="s">
        <v>5798</v>
      </c>
      <c r="Q161" s="103"/>
      <c r="R161" s="103"/>
      <c r="S161" s="103" t="s">
        <v>5848</v>
      </c>
      <c r="T161" s="103">
        <v>206397</v>
      </c>
      <c r="U161" s="103" t="s">
        <v>5932</v>
      </c>
      <c r="V161" s="103" t="s">
        <v>5823</v>
      </c>
      <c r="W161" s="103" t="s">
        <v>5776</v>
      </c>
    </row>
    <row r="162" spans="1:23" x14ac:dyDescent="0.45">
      <c r="A162" s="103">
        <f t="shared" ref="A162:A189" si="9">ROW()-1</f>
        <v>161</v>
      </c>
      <c r="B162" s="103" t="s">
        <v>5935</v>
      </c>
      <c r="C162" s="103" t="s">
        <v>5936</v>
      </c>
      <c r="D162" s="103"/>
      <c r="E162" s="103" t="s">
        <v>100</v>
      </c>
      <c r="F162" s="103" t="s">
        <v>77</v>
      </c>
      <c r="G162" s="103" t="s">
        <v>71</v>
      </c>
      <c r="H162" s="103" t="s">
        <v>5952</v>
      </c>
      <c r="I162" s="103" t="s">
        <v>173</v>
      </c>
      <c r="J162" s="103" t="s">
        <v>105</v>
      </c>
      <c r="K162" s="103" t="s">
        <v>5940</v>
      </c>
      <c r="L162" s="103"/>
      <c r="M162" s="103"/>
      <c r="N162" s="103" t="s">
        <v>5935</v>
      </c>
      <c r="O162" s="103" t="s">
        <v>47</v>
      </c>
      <c r="P162" s="103" t="s">
        <v>5799</v>
      </c>
      <c r="Q162" s="103"/>
      <c r="R162" s="103"/>
      <c r="S162" s="103" t="s">
        <v>5794</v>
      </c>
      <c r="T162" s="103">
        <v>665082</v>
      </c>
      <c r="U162" s="103">
        <v>8.6999999999999993</v>
      </c>
      <c r="V162" s="103" t="s">
        <v>65</v>
      </c>
      <c r="W162" s="103" t="s">
        <v>310</v>
      </c>
    </row>
    <row r="163" spans="1:23" x14ac:dyDescent="0.45">
      <c r="A163" s="103">
        <f t="shared" si="9"/>
        <v>162</v>
      </c>
      <c r="B163" s="103" t="s">
        <v>5935</v>
      </c>
      <c r="C163" s="103" t="s">
        <v>5936</v>
      </c>
      <c r="D163" s="103"/>
      <c r="E163" s="103" t="s">
        <v>100</v>
      </c>
      <c r="F163" s="103" t="s">
        <v>77</v>
      </c>
      <c r="G163" s="103" t="s">
        <v>71</v>
      </c>
      <c r="H163" s="103" t="s">
        <v>5952</v>
      </c>
      <c r="I163" s="103" t="s">
        <v>173</v>
      </c>
      <c r="J163" s="103" t="s">
        <v>105</v>
      </c>
      <c r="K163" s="103" t="s">
        <v>5940</v>
      </c>
      <c r="L163" s="103"/>
      <c r="M163" s="103"/>
      <c r="N163" s="103" t="s">
        <v>5935</v>
      </c>
      <c r="O163" s="103" t="s">
        <v>5580</v>
      </c>
      <c r="P163" s="103">
        <v>6</v>
      </c>
      <c r="Q163" s="103"/>
      <c r="R163" s="103"/>
      <c r="S163" s="103" t="s">
        <v>5941</v>
      </c>
      <c r="T163" s="103">
        <v>665082</v>
      </c>
      <c r="U163" s="103">
        <v>8.8000000000000007</v>
      </c>
      <c r="V163" s="103" t="s">
        <v>65</v>
      </c>
      <c r="W163" s="103" t="s">
        <v>310</v>
      </c>
    </row>
    <row r="164" spans="1:23" x14ac:dyDescent="0.45">
      <c r="A164" s="103">
        <f t="shared" si="9"/>
        <v>163</v>
      </c>
      <c r="B164" s="103" t="s">
        <v>5935</v>
      </c>
      <c r="C164" s="103" t="s">
        <v>5936</v>
      </c>
      <c r="D164" s="103"/>
      <c r="E164" s="103" t="s">
        <v>100</v>
      </c>
      <c r="F164" s="103" t="s">
        <v>77</v>
      </c>
      <c r="G164" s="103" t="s">
        <v>71</v>
      </c>
      <c r="H164" s="103" t="s">
        <v>5952</v>
      </c>
      <c r="I164" s="103" t="s">
        <v>200</v>
      </c>
      <c r="J164" s="103" t="s">
        <v>154</v>
      </c>
      <c r="K164" s="103" t="s">
        <v>5949</v>
      </c>
      <c r="L164" s="103">
        <v>1931114834</v>
      </c>
      <c r="M164" s="103"/>
      <c r="N164" s="103" t="s">
        <v>5935</v>
      </c>
      <c r="O164" s="103" t="s">
        <v>5812</v>
      </c>
      <c r="P164" s="103" t="s">
        <v>5835</v>
      </c>
      <c r="Q164" s="103"/>
      <c r="R164" s="103"/>
      <c r="S164" s="103" t="s">
        <v>5835</v>
      </c>
      <c r="T164" s="103">
        <v>665082</v>
      </c>
      <c r="U164" s="103">
        <v>9</v>
      </c>
      <c r="V164" s="103" t="s">
        <v>65</v>
      </c>
      <c r="W164" s="103" t="s">
        <v>310</v>
      </c>
    </row>
    <row r="165" spans="1:23" x14ac:dyDescent="0.45">
      <c r="A165" s="103">
        <f t="shared" si="9"/>
        <v>164</v>
      </c>
      <c r="B165" s="103" t="s">
        <v>5935</v>
      </c>
      <c r="C165" s="103" t="s">
        <v>5936</v>
      </c>
      <c r="D165" s="103"/>
      <c r="E165" s="103" t="s">
        <v>100</v>
      </c>
      <c r="F165" s="103" t="s">
        <v>77</v>
      </c>
      <c r="G165" s="103" t="s">
        <v>71</v>
      </c>
      <c r="H165" s="103" t="s">
        <v>5952</v>
      </c>
      <c r="I165" s="103"/>
      <c r="J165" s="103" t="s">
        <v>154</v>
      </c>
      <c r="K165" s="103" t="s">
        <v>5949</v>
      </c>
      <c r="L165" s="103">
        <v>1931378961</v>
      </c>
      <c r="M165" s="103"/>
      <c r="N165" s="103" t="s">
        <v>5935</v>
      </c>
      <c r="O165" s="103" t="s">
        <v>5581</v>
      </c>
      <c r="P165" s="103" t="s">
        <v>5835</v>
      </c>
      <c r="Q165" s="103"/>
      <c r="R165" s="103"/>
      <c r="S165" s="103" t="s">
        <v>5835</v>
      </c>
      <c r="T165" s="103">
        <v>665082</v>
      </c>
      <c r="U165" s="103">
        <v>9</v>
      </c>
      <c r="V165" s="103" t="s">
        <v>65</v>
      </c>
      <c r="W165" s="103" t="s">
        <v>310</v>
      </c>
    </row>
    <row r="166" spans="1:23" x14ac:dyDescent="0.45">
      <c r="A166" s="103">
        <f t="shared" si="9"/>
        <v>165</v>
      </c>
      <c r="B166" s="103" t="s">
        <v>5935</v>
      </c>
      <c r="C166" s="103" t="s">
        <v>5936</v>
      </c>
      <c r="D166" s="103"/>
      <c r="E166" s="103" t="s">
        <v>100</v>
      </c>
      <c r="F166" s="103" t="s">
        <v>77</v>
      </c>
      <c r="G166" s="103" t="s">
        <v>71</v>
      </c>
      <c r="H166" s="103" t="s">
        <v>5952</v>
      </c>
      <c r="I166" s="103"/>
      <c r="J166" s="103" t="s">
        <v>154</v>
      </c>
      <c r="K166" s="103" t="s">
        <v>5949</v>
      </c>
      <c r="L166" s="103">
        <v>1931935290</v>
      </c>
      <c r="M166" s="103"/>
      <c r="N166" s="103" t="s">
        <v>5935</v>
      </c>
      <c r="O166" s="103" t="s">
        <v>5813</v>
      </c>
      <c r="P166" s="103" t="s">
        <v>5835</v>
      </c>
      <c r="Q166" s="103"/>
      <c r="R166" s="103"/>
      <c r="S166" s="103" t="s">
        <v>5835</v>
      </c>
      <c r="T166" s="103">
        <v>665082</v>
      </c>
      <c r="U166" s="103">
        <v>9</v>
      </c>
      <c r="V166" s="103" t="s">
        <v>65</v>
      </c>
      <c r="W166" s="103" t="s">
        <v>310</v>
      </c>
    </row>
    <row r="167" spans="1:23" x14ac:dyDescent="0.45">
      <c r="A167" s="103">
        <f t="shared" si="9"/>
        <v>166</v>
      </c>
      <c r="B167" s="103" t="s">
        <v>5935</v>
      </c>
      <c r="C167" s="103" t="s">
        <v>5936</v>
      </c>
      <c r="D167" s="103"/>
      <c r="E167" s="103" t="s">
        <v>100</v>
      </c>
      <c r="F167" s="103" t="s">
        <v>77</v>
      </c>
      <c r="G167" s="103" t="s">
        <v>71</v>
      </c>
      <c r="H167" s="103" t="s">
        <v>5952</v>
      </c>
      <c r="I167" s="103"/>
      <c r="J167" s="103" t="s">
        <v>154</v>
      </c>
      <c r="K167" s="103" t="s">
        <v>5949</v>
      </c>
      <c r="L167" s="103">
        <v>1931114840</v>
      </c>
      <c r="M167" s="103"/>
      <c r="N167" s="103"/>
      <c r="O167" s="103" t="s">
        <v>5814</v>
      </c>
      <c r="P167" s="103" t="s">
        <v>5835</v>
      </c>
      <c r="Q167" s="103"/>
      <c r="R167" s="103"/>
      <c r="S167" s="103" t="s">
        <v>5835</v>
      </c>
      <c r="T167" s="103">
        <v>665082</v>
      </c>
      <c r="U167" s="103">
        <v>9</v>
      </c>
      <c r="V167" s="103" t="s">
        <v>65</v>
      </c>
      <c r="W167" s="103" t="s">
        <v>310</v>
      </c>
    </row>
    <row r="168" spans="1:23" x14ac:dyDescent="0.45">
      <c r="A168" s="103">
        <f t="shared" si="9"/>
        <v>167</v>
      </c>
      <c r="B168" s="103" t="s">
        <v>5935</v>
      </c>
      <c r="C168" s="103" t="s">
        <v>5936</v>
      </c>
      <c r="D168" s="103"/>
      <c r="E168" s="103" t="s">
        <v>100</v>
      </c>
      <c r="F168" s="103" t="s">
        <v>77</v>
      </c>
      <c r="G168" s="103" t="s">
        <v>71</v>
      </c>
      <c r="H168" s="103" t="s">
        <v>5952</v>
      </c>
      <c r="I168" s="103" t="s">
        <v>5951</v>
      </c>
      <c r="J168" s="103" t="s">
        <v>178</v>
      </c>
      <c r="K168" s="103" t="s">
        <v>5950</v>
      </c>
      <c r="L168" s="103">
        <v>8502376677</v>
      </c>
      <c r="M168" s="103"/>
      <c r="N168" s="103" t="s">
        <v>5935</v>
      </c>
      <c r="O168" s="103" t="s">
        <v>5815</v>
      </c>
      <c r="P168" s="103"/>
      <c r="Q168" s="103"/>
      <c r="R168" s="103"/>
      <c r="S168" s="103" t="s">
        <v>5831</v>
      </c>
      <c r="T168" s="103">
        <v>665082</v>
      </c>
      <c r="U168" s="103">
        <v>9</v>
      </c>
      <c r="V168" s="103" t="s">
        <v>65</v>
      </c>
      <c r="W168" s="103" t="s">
        <v>310</v>
      </c>
    </row>
    <row r="169" spans="1:23" x14ac:dyDescent="0.45">
      <c r="A169" s="103">
        <f t="shared" si="9"/>
        <v>168</v>
      </c>
      <c r="B169" s="103" t="s">
        <v>5935</v>
      </c>
      <c r="C169" s="103" t="s">
        <v>5936</v>
      </c>
      <c r="D169" s="103"/>
      <c r="E169" s="103" t="s">
        <v>100</v>
      </c>
      <c r="F169" s="103" t="s">
        <v>77</v>
      </c>
      <c r="G169" s="103" t="s">
        <v>71</v>
      </c>
      <c r="H169" s="103" t="s">
        <v>5952</v>
      </c>
      <c r="I169" s="103" t="s">
        <v>5951</v>
      </c>
      <c r="J169" s="103" t="s">
        <v>178</v>
      </c>
      <c r="K169" s="103" t="s">
        <v>5950</v>
      </c>
      <c r="L169" s="103">
        <v>8506356717</v>
      </c>
      <c r="M169" s="103"/>
      <c r="N169" s="103" t="s">
        <v>5935</v>
      </c>
      <c r="O169" s="103" t="s">
        <v>5816</v>
      </c>
      <c r="P169" s="103" t="s">
        <v>5831</v>
      </c>
      <c r="Q169" s="103"/>
      <c r="R169" s="103"/>
      <c r="S169" s="103" t="s">
        <v>5831</v>
      </c>
      <c r="T169" s="103">
        <v>665082</v>
      </c>
      <c r="U169" s="103">
        <v>9</v>
      </c>
      <c r="V169" s="103" t="s">
        <v>65</v>
      </c>
      <c r="W169" s="103" t="s">
        <v>310</v>
      </c>
    </row>
    <row r="170" spans="1:23" x14ac:dyDescent="0.45">
      <c r="A170" s="103">
        <f t="shared" si="9"/>
        <v>169</v>
      </c>
      <c r="B170" s="103" t="s">
        <v>5935</v>
      </c>
      <c r="C170" s="103" t="s">
        <v>5936</v>
      </c>
      <c r="D170" s="103"/>
      <c r="E170" s="103" t="s">
        <v>100</v>
      </c>
      <c r="F170" s="103" t="s">
        <v>77</v>
      </c>
      <c r="G170" s="103" t="s">
        <v>71</v>
      </c>
      <c r="H170" s="103" t="s">
        <v>5952</v>
      </c>
      <c r="I170" s="103" t="s">
        <v>5951</v>
      </c>
      <c r="J170" s="103" t="s">
        <v>178</v>
      </c>
      <c r="K170" s="103" t="s">
        <v>5950</v>
      </c>
      <c r="L170" s="103">
        <v>8502376526</v>
      </c>
      <c r="M170" s="103"/>
      <c r="N170" s="103" t="s">
        <v>5935</v>
      </c>
      <c r="O170" s="103" t="s">
        <v>5817</v>
      </c>
      <c r="P170" s="103" t="s">
        <v>5831</v>
      </c>
      <c r="Q170" s="103"/>
      <c r="R170" s="103"/>
      <c r="S170" s="103" t="s">
        <v>5831</v>
      </c>
      <c r="T170" s="103">
        <v>665082</v>
      </c>
      <c r="U170" s="103">
        <v>9</v>
      </c>
      <c r="V170" s="103" t="s">
        <v>65</v>
      </c>
      <c r="W170" s="103" t="s">
        <v>310</v>
      </c>
    </row>
    <row r="171" spans="1:23" x14ac:dyDescent="0.45">
      <c r="A171" s="103">
        <f t="shared" si="9"/>
        <v>170</v>
      </c>
      <c r="B171" s="103" t="s">
        <v>5935</v>
      </c>
      <c r="C171" s="103" t="s">
        <v>5936</v>
      </c>
      <c r="D171" s="103"/>
      <c r="E171" s="103" t="s">
        <v>100</v>
      </c>
      <c r="F171" s="103" t="s">
        <v>77</v>
      </c>
      <c r="G171" s="103" t="s">
        <v>71</v>
      </c>
      <c r="H171" s="103" t="s">
        <v>5952</v>
      </c>
      <c r="I171" s="103" t="s">
        <v>5951</v>
      </c>
      <c r="J171" s="103" t="s">
        <v>178</v>
      </c>
      <c r="K171" s="103" t="s">
        <v>5950</v>
      </c>
      <c r="L171" s="103">
        <v>85062296600</v>
      </c>
      <c r="M171" s="103"/>
      <c r="N171" s="103" t="s">
        <v>5935</v>
      </c>
      <c r="O171" s="103" t="s">
        <v>5818</v>
      </c>
      <c r="P171" s="103" t="s">
        <v>5831</v>
      </c>
      <c r="Q171" s="103"/>
      <c r="R171" s="103"/>
      <c r="S171" s="103" t="s">
        <v>5831</v>
      </c>
      <c r="T171" s="103">
        <v>665082</v>
      </c>
      <c r="U171" s="103">
        <v>9</v>
      </c>
      <c r="V171" s="103" t="s">
        <v>65</v>
      </c>
      <c r="W171" s="103" t="s">
        <v>310</v>
      </c>
    </row>
    <row r="172" spans="1:23" x14ac:dyDescent="0.45">
      <c r="A172" s="103">
        <f t="shared" si="9"/>
        <v>171</v>
      </c>
      <c r="B172" s="103" t="s">
        <v>5935</v>
      </c>
      <c r="C172" s="103" t="s">
        <v>5936</v>
      </c>
      <c r="D172" s="103"/>
      <c r="E172" s="103" t="s">
        <v>100</v>
      </c>
      <c r="F172" s="103" t="s">
        <v>77</v>
      </c>
      <c r="G172" s="103" t="s">
        <v>71</v>
      </c>
      <c r="H172" s="103" t="s">
        <v>5952</v>
      </c>
      <c r="I172" s="103" t="s">
        <v>5951</v>
      </c>
      <c r="J172" s="103" t="s">
        <v>178</v>
      </c>
      <c r="K172" s="103" t="s">
        <v>5950</v>
      </c>
      <c r="L172" s="103">
        <v>8506229490</v>
      </c>
      <c r="M172" s="103"/>
      <c r="N172" s="103" t="s">
        <v>5935</v>
      </c>
      <c r="O172" s="103" t="s">
        <v>5819</v>
      </c>
      <c r="P172" s="103" t="s">
        <v>5831</v>
      </c>
      <c r="Q172" s="103"/>
      <c r="R172" s="103"/>
      <c r="S172" s="103" t="s">
        <v>5831</v>
      </c>
      <c r="T172" s="103">
        <v>665082</v>
      </c>
      <c r="U172" s="103">
        <v>9</v>
      </c>
      <c r="V172" s="103" t="s">
        <v>65</v>
      </c>
      <c r="W172" s="103" t="s">
        <v>310</v>
      </c>
    </row>
    <row r="173" spans="1:23" x14ac:dyDescent="0.45">
      <c r="A173" s="103">
        <f t="shared" si="9"/>
        <v>172</v>
      </c>
      <c r="B173" s="103" t="s">
        <v>5935</v>
      </c>
      <c r="C173" s="103" t="s">
        <v>5936</v>
      </c>
      <c r="D173" s="103"/>
      <c r="E173" s="103" t="s">
        <v>100</v>
      </c>
      <c r="F173" s="103" t="s">
        <v>77</v>
      </c>
      <c r="G173" s="103" t="s">
        <v>71</v>
      </c>
      <c r="H173" s="103" t="s">
        <v>5952</v>
      </c>
      <c r="I173" s="103" t="s">
        <v>5951</v>
      </c>
      <c r="J173" s="103" t="s">
        <v>178</v>
      </c>
      <c r="K173" s="103" t="s">
        <v>5950</v>
      </c>
      <c r="L173" s="103">
        <v>8506356701</v>
      </c>
      <c r="M173" s="103"/>
      <c r="N173" s="103" t="s">
        <v>5935</v>
      </c>
      <c r="O173" s="103" t="s">
        <v>5820</v>
      </c>
      <c r="P173" s="103" t="s">
        <v>5831</v>
      </c>
      <c r="Q173" s="103"/>
      <c r="R173" s="103"/>
      <c r="S173" s="103" t="s">
        <v>5831</v>
      </c>
      <c r="T173" s="103">
        <v>665082</v>
      </c>
      <c r="U173" s="103">
        <v>9</v>
      </c>
      <c r="V173" s="103" t="s">
        <v>65</v>
      </c>
      <c r="W173" s="103" t="s">
        <v>310</v>
      </c>
    </row>
    <row r="174" spans="1:23" x14ac:dyDescent="0.45">
      <c r="A174" s="103">
        <f t="shared" si="9"/>
        <v>173</v>
      </c>
      <c r="B174" s="103" t="s">
        <v>5935</v>
      </c>
      <c r="C174" s="103" t="s">
        <v>5936</v>
      </c>
      <c r="D174" s="103"/>
      <c r="E174" s="103" t="s">
        <v>100</v>
      </c>
      <c r="F174" s="103" t="s">
        <v>77</v>
      </c>
      <c r="G174" s="103" t="s">
        <v>71</v>
      </c>
      <c r="H174" s="103" t="s">
        <v>5952</v>
      </c>
      <c r="I174" s="103" t="s">
        <v>5951</v>
      </c>
      <c r="J174" s="103" t="s">
        <v>178</v>
      </c>
      <c r="K174" s="103" t="s">
        <v>5950</v>
      </c>
      <c r="L174" s="103">
        <v>8506356705</v>
      </c>
      <c r="M174" s="103"/>
      <c r="N174" s="103" t="s">
        <v>5935</v>
      </c>
      <c r="O174" s="103" t="s">
        <v>5821</v>
      </c>
      <c r="P174" s="103"/>
      <c r="Q174" s="103"/>
      <c r="R174" s="103"/>
      <c r="S174" s="103"/>
      <c r="T174" s="103">
        <v>665082</v>
      </c>
      <c r="U174" s="103"/>
      <c r="V174" s="103" t="s">
        <v>65</v>
      </c>
      <c r="W174" s="103" t="s">
        <v>310</v>
      </c>
    </row>
    <row r="175" spans="1:23" x14ac:dyDescent="0.45">
      <c r="A175" s="103">
        <f t="shared" si="9"/>
        <v>174</v>
      </c>
      <c r="B175" s="103" t="s">
        <v>5935</v>
      </c>
      <c r="C175" s="103" t="s">
        <v>5936</v>
      </c>
      <c r="D175" s="103"/>
      <c r="E175" s="103" t="s">
        <v>100</v>
      </c>
      <c r="F175" s="103" t="s">
        <v>77</v>
      </c>
      <c r="G175" s="103" t="s">
        <v>71</v>
      </c>
      <c r="H175" s="103" t="s">
        <v>5952</v>
      </c>
      <c r="I175" s="103" t="s">
        <v>5951</v>
      </c>
      <c r="J175" s="103" t="s">
        <v>178</v>
      </c>
      <c r="K175" s="103" t="s">
        <v>5950</v>
      </c>
      <c r="L175" s="103">
        <v>8506356708</v>
      </c>
      <c r="M175" s="103"/>
      <c r="N175" s="103" t="s">
        <v>5935</v>
      </c>
      <c r="O175" s="103" t="s">
        <v>5822</v>
      </c>
      <c r="P175" s="103" t="s">
        <v>5831</v>
      </c>
      <c r="Q175" s="103"/>
      <c r="R175" s="103"/>
      <c r="S175" s="103" t="s">
        <v>5831</v>
      </c>
      <c r="T175" s="103">
        <v>665082</v>
      </c>
      <c r="U175" s="103">
        <v>9</v>
      </c>
      <c r="V175" s="103" t="s">
        <v>65</v>
      </c>
      <c r="W175" s="103" t="s">
        <v>310</v>
      </c>
    </row>
    <row r="176" spans="1:23" x14ac:dyDescent="0.45">
      <c r="A176" s="103">
        <f t="shared" si="9"/>
        <v>175</v>
      </c>
      <c r="B176" s="103" t="s">
        <v>5935</v>
      </c>
      <c r="C176" s="103" t="s">
        <v>5936</v>
      </c>
      <c r="D176" s="103"/>
      <c r="E176" s="103" t="s">
        <v>100</v>
      </c>
      <c r="F176" s="103" t="s">
        <v>77</v>
      </c>
      <c r="G176" s="103" t="s">
        <v>71</v>
      </c>
      <c r="H176" s="103" t="s">
        <v>5952</v>
      </c>
      <c r="I176" s="103" t="s">
        <v>173</v>
      </c>
      <c r="J176" s="103" t="s">
        <v>105</v>
      </c>
      <c r="K176" s="103" t="s">
        <v>5940</v>
      </c>
      <c r="L176" s="103"/>
      <c r="M176" s="103"/>
      <c r="N176" s="103" t="s">
        <v>5935</v>
      </c>
      <c r="O176" s="103" t="s">
        <v>47</v>
      </c>
      <c r="P176" s="103" t="s">
        <v>5799</v>
      </c>
      <c r="Q176" s="103"/>
      <c r="R176" s="103"/>
      <c r="S176" s="103" t="s">
        <v>5794</v>
      </c>
      <c r="T176" s="103">
        <v>665082</v>
      </c>
      <c r="U176" s="103">
        <v>8.6999999999999993</v>
      </c>
      <c r="V176" s="103" t="s">
        <v>5823</v>
      </c>
      <c r="W176" s="103" t="s">
        <v>310</v>
      </c>
    </row>
    <row r="177" spans="1:23" x14ac:dyDescent="0.45">
      <c r="A177" s="103">
        <f t="shared" si="9"/>
        <v>176</v>
      </c>
      <c r="B177" s="103" t="s">
        <v>5935</v>
      </c>
      <c r="C177" s="103" t="s">
        <v>5936</v>
      </c>
      <c r="D177" s="103"/>
      <c r="E177" s="103" t="s">
        <v>100</v>
      </c>
      <c r="F177" s="103" t="s">
        <v>77</v>
      </c>
      <c r="G177" s="103" t="s">
        <v>71</v>
      </c>
      <c r="H177" s="103" t="s">
        <v>5952</v>
      </c>
      <c r="I177" s="103" t="s">
        <v>173</v>
      </c>
      <c r="J177" s="103" t="s">
        <v>105</v>
      </c>
      <c r="K177" s="103" t="s">
        <v>5940</v>
      </c>
      <c r="L177" s="103"/>
      <c r="M177" s="103"/>
      <c r="N177" s="103" t="s">
        <v>5935</v>
      </c>
      <c r="O177" s="103" t="s">
        <v>5580</v>
      </c>
      <c r="P177" s="103">
        <v>6</v>
      </c>
      <c r="Q177" s="103"/>
      <c r="R177" s="103"/>
      <c r="S177" s="103" t="s">
        <v>5941</v>
      </c>
      <c r="T177" s="103">
        <v>665082</v>
      </c>
      <c r="U177" s="103">
        <v>8.8000000000000007</v>
      </c>
      <c r="V177" s="103" t="s">
        <v>5823</v>
      </c>
      <c r="W177" s="103" t="s">
        <v>310</v>
      </c>
    </row>
    <row r="178" spans="1:23" x14ac:dyDescent="0.45">
      <c r="A178" s="103">
        <f t="shared" si="9"/>
        <v>177</v>
      </c>
      <c r="B178" s="103" t="s">
        <v>5935</v>
      </c>
      <c r="C178" s="103" t="s">
        <v>5936</v>
      </c>
      <c r="D178" s="103"/>
      <c r="E178" s="103" t="s">
        <v>100</v>
      </c>
      <c r="F178" s="103" t="s">
        <v>77</v>
      </c>
      <c r="G178" s="103" t="s">
        <v>71</v>
      </c>
      <c r="H178" s="103" t="s">
        <v>5952</v>
      </c>
      <c r="I178" s="103" t="s">
        <v>200</v>
      </c>
      <c r="J178" s="103" t="s">
        <v>164</v>
      </c>
      <c r="K178" s="103" t="s">
        <v>5942</v>
      </c>
      <c r="L178" s="103"/>
      <c r="M178" s="103"/>
      <c r="N178" s="103" t="s">
        <v>5935</v>
      </c>
      <c r="O178" s="103" t="s">
        <v>5812</v>
      </c>
      <c r="P178" s="103" t="s">
        <v>5943</v>
      </c>
      <c r="Q178" s="103"/>
      <c r="R178" s="103"/>
      <c r="S178" s="103" t="s">
        <v>5888</v>
      </c>
      <c r="T178" s="103">
        <v>665082</v>
      </c>
      <c r="U178" s="103">
        <v>8.4</v>
      </c>
      <c r="V178" s="103" t="s">
        <v>5823</v>
      </c>
      <c r="W178" s="103" t="s">
        <v>310</v>
      </c>
    </row>
    <row r="179" spans="1:23" x14ac:dyDescent="0.45">
      <c r="A179" s="103">
        <f t="shared" si="9"/>
        <v>178</v>
      </c>
      <c r="B179" s="103" t="s">
        <v>5935</v>
      </c>
      <c r="C179" s="103" t="s">
        <v>5936</v>
      </c>
      <c r="D179" s="103"/>
      <c r="E179" s="103" t="s">
        <v>100</v>
      </c>
      <c r="F179" s="103" t="s">
        <v>77</v>
      </c>
      <c r="G179" s="103" t="s">
        <v>71</v>
      </c>
      <c r="H179" s="103" t="s">
        <v>5952</v>
      </c>
      <c r="I179" s="103" t="s">
        <v>200</v>
      </c>
      <c r="J179" s="103" t="s">
        <v>164</v>
      </c>
      <c r="K179" s="103" t="s">
        <v>5942</v>
      </c>
      <c r="L179" s="103"/>
      <c r="M179" s="103"/>
      <c r="N179" s="103" t="s">
        <v>5935</v>
      </c>
      <c r="O179" s="103" t="s">
        <v>5581</v>
      </c>
      <c r="P179" s="103">
        <v>5</v>
      </c>
      <c r="Q179" s="103"/>
      <c r="R179" s="103"/>
      <c r="S179" s="103">
        <v>5</v>
      </c>
      <c r="T179" s="103">
        <v>665082</v>
      </c>
      <c r="U179" s="103" t="s">
        <v>5796</v>
      </c>
      <c r="V179" s="103" t="s">
        <v>5823</v>
      </c>
      <c r="W179" s="103" t="s">
        <v>310</v>
      </c>
    </row>
    <row r="180" spans="1:23" x14ac:dyDescent="0.45">
      <c r="A180" s="103">
        <f t="shared" si="9"/>
        <v>179</v>
      </c>
      <c r="B180" s="103" t="s">
        <v>5935</v>
      </c>
      <c r="C180" s="103" t="s">
        <v>5936</v>
      </c>
      <c r="D180" s="103"/>
      <c r="E180" s="103" t="s">
        <v>100</v>
      </c>
      <c r="F180" s="103" t="s">
        <v>77</v>
      </c>
      <c r="G180" s="103" t="s">
        <v>71</v>
      </c>
      <c r="H180" s="103" t="s">
        <v>5952</v>
      </c>
      <c r="I180" s="103" t="s">
        <v>200</v>
      </c>
      <c r="J180" s="103" t="s">
        <v>164</v>
      </c>
      <c r="K180" s="103" t="s">
        <v>5942</v>
      </c>
      <c r="L180" s="103"/>
      <c r="M180" s="103"/>
      <c r="N180" s="103" t="s">
        <v>5935</v>
      </c>
      <c r="O180" s="103" t="s">
        <v>5813</v>
      </c>
      <c r="P180" s="103" t="s">
        <v>5871</v>
      </c>
      <c r="Q180" s="103"/>
      <c r="R180" s="103"/>
      <c r="S180" s="103">
        <v>4</v>
      </c>
      <c r="T180" s="103">
        <v>665082</v>
      </c>
      <c r="U180" s="103" t="s">
        <v>5796</v>
      </c>
      <c r="V180" s="103" t="s">
        <v>5823</v>
      </c>
      <c r="W180" s="103" t="s">
        <v>310</v>
      </c>
    </row>
    <row r="181" spans="1:23" x14ac:dyDescent="0.45">
      <c r="A181" s="103">
        <f t="shared" si="9"/>
        <v>180</v>
      </c>
      <c r="B181" s="103" t="s">
        <v>5935</v>
      </c>
      <c r="C181" s="103" t="s">
        <v>5936</v>
      </c>
      <c r="D181" s="103"/>
      <c r="E181" s="103" t="s">
        <v>100</v>
      </c>
      <c r="F181" s="103" t="s">
        <v>77</v>
      </c>
      <c r="G181" s="103" t="s">
        <v>71</v>
      </c>
      <c r="H181" s="103" t="s">
        <v>5952</v>
      </c>
      <c r="I181" s="103" t="s">
        <v>200</v>
      </c>
      <c r="J181" s="103" t="s">
        <v>164</v>
      </c>
      <c r="K181" s="103" t="s">
        <v>5942</v>
      </c>
      <c r="L181" s="103"/>
      <c r="M181" s="103"/>
      <c r="N181" s="103" t="s">
        <v>5935</v>
      </c>
      <c r="O181" s="103" t="s">
        <v>5814</v>
      </c>
      <c r="P181" s="103">
        <v>0</v>
      </c>
      <c r="Q181" s="103"/>
      <c r="R181" s="103"/>
      <c r="S181" s="103">
        <v>0</v>
      </c>
      <c r="T181" s="103">
        <v>665082</v>
      </c>
      <c r="U181" s="103">
        <v>8.4</v>
      </c>
      <c r="V181" s="103" t="s">
        <v>5823</v>
      </c>
      <c r="W181" s="103" t="s">
        <v>310</v>
      </c>
    </row>
    <row r="182" spans="1:23" x14ac:dyDescent="0.45">
      <c r="A182" s="103">
        <f t="shared" si="9"/>
        <v>181</v>
      </c>
      <c r="B182" s="103" t="s">
        <v>5935</v>
      </c>
      <c r="C182" s="103" t="s">
        <v>5936</v>
      </c>
      <c r="D182" s="103"/>
      <c r="E182" s="103" t="s">
        <v>100</v>
      </c>
      <c r="F182" s="103" t="s">
        <v>77</v>
      </c>
      <c r="G182" s="103" t="s">
        <v>71</v>
      </c>
      <c r="H182" s="103" t="s">
        <v>5952</v>
      </c>
      <c r="I182" s="103" t="s">
        <v>132</v>
      </c>
      <c r="J182" s="103" t="s">
        <v>105</v>
      </c>
      <c r="K182" s="103" t="s">
        <v>5944</v>
      </c>
      <c r="L182" s="103"/>
      <c r="M182" s="103"/>
      <c r="N182" s="103" t="s">
        <v>5935</v>
      </c>
      <c r="O182" s="103" t="s">
        <v>5815</v>
      </c>
      <c r="P182" s="103" t="s">
        <v>5888</v>
      </c>
      <c r="Q182" s="103"/>
      <c r="R182" s="103"/>
      <c r="S182" s="103">
        <v>6</v>
      </c>
      <c r="T182" s="103">
        <v>665082</v>
      </c>
      <c r="U182" s="103">
        <v>8.4</v>
      </c>
      <c r="V182" s="103" t="s">
        <v>5823</v>
      </c>
      <c r="W182" s="103" t="s">
        <v>310</v>
      </c>
    </row>
    <row r="183" spans="1:23" x14ac:dyDescent="0.45">
      <c r="A183" s="103">
        <f t="shared" si="9"/>
        <v>182</v>
      </c>
      <c r="B183" s="103" t="s">
        <v>5935</v>
      </c>
      <c r="C183" s="103" t="s">
        <v>5936</v>
      </c>
      <c r="D183" s="103"/>
      <c r="E183" s="103" t="s">
        <v>100</v>
      </c>
      <c r="F183" s="103" t="s">
        <v>77</v>
      </c>
      <c r="G183" s="103" t="s">
        <v>71</v>
      </c>
      <c r="H183" s="103" t="s">
        <v>5952</v>
      </c>
      <c r="I183" s="103" t="s">
        <v>132</v>
      </c>
      <c r="J183" s="103" t="s">
        <v>105</v>
      </c>
      <c r="K183" s="103" t="s">
        <v>5944</v>
      </c>
      <c r="L183" s="103"/>
      <c r="M183" s="103"/>
      <c r="N183" s="103" t="s">
        <v>5935</v>
      </c>
      <c r="O183" s="103" t="s">
        <v>5816</v>
      </c>
      <c r="P183" s="103" t="s">
        <v>5800</v>
      </c>
      <c r="Q183" s="103"/>
      <c r="R183" s="103"/>
      <c r="S183" s="103">
        <v>6</v>
      </c>
      <c r="T183" s="103">
        <v>665082</v>
      </c>
      <c r="U183" s="103" t="s">
        <v>5796</v>
      </c>
      <c r="V183" s="103" t="s">
        <v>5823</v>
      </c>
      <c r="W183" s="103" t="s">
        <v>310</v>
      </c>
    </row>
    <row r="184" spans="1:23" x14ac:dyDescent="0.45">
      <c r="A184" s="103">
        <f t="shared" si="9"/>
        <v>183</v>
      </c>
      <c r="B184" s="103" t="s">
        <v>5935</v>
      </c>
      <c r="C184" s="103" t="s">
        <v>5936</v>
      </c>
      <c r="D184" s="103"/>
      <c r="E184" s="103" t="s">
        <v>100</v>
      </c>
      <c r="F184" s="103" t="s">
        <v>77</v>
      </c>
      <c r="G184" s="103" t="s">
        <v>71</v>
      </c>
      <c r="H184" s="103" t="s">
        <v>5952</v>
      </c>
      <c r="I184" s="103" t="s">
        <v>132</v>
      </c>
      <c r="J184" s="103" t="s">
        <v>105</v>
      </c>
      <c r="K184" s="103" t="s">
        <v>5944</v>
      </c>
      <c r="L184" s="103"/>
      <c r="M184" s="103"/>
      <c r="N184" s="103" t="s">
        <v>5935</v>
      </c>
      <c r="O184" s="103" t="s">
        <v>5817</v>
      </c>
      <c r="P184" s="103" t="s">
        <v>5946</v>
      </c>
      <c r="Q184" s="103"/>
      <c r="R184" s="103"/>
      <c r="S184" s="103" t="s">
        <v>5947</v>
      </c>
      <c r="T184" s="103">
        <v>665082</v>
      </c>
      <c r="U184" s="103" t="s">
        <v>5796</v>
      </c>
      <c r="V184" s="103" t="s">
        <v>5823</v>
      </c>
      <c r="W184" s="103" t="s">
        <v>310</v>
      </c>
    </row>
    <row r="185" spans="1:23" x14ac:dyDescent="0.45">
      <c r="A185" s="103">
        <f t="shared" si="9"/>
        <v>184</v>
      </c>
      <c r="B185" s="103" t="s">
        <v>5935</v>
      </c>
      <c r="C185" s="103" t="s">
        <v>5936</v>
      </c>
      <c r="D185" s="103"/>
      <c r="E185" s="103" t="s">
        <v>100</v>
      </c>
      <c r="F185" s="103" t="s">
        <v>77</v>
      </c>
      <c r="G185" s="103" t="s">
        <v>71</v>
      </c>
      <c r="H185" s="103" t="s">
        <v>5952</v>
      </c>
      <c r="I185" s="103" t="s">
        <v>132</v>
      </c>
      <c r="J185" s="103" t="s">
        <v>105</v>
      </c>
      <c r="K185" s="103" t="s">
        <v>5944</v>
      </c>
      <c r="L185" s="103"/>
      <c r="M185" s="103"/>
      <c r="N185" s="103" t="s">
        <v>5935</v>
      </c>
      <c r="O185" s="103" t="s">
        <v>5815</v>
      </c>
      <c r="P185" s="103">
        <v>5</v>
      </c>
      <c r="Q185" s="103"/>
      <c r="R185" s="103"/>
      <c r="S185" s="103" t="s">
        <v>5903</v>
      </c>
      <c r="T185" s="103">
        <v>665082</v>
      </c>
      <c r="U185" s="103">
        <v>8.3000000000000007</v>
      </c>
      <c r="V185" s="103" t="s">
        <v>5823</v>
      </c>
      <c r="W185" s="103" t="s">
        <v>310</v>
      </c>
    </row>
    <row r="186" spans="1:23" x14ac:dyDescent="0.45">
      <c r="A186" s="103">
        <f t="shared" si="9"/>
        <v>185</v>
      </c>
      <c r="B186" s="103" t="s">
        <v>5935</v>
      </c>
      <c r="C186" s="103" t="s">
        <v>5936</v>
      </c>
      <c r="D186" s="103"/>
      <c r="E186" s="103" t="s">
        <v>100</v>
      </c>
      <c r="F186" s="103" t="s">
        <v>77</v>
      </c>
      <c r="G186" s="103" t="s">
        <v>71</v>
      </c>
      <c r="H186" s="103" t="s">
        <v>5952</v>
      </c>
      <c r="I186" s="103" t="s">
        <v>132</v>
      </c>
      <c r="J186" s="103" t="s">
        <v>164</v>
      </c>
      <c r="K186" s="103" t="s">
        <v>5945</v>
      </c>
      <c r="L186" s="103"/>
      <c r="M186" s="103"/>
      <c r="N186" s="103" t="s">
        <v>5935</v>
      </c>
      <c r="O186" s="103" t="s">
        <v>5819</v>
      </c>
      <c r="P186" s="103" t="s">
        <v>5871</v>
      </c>
      <c r="Q186" s="103"/>
      <c r="R186" s="103"/>
      <c r="S186" s="103" t="s">
        <v>5795</v>
      </c>
      <c r="T186" s="103">
        <v>665082</v>
      </c>
      <c r="U186" s="103">
        <v>8.5</v>
      </c>
      <c r="V186" s="103" t="s">
        <v>5823</v>
      </c>
      <c r="W186" s="103" t="s">
        <v>310</v>
      </c>
    </row>
    <row r="187" spans="1:23" x14ac:dyDescent="0.45">
      <c r="A187" s="103">
        <f t="shared" si="9"/>
        <v>186</v>
      </c>
      <c r="B187" s="103" t="s">
        <v>5935</v>
      </c>
      <c r="C187" s="103" t="s">
        <v>5936</v>
      </c>
      <c r="D187" s="103"/>
      <c r="E187" s="103" t="s">
        <v>100</v>
      </c>
      <c r="F187" s="103" t="s">
        <v>77</v>
      </c>
      <c r="G187" s="103" t="s">
        <v>71</v>
      </c>
      <c r="H187" s="103" t="s">
        <v>5952</v>
      </c>
      <c r="I187" s="103" t="s">
        <v>132</v>
      </c>
      <c r="J187" s="103" t="s">
        <v>164</v>
      </c>
      <c r="K187" s="103" t="s">
        <v>5945</v>
      </c>
      <c r="L187" s="103"/>
      <c r="M187" s="103"/>
      <c r="N187" s="103" t="s">
        <v>5935</v>
      </c>
      <c r="O187" s="103" t="s">
        <v>5820</v>
      </c>
      <c r="P187" s="103" t="s">
        <v>5948</v>
      </c>
      <c r="Q187" s="103"/>
      <c r="R187" s="103"/>
      <c r="S187" s="103">
        <v>3</v>
      </c>
      <c r="T187" s="103">
        <v>665082</v>
      </c>
      <c r="U187" s="103" t="s">
        <v>5796</v>
      </c>
      <c r="V187" s="103" t="s">
        <v>5823</v>
      </c>
      <c r="W187" s="103" t="s">
        <v>310</v>
      </c>
    </row>
    <row r="188" spans="1:23" x14ac:dyDescent="0.45">
      <c r="A188" s="103">
        <f t="shared" si="9"/>
        <v>187</v>
      </c>
      <c r="B188" s="103" t="s">
        <v>5935</v>
      </c>
      <c r="C188" s="103" t="s">
        <v>5936</v>
      </c>
      <c r="D188" s="103"/>
      <c r="E188" s="103" t="s">
        <v>100</v>
      </c>
      <c r="F188" s="103" t="s">
        <v>77</v>
      </c>
      <c r="G188" s="103" t="s">
        <v>71</v>
      </c>
      <c r="H188" s="103" t="s">
        <v>5952</v>
      </c>
      <c r="I188" s="103" t="s">
        <v>132</v>
      </c>
      <c r="J188" s="103" t="s">
        <v>164</v>
      </c>
      <c r="K188" s="103" t="s">
        <v>5945</v>
      </c>
      <c r="L188" s="103"/>
      <c r="M188" s="103"/>
      <c r="N188" s="103" t="s">
        <v>5935</v>
      </c>
      <c r="O188" s="103" t="s">
        <v>5821</v>
      </c>
      <c r="P188" s="103" t="s">
        <v>5871</v>
      </c>
      <c r="Q188" s="103"/>
      <c r="R188" s="103"/>
      <c r="S188" s="103">
        <v>4</v>
      </c>
      <c r="T188" s="103">
        <v>665082</v>
      </c>
      <c r="U188" s="103" t="s">
        <v>5796</v>
      </c>
      <c r="V188" s="103" t="s">
        <v>5823</v>
      </c>
      <c r="W188" s="103" t="s">
        <v>310</v>
      </c>
    </row>
    <row r="189" spans="1:23" x14ac:dyDescent="0.45">
      <c r="A189" s="103">
        <f t="shared" si="9"/>
        <v>188</v>
      </c>
      <c r="B189" s="103" t="s">
        <v>5935</v>
      </c>
      <c r="C189" s="103" t="s">
        <v>5936</v>
      </c>
      <c r="D189" s="103"/>
      <c r="E189" s="103" t="s">
        <v>100</v>
      </c>
      <c r="F189" s="103" t="s">
        <v>77</v>
      </c>
      <c r="G189" s="103" t="s">
        <v>71</v>
      </c>
      <c r="H189" s="103" t="s">
        <v>5952</v>
      </c>
      <c r="I189" s="103" t="s">
        <v>132</v>
      </c>
      <c r="J189" s="103" t="s">
        <v>164</v>
      </c>
      <c r="K189" s="103" t="s">
        <v>5945</v>
      </c>
      <c r="L189" s="103"/>
      <c r="M189" s="103"/>
      <c r="N189" s="103" t="s">
        <v>5935</v>
      </c>
      <c r="O189" s="103" t="s">
        <v>5822</v>
      </c>
      <c r="P189" s="103">
        <v>3</v>
      </c>
      <c r="Q189" s="103"/>
      <c r="R189" s="103"/>
      <c r="S189" s="103">
        <v>3</v>
      </c>
      <c r="T189" s="103">
        <v>665082</v>
      </c>
      <c r="U189" s="103">
        <v>8.3000000000000007</v>
      </c>
      <c r="V189" s="103" t="s">
        <v>5823</v>
      </c>
      <c r="W189" s="103" t="s">
        <v>310</v>
      </c>
    </row>
    <row r="190" spans="1:23" x14ac:dyDescent="0.45">
      <c r="A190" s="103">
        <f t="shared" ref="A190:A204" si="10">ROW()-1</f>
        <v>189</v>
      </c>
      <c r="B190" s="103" t="s">
        <v>5957</v>
      </c>
      <c r="C190" s="103" t="s">
        <v>5936</v>
      </c>
      <c r="D190" s="103"/>
      <c r="E190" s="103" t="s">
        <v>100</v>
      </c>
      <c r="F190" s="103" t="s">
        <v>77</v>
      </c>
      <c r="G190" s="103" t="s">
        <v>71</v>
      </c>
      <c r="H190" s="103" t="s">
        <v>5952</v>
      </c>
      <c r="I190" s="103" t="s">
        <v>185</v>
      </c>
      <c r="J190" s="103" t="s">
        <v>280</v>
      </c>
      <c r="K190" s="103" t="s">
        <v>5953</v>
      </c>
      <c r="L190" s="103" t="s">
        <v>5955</v>
      </c>
      <c r="M190" s="103"/>
      <c r="N190" s="103" t="s">
        <v>5957</v>
      </c>
      <c r="O190" s="103" t="s">
        <v>47</v>
      </c>
      <c r="P190" s="103" t="s">
        <v>5954</v>
      </c>
      <c r="Q190" s="103"/>
      <c r="R190" s="103"/>
      <c r="S190" s="103" t="s">
        <v>5954</v>
      </c>
      <c r="T190" s="103">
        <v>666535</v>
      </c>
      <c r="U190" s="103">
        <v>9</v>
      </c>
      <c r="V190" s="103" t="s">
        <v>65</v>
      </c>
      <c r="W190" s="103" t="s">
        <v>310</v>
      </c>
    </row>
    <row r="191" spans="1:23" x14ac:dyDescent="0.45">
      <c r="A191" s="103">
        <f t="shared" si="10"/>
        <v>190</v>
      </c>
      <c r="B191" s="103" t="s">
        <v>5957</v>
      </c>
      <c r="C191" s="103" t="s">
        <v>5936</v>
      </c>
      <c r="D191" s="103"/>
      <c r="E191" s="103" t="s">
        <v>100</v>
      </c>
      <c r="F191" s="103" t="s">
        <v>77</v>
      </c>
      <c r="G191" s="103" t="s">
        <v>71</v>
      </c>
      <c r="H191" s="103" t="s">
        <v>5952</v>
      </c>
      <c r="I191" s="103" t="s">
        <v>185</v>
      </c>
      <c r="J191" s="103" t="s">
        <v>280</v>
      </c>
      <c r="K191" s="103" t="s">
        <v>5953</v>
      </c>
      <c r="L191" s="103" t="s">
        <v>5956</v>
      </c>
      <c r="M191" s="103"/>
      <c r="N191" s="103" t="s">
        <v>5957</v>
      </c>
      <c r="O191" s="103" t="s">
        <v>5580</v>
      </c>
      <c r="P191" s="103" t="s">
        <v>5954</v>
      </c>
      <c r="Q191" s="103"/>
      <c r="R191" s="103"/>
      <c r="S191" s="103" t="s">
        <v>5954</v>
      </c>
      <c r="T191" s="103">
        <v>666535</v>
      </c>
      <c r="U191" s="103">
        <v>9</v>
      </c>
      <c r="V191" s="103" t="s">
        <v>65</v>
      </c>
      <c r="W191" s="103" t="s">
        <v>310</v>
      </c>
    </row>
    <row r="192" spans="1:23" x14ac:dyDescent="0.45">
      <c r="A192" s="103">
        <f t="shared" si="10"/>
        <v>191</v>
      </c>
      <c r="B192" s="103" t="s">
        <v>5957</v>
      </c>
      <c r="C192" s="103" t="s">
        <v>5936</v>
      </c>
      <c r="D192" s="103"/>
      <c r="E192" s="103" t="s">
        <v>100</v>
      </c>
      <c r="F192" s="103" t="s">
        <v>77</v>
      </c>
      <c r="G192" s="103" t="s">
        <v>71</v>
      </c>
      <c r="H192" s="103" t="s">
        <v>5952</v>
      </c>
      <c r="I192" s="103" t="s">
        <v>200</v>
      </c>
      <c r="J192" s="103" t="s">
        <v>154</v>
      </c>
      <c r="K192" s="103" t="s">
        <v>5949</v>
      </c>
      <c r="L192" s="103"/>
      <c r="M192" s="103"/>
      <c r="N192" s="103" t="s">
        <v>5957</v>
      </c>
      <c r="O192" s="103" t="s">
        <v>5812</v>
      </c>
      <c r="P192" s="103" t="s">
        <v>5835</v>
      </c>
      <c r="Q192" s="103"/>
      <c r="R192" s="103"/>
      <c r="S192" s="103" t="s">
        <v>5835</v>
      </c>
      <c r="T192" s="103">
        <v>666535</v>
      </c>
      <c r="U192" s="103">
        <v>9</v>
      </c>
      <c r="V192" s="103" t="s">
        <v>65</v>
      </c>
      <c r="W192" s="103" t="s">
        <v>310</v>
      </c>
    </row>
    <row r="193" spans="1:23" x14ac:dyDescent="0.45">
      <c r="A193" s="103">
        <f t="shared" si="10"/>
        <v>192</v>
      </c>
      <c r="B193" s="103" t="s">
        <v>5957</v>
      </c>
      <c r="C193" s="103" t="s">
        <v>5936</v>
      </c>
      <c r="D193" s="103"/>
      <c r="E193" s="103" t="s">
        <v>100</v>
      </c>
      <c r="F193" s="103" t="s">
        <v>77</v>
      </c>
      <c r="G193" s="103" t="s">
        <v>71</v>
      </c>
      <c r="H193" s="103" t="s">
        <v>5952</v>
      </c>
      <c r="I193" s="103"/>
      <c r="J193" s="103" t="s">
        <v>154</v>
      </c>
      <c r="K193" s="103" t="s">
        <v>5949</v>
      </c>
      <c r="L193" s="103"/>
      <c r="M193" s="103"/>
      <c r="N193" s="103" t="s">
        <v>5957</v>
      </c>
      <c r="O193" s="103" t="s">
        <v>5581</v>
      </c>
      <c r="P193" s="103" t="s">
        <v>5835</v>
      </c>
      <c r="Q193" s="103"/>
      <c r="R193" s="103"/>
      <c r="S193" s="103" t="s">
        <v>5835</v>
      </c>
      <c r="T193" s="103">
        <v>666535</v>
      </c>
      <c r="U193" s="103">
        <v>9</v>
      </c>
      <c r="V193" s="103" t="s">
        <v>65</v>
      </c>
      <c r="W193" s="103" t="s">
        <v>310</v>
      </c>
    </row>
    <row r="194" spans="1:23" x14ac:dyDescent="0.45">
      <c r="A194" s="103">
        <f t="shared" si="10"/>
        <v>193</v>
      </c>
      <c r="B194" s="103" t="s">
        <v>5957</v>
      </c>
      <c r="C194" s="103" t="s">
        <v>5936</v>
      </c>
      <c r="D194" s="103"/>
      <c r="E194" s="103" t="s">
        <v>100</v>
      </c>
      <c r="F194" s="103" t="s">
        <v>77</v>
      </c>
      <c r="G194" s="103" t="s">
        <v>71</v>
      </c>
      <c r="H194" s="103" t="s">
        <v>5952</v>
      </c>
      <c r="I194" s="103" t="s">
        <v>200</v>
      </c>
      <c r="J194" s="103" t="s">
        <v>154</v>
      </c>
      <c r="K194" s="103" t="s">
        <v>5949</v>
      </c>
      <c r="L194" s="103"/>
      <c r="M194" s="103"/>
      <c r="N194" s="103" t="s">
        <v>5957</v>
      </c>
      <c r="O194" s="103" t="s">
        <v>5813</v>
      </c>
      <c r="P194" s="103" t="s">
        <v>5835</v>
      </c>
      <c r="Q194" s="103"/>
      <c r="R194" s="103"/>
      <c r="S194" s="103" t="s">
        <v>5835</v>
      </c>
      <c r="T194" s="103">
        <v>666535</v>
      </c>
      <c r="U194" s="103">
        <v>9</v>
      </c>
      <c r="V194" s="103" t="s">
        <v>65</v>
      </c>
      <c r="W194" s="103" t="s">
        <v>310</v>
      </c>
    </row>
    <row r="195" spans="1:23" x14ac:dyDescent="0.45">
      <c r="A195" s="103">
        <f t="shared" si="10"/>
        <v>194</v>
      </c>
      <c r="B195" s="103" t="s">
        <v>5957</v>
      </c>
      <c r="C195" s="103" t="s">
        <v>5936</v>
      </c>
      <c r="D195" s="103"/>
      <c r="E195" s="103" t="s">
        <v>100</v>
      </c>
      <c r="F195" s="103" t="s">
        <v>77</v>
      </c>
      <c r="G195" s="103" t="s">
        <v>71</v>
      </c>
      <c r="H195" s="103" t="s">
        <v>5952</v>
      </c>
      <c r="I195" s="103" t="s">
        <v>200</v>
      </c>
      <c r="J195" s="103" t="s">
        <v>154</v>
      </c>
      <c r="K195" s="103" t="s">
        <v>5949</v>
      </c>
      <c r="L195" s="103"/>
      <c r="M195" s="103"/>
      <c r="N195" s="103"/>
      <c r="O195" s="103" t="s">
        <v>5814</v>
      </c>
      <c r="P195" s="103" t="s">
        <v>5835</v>
      </c>
      <c r="Q195" s="103"/>
      <c r="R195" s="103"/>
      <c r="S195" s="103" t="s">
        <v>5835</v>
      </c>
      <c r="T195" s="103">
        <v>666535</v>
      </c>
      <c r="U195" s="103">
        <v>9</v>
      </c>
      <c r="V195" s="103" t="s">
        <v>65</v>
      </c>
      <c r="W195" s="103" t="s">
        <v>310</v>
      </c>
    </row>
    <row r="196" spans="1:23" x14ac:dyDescent="0.45">
      <c r="A196" s="103">
        <f t="shared" si="10"/>
        <v>195</v>
      </c>
      <c r="B196" s="103" t="s">
        <v>5957</v>
      </c>
      <c r="C196" s="103" t="s">
        <v>5936</v>
      </c>
      <c r="D196" s="103"/>
      <c r="E196" s="103" t="s">
        <v>100</v>
      </c>
      <c r="F196" s="103" t="s">
        <v>77</v>
      </c>
      <c r="G196" s="103" t="s">
        <v>71</v>
      </c>
      <c r="H196" s="103" t="s">
        <v>5952</v>
      </c>
      <c r="I196" s="103" t="s">
        <v>5951</v>
      </c>
      <c r="J196" s="103" t="s">
        <v>178</v>
      </c>
      <c r="K196" s="103" t="s">
        <v>5950</v>
      </c>
      <c r="L196" s="103"/>
      <c r="M196" s="103"/>
      <c r="N196" s="103" t="s">
        <v>5957</v>
      </c>
      <c r="O196" s="103" t="s">
        <v>5816</v>
      </c>
      <c r="P196" s="103" t="s">
        <v>5831</v>
      </c>
      <c r="Q196" s="103"/>
      <c r="R196" s="103"/>
      <c r="S196" s="103" t="s">
        <v>5831</v>
      </c>
      <c r="T196" s="103">
        <v>666535</v>
      </c>
      <c r="U196" s="103">
        <v>9</v>
      </c>
      <c r="V196" s="103" t="s">
        <v>65</v>
      </c>
      <c r="W196" s="103" t="s">
        <v>310</v>
      </c>
    </row>
    <row r="197" spans="1:23" x14ac:dyDescent="0.45">
      <c r="A197" s="103">
        <f t="shared" si="10"/>
        <v>196</v>
      </c>
      <c r="B197" s="103" t="s">
        <v>5957</v>
      </c>
      <c r="C197" s="103" t="s">
        <v>5936</v>
      </c>
      <c r="D197" s="103"/>
      <c r="E197" s="103" t="s">
        <v>100</v>
      </c>
      <c r="F197" s="103" t="s">
        <v>77</v>
      </c>
      <c r="G197" s="103" t="s">
        <v>71</v>
      </c>
      <c r="H197" s="103" t="s">
        <v>5952</v>
      </c>
      <c r="I197" s="103" t="s">
        <v>5951</v>
      </c>
      <c r="J197" s="103" t="s">
        <v>178</v>
      </c>
      <c r="K197" s="103" t="s">
        <v>5950</v>
      </c>
      <c r="L197" s="103"/>
      <c r="M197" s="103"/>
      <c r="N197" s="103" t="s">
        <v>5957</v>
      </c>
      <c r="O197" s="103" t="s">
        <v>5817</v>
      </c>
      <c r="P197" s="103" t="s">
        <v>5831</v>
      </c>
      <c r="Q197" s="103"/>
      <c r="R197" s="103"/>
      <c r="S197" s="103" t="s">
        <v>5831</v>
      </c>
      <c r="T197" s="103">
        <v>666535</v>
      </c>
      <c r="U197" s="103">
        <v>9</v>
      </c>
      <c r="V197" s="103" t="s">
        <v>65</v>
      </c>
      <c r="W197" s="103" t="s">
        <v>310</v>
      </c>
    </row>
    <row r="198" spans="1:23" x14ac:dyDescent="0.45">
      <c r="A198" s="103">
        <f t="shared" si="10"/>
        <v>197</v>
      </c>
      <c r="B198" s="103" t="s">
        <v>5957</v>
      </c>
      <c r="C198" s="103" t="s">
        <v>5936</v>
      </c>
      <c r="D198" s="103"/>
      <c r="E198" s="103" t="s">
        <v>100</v>
      </c>
      <c r="F198" s="103" t="s">
        <v>77</v>
      </c>
      <c r="G198" s="103" t="s">
        <v>71</v>
      </c>
      <c r="H198" s="103" t="s">
        <v>5952</v>
      </c>
      <c r="I198" s="103" t="s">
        <v>5951</v>
      </c>
      <c r="J198" s="103" t="s">
        <v>178</v>
      </c>
      <c r="K198" s="103" t="s">
        <v>5950</v>
      </c>
      <c r="L198" s="103"/>
      <c r="M198" s="103"/>
      <c r="N198" s="103" t="s">
        <v>5957</v>
      </c>
      <c r="O198" s="103" t="s">
        <v>5818</v>
      </c>
      <c r="P198" s="103" t="s">
        <v>5831</v>
      </c>
      <c r="Q198" s="103"/>
      <c r="R198" s="103"/>
      <c r="S198" s="103" t="s">
        <v>5831</v>
      </c>
      <c r="T198" s="103">
        <v>666535</v>
      </c>
      <c r="U198" s="103">
        <v>9</v>
      </c>
      <c r="V198" s="103" t="s">
        <v>65</v>
      </c>
      <c r="W198" s="103" t="s">
        <v>310</v>
      </c>
    </row>
    <row r="199" spans="1:23" x14ac:dyDescent="0.45">
      <c r="A199" s="103">
        <f t="shared" si="10"/>
        <v>198</v>
      </c>
      <c r="B199" s="103" t="s">
        <v>5957</v>
      </c>
      <c r="C199" s="103" t="s">
        <v>5936</v>
      </c>
      <c r="D199" s="103"/>
      <c r="E199" s="103" t="s">
        <v>100</v>
      </c>
      <c r="F199" s="103" t="s">
        <v>77</v>
      </c>
      <c r="G199" s="103" t="s">
        <v>71</v>
      </c>
      <c r="H199" s="103" t="s">
        <v>5952</v>
      </c>
      <c r="I199" s="103" t="s">
        <v>5951</v>
      </c>
      <c r="J199" s="103" t="s">
        <v>178</v>
      </c>
      <c r="K199" s="103" t="s">
        <v>5950</v>
      </c>
      <c r="L199" s="103"/>
      <c r="M199" s="103"/>
      <c r="N199" s="103" t="s">
        <v>5957</v>
      </c>
      <c r="O199" s="103" t="s">
        <v>5819</v>
      </c>
      <c r="P199" s="103" t="s">
        <v>5831</v>
      </c>
      <c r="Q199" s="103"/>
      <c r="R199" s="103"/>
      <c r="S199" s="103" t="s">
        <v>5831</v>
      </c>
      <c r="T199" s="103">
        <v>666535</v>
      </c>
      <c r="U199" s="103">
        <v>9</v>
      </c>
      <c r="V199" s="103" t="s">
        <v>65</v>
      </c>
      <c r="W199" s="103" t="s">
        <v>310</v>
      </c>
    </row>
    <row r="200" spans="1:23" x14ac:dyDescent="0.45">
      <c r="A200" s="103">
        <f t="shared" si="10"/>
        <v>199</v>
      </c>
      <c r="B200" s="103" t="s">
        <v>5957</v>
      </c>
      <c r="C200" s="103" t="s">
        <v>5936</v>
      </c>
      <c r="D200" s="103"/>
      <c r="E200" s="103" t="s">
        <v>100</v>
      </c>
      <c r="F200" s="103" t="s">
        <v>77</v>
      </c>
      <c r="G200" s="103" t="s">
        <v>71</v>
      </c>
      <c r="H200" s="103" t="s">
        <v>5952</v>
      </c>
      <c r="I200" s="103" t="s">
        <v>5951</v>
      </c>
      <c r="J200" s="103" t="s">
        <v>178</v>
      </c>
      <c r="K200" s="103" t="s">
        <v>5950</v>
      </c>
      <c r="L200" s="103"/>
      <c r="M200" s="103"/>
      <c r="N200" s="103" t="s">
        <v>5957</v>
      </c>
      <c r="O200" s="103" t="s">
        <v>5820</v>
      </c>
      <c r="P200" s="103" t="s">
        <v>5831</v>
      </c>
      <c r="Q200" s="103"/>
      <c r="R200" s="103"/>
      <c r="S200" s="103" t="s">
        <v>5831</v>
      </c>
      <c r="T200" s="103">
        <v>666535</v>
      </c>
      <c r="U200" s="103">
        <v>9</v>
      </c>
      <c r="V200" s="103" t="s">
        <v>65</v>
      </c>
      <c r="W200" s="103" t="s">
        <v>310</v>
      </c>
    </row>
    <row r="201" spans="1:23" x14ac:dyDescent="0.45">
      <c r="A201" s="103">
        <f t="shared" si="10"/>
        <v>200</v>
      </c>
      <c r="B201" s="103" t="s">
        <v>5957</v>
      </c>
      <c r="C201" s="103" t="s">
        <v>5936</v>
      </c>
      <c r="D201" s="103"/>
      <c r="E201" s="103" t="s">
        <v>100</v>
      </c>
      <c r="F201" s="103" t="s">
        <v>77</v>
      </c>
      <c r="G201" s="103" t="s">
        <v>71</v>
      </c>
      <c r="H201" s="103" t="s">
        <v>5952</v>
      </c>
      <c r="I201" s="103" t="s">
        <v>5951</v>
      </c>
      <c r="J201" s="103" t="s">
        <v>178</v>
      </c>
      <c r="K201" s="103" t="s">
        <v>5950</v>
      </c>
      <c r="L201" s="103"/>
      <c r="M201" s="103"/>
      <c r="N201" s="103" t="s">
        <v>5957</v>
      </c>
      <c r="O201" s="103" t="s">
        <v>5821</v>
      </c>
      <c r="P201" s="103" t="s">
        <v>5831</v>
      </c>
      <c r="Q201" s="103"/>
      <c r="R201" s="103"/>
      <c r="S201" s="103" t="s">
        <v>5831</v>
      </c>
      <c r="T201" s="103">
        <v>666535</v>
      </c>
      <c r="U201" s="103">
        <v>9</v>
      </c>
      <c r="V201" s="103" t="s">
        <v>65</v>
      </c>
      <c r="W201" s="103" t="s">
        <v>310</v>
      </c>
    </row>
    <row r="202" spans="1:23" x14ac:dyDescent="0.45">
      <c r="A202" s="103">
        <f t="shared" si="10"/>
        <v>201</v>
      </c>
      <c r="B202" s="103" t="s">
        <v>5957</v>
      </c>
      <c r="C202" s="103" t="s">
        <v>5936</v>
      </c>
      <c r="D202" s="103"/>
      <c r="E202" s="103" t="s">
        <v>100</v>
      </c>
      <c r="F202" s="103" t="s">
        <v>77</v>
      </c>
      <c r="G202" s="103" t="s">
        <v>71</v>
      </c>
      <c r="H202" s="103" t="s">
        <v>5952</v>
      </c>
      <c r="I202" s="103" t="s">
        <v>5951</v>
      </c>
      <c r="J202" s="103" t="s">
        <v>178</v>
      </c>
      <c r="K202" s="103" t="s">
        <v>5950</v>
      </c>
      <c r="L202" s="103"/>
      <c r="M202" s="103"/>
      <c r="N202" s="103" t="s">
        <v>5957</v>
      </c>
      <c r="O202" s="103" t="s">
        <v>5822</v>
      </c>
      <c r="P202" s="103" t="s">
        <v>5831</v>
      </c>
      <c r="Q202" s="103"/>
      <c r="R202" s="103"/>
      <c r="S202" s="103" t="s">
        <v>5831</v>
      </c>
      <c r="T202" s="103">
        <v>666535</v>
      </c>
      <c r="U202" s="103">
        <v>9</v>
      </c>
      <c r="V202" s="103" t="s">
        <v>65</v>
      </c>
      <c r="W202" s="103" t="s">
        <v>310</v>
      </c>
    </row>
    <row r="203" spans="1:23" x14ac:dyDescent="0.45">
      <c r="A203" s="103">
        <f t="shared" si="10"/>
        <v>202</v>
      </c>
      <c r="B203" s="103" t="s">
        <v>5957</v>
      </c>
      <c r="C203" s="103" t="s">
        <v>5936</v>
      </c>
      <c r="D203" s="103"/>
      <c r="E203" s="103" t="s">
        <v>100</v>
      </c>
      <c r="F203" s="103" t="s">
        <v>77</v>
      </c>
      <c r="G203" s="103" t="s">
        <v>71</v>
      </c>
      <c r="H203" s="103" t="s">
        <v>5952</v>
      </c>
      <c r="I203" s="103"/>
      <c r="J203" s="103"/>
      <c r="K203" s="103"/>
      <c r="L203" s="103"/>
      <c r="M203" s="103"/>
      <c r="N203" s="103" t="s">
        <v>5957</v>
      </c>
      <c r="O203" s="103" t="s">
        <v>5858</v>
      </c>
      <c r="P203" s="103"/>
      <c r="Q203" s="103"/>
      <c r="R203" s="103"/>
      <c r="S203" s="103"/>
      <c r="T203" s="103">
        <v>666535</v>
      </c>
      <c r="U203" s="103"/>
      <c r="V203" s="103" t="s">
        <v>65</v>
      </c>
      <c r="W203" s="103" t="s">
        <v>310</v>
      </c>
    </row>
    <row r="204" spans="1:23" x14ac:dyDescent="0.45">
      <c r="A204" s="103">
        <f t="shared" si="10"/>
        <v>203</v>
      </c>
      <c r="B204" s="103" t="s">
        <v>5957</v>
      </c>
      <c r="C204" s="103" t="s">
        <v>5936</v>
      </c>
      <c r="D204" s="103"/>
      <c r="E204" s="103" t="s">
        <v>100</v>
      </c>
      <c r="F204" s="103" t="s">
        <v>77</v>
      </c>
      <c r="G204" s="103" t="s">
        <v>71</v>
      </c>
      <c r="H204" s="103" t="s">
        <v>5952</v>
      </c>
      <c r="I204" s="103"/>
      <c r="J204" s="103"/>
      <c r="K204" s="103"/>
      <c r="L204" s="103"/>
      <c r="M204" s="103"/>
      <c r="N204" s="103" t="s">
        <v>5957</v>
      </c>
      <c r="O204" s="103" t="s">
        <v>5859</v>
      </c>
      <c r="P204" s="103"/>
      <c r="Q204" s="103"/>
      <c r="R204" s="103"/>
      <c r="S204" s="103"/>
      <c r="T204" s="103">
        <v>666535</v>
      </c>
      <c r="U204" s="103"/>
      <c r="V204" s="103" t="s">
        <v>65</v>
      </c>
      <c r="W204" s="103" t="s">
        <v>310</v>
      </c>
    </row>
    <row r="205" spans="1:23" x14ac:dyDescent="0.45">
      <c r="A205" s="103">
        <f t="shared" ref="A205:A232" si="11">ROW()-1</f>
        <v>204</v>
      </c>
      <c r="B205" s="103" t="s">
        <v>5957</v>
      </c>
      <c r="C205" s="103" t="s">
        <v>3474</v>
      </c>
      <c r="D205" s="103" t="s">
        <v>330</v>
      </c>
      <c r="E205" s="103" t="s">
        <v>100</v>
      </c>
      <c r="F205" s="103" t="s">
        <v>77</v>
      </c>
      <c r="G205" s="103" t="s">
        <v>88</v>
      </c>
      <c r="H205" s="103" t="s">
        <v>5973</v>
      </c>
      <c r="I205" s="103" t="s">
        <v>143</v>
      </c>
      <c r="J205" s="103" t="s">
        <v>122</v>
      </c>
      <c r="K205" s="103" t="s">
        <v>5788</v>
      </c>
      <c r="L205" s="103" t="s">
        <v>5970</v>
      </c>
      <c r="M205" s="103"/>
      <c r="N205" s="103" t="s">
        <v>5957</v>
      </c>
      <c r="O205" s="103" t="s">
        <v>47</v>
      </c>
      <c r="P205" s="103">
        <v>15</v>
      </c>
      <c r="Q205" s="103"/>
      <c r="R205" s="103"/>
      <c r="S205" s="103">
        <v>15</v>
      </c>
      <c r="T205" s="103">
        <v>290053</v>
      </c>
      <c r="U205" s="103">
        <v>8.5</v>
      </c>
      <c r="V205" s="103" t="s">
        <v>65</v>
      </c>
      <c r="W205" s="103" t="s">
        <v>310</v>
      </c>
    </row>
    <row r="206" spans="1:23" x14ac:dyDescent="0.45">
      <c r="A206" s="103">
        <f t="shared" si="11"/>
        <v>205</v>
      </c>
      <c r="B206" s="103" t="s">
        <v>5957</v>
      </c>
      <c r="C206" s="103" t="s">
        <v>3474</v>
      </c>
      <c r="D206" s="103" t="s">
        <v>330</v>
      </c>
      <c r="E206" s="103" t="s">
        <v>100</v>
      </c>
      <c r="F206" s="103" t="s">
        <v>77</v>
      </c>
      <c r="G206" s="103" t="s">
        <v>88</v>
      </c>
      <c r="H206" s="103" t="s">
        <v>5973</v>
      </c>
      <c r="I206" s="103" t="s">
        <v>143</v>
      </c>
      <c r="J206" s="103" t="s">
        <v>122</v>
      </c>
      <c r="K206" s="103" t="s">
        <v>5788</v>
      </c>
      <c r="L206" s="103" t="s">
        <v>5971</v>
      </c>
      <c r="M206" s="103"/>
      <c r="N206" s="103" t="s">
        <v>5957</v>
      </c>
      <c r="O206" s="103" t="s">
        <v>5580</v>
      </c>
      <c r="P206" s="103">
        <v>15</v>
      </c>
      <c r="Q206" s="103"/>
      <c r="R206" s="103"/>
      <c r="S206" s="103">
        <v>15</v>
      </c>
      <c r="T206" s="103">
        <v>290053</v>
      </c>
      <c r="U206" s="103">
        <v>8.5</v>
      </c>
      <c r="V206" s="103" t="s">
        <v>65</v>
      </c>
      <c r="W206" s="103" t="s">
        <v>310</v>
      </c>
    </row>
    <row r="207" spans="1:23" x14ac:dyDescent="0.45">
      <c r="A207" s="103">
        <f t="shared" si="11"/>
        <v>206</v>
      </c>
      <c r="B207" s="103" t="s">
        <v>5957</v>
      </c>
      <c r="C207" s="103" t="s">
        <v>3474</v>
      </c>
      <c r="D207" s="103" t="s">
        <v>330</v>
      </c>
      <c r="E207" s="103" t="s">
        <v>100</v>
      </c>
      <c r="F207" s="103" t="s">
        <v>77</v>
      </c>
      <c r="G207" s="103" t="s">
        <v>88</v>
      </c>
      <c r="H207" s="103" t="s">
        <v>5973</v>
      </c>
      <c r="I207" s="103" t="s">
        <v>143</v>
      </c>
      <c r="J207" s="103" t="s">
        <v>122</v>
      </c>
      <c r="K207" s="103" t="s">
        <v>189</v>
      </c>
      <c r="L207" s="103"/>
      <c r="M207" s="103"/>
      <c r="N207" s="103" t="s">
        <v>5957</v>
      </c>
      <c r="O207" s="103" t="s">
        <v>5812</v>
      </c>
      <c r="P207" s="103" t="s">
        <v>5959</v>
      </c>
      <c r="Q207" s="103"/>
      <c r="R207" s="103"/>
      <c r="S207" s="103" t="s">
        <v>5960</v>
      </c>
      <c r="T207" s="103">
        <v>290053</v>
      </c>
      <c r="U207" s="103">
        <v>8.5</v>
      </c>
      <c r="V207" s="103" t="s">
        <v>65</v>
      </c>
      <c r="W207" s="103" t="s">
        <v>310</v>
      </c>
    </row>
    <row r="208" spans="1:23" x14ac:dyDescent="0.45">
      <c r="A208" s="103">
        <f t="shared" si="11"/>
        <v>207</v>
      </c>
      <c r="B208" s="103" t="s">
        <v>5957</v>
      </c>
      <c r="C208" s="103" t="s">
        <v>3474</v>
      </c>
      <c r="D208" s="103" t="s">
        <v>330</v>
      </c>
      <c r="E208" s="103" t="s">
        <v>100</v>
      </c>
      <c r="F208" s="103" t="s">
        <v>77</v>
      </c>
      <c r="G208" s="103" t="s">
        <v>88</v>
      </c>
      <c r="H208" s="103" t="s">
        <v>5973</v>
      </c>
      <c r="I208" s="103"/>
      <c r="J208" s="103" t="s">
        <v>122</v>
      </c>
      <c r="K208" s="103" t="s">
        <v>189</v>
      </c>
      <c r="L208" s="103"/>
      <c r="M208" s="103"/>
      <c r="N208" s="103" t="s">
        <v>5957</v>
      </c>
      <c r="O208" s="103" t="s">
        <v>5581</v>
      </c>
      <c r="P208" s="103" t="s">
        <v>5961</v>
      </c>
      <c r="Q208" s="103"/>
      <c r="R208" s="103"/>
      <c r="S208" s="103" t="s">
        <v>5962</v>
      </c>
      <c r="T208" s="103">
        <v>290053</v>
      </c>
      <c r="U208" s="103">
        <v>8.5</v>
      </c>
      <c r="V208" s="103" t="s">
        <v>65</v>
      </c>
      <c r="W208" s="103" t="s">
        <v>310</v>
      </c>
    </row>
    <row r="209" spans="1:23" x14ac:dyDescent="0.45">
      <c r="A209" s="103">
        <f t="shared" si="11"/>
        <v>208</v>
      </c>
      <c r="B209" s="103" t="s">
        <v>5957</v>
      </c>
      <c r="C209" s="103" t="s">
        <v>3474</v>
      </c>
      <c r="D209" s="103" t="s">
        <v>330</v>
      </c>
      <c r="E209" s="103" t="s">
        <v>100</v>
      </c>
      <c r="F209" s="103" t="s">
        <v>77</v>
      </c>
      <c r="G209" s="103" t="s">
        <v>88</v>
      </c>
      <c r="H209" s="103" t="s">
        <v>5973</v>
      </c>
      <c r="I209" s="103" t="s">
        <v>143</v>
      </c>
      <c r="J209" s="103" t="s">
        <v>122</v>
      </c>
      <c r="K209" s="103" t="s">
        <v>189</v>
      </c>
      <c r="L209" s="103"/>
      <c r="M209" s="103"/>
      <c r="N209" s="103" t="s">
        <v>5957</v>
      </c>
      <c r="O209" s="103" t="s">
        <v>5813</v>
      </c>
      <c r="P209" s="103" t="s">
        <v>5963</v>
      </c>
      <c r="Q209" s="103"/>
      <c r="R209" s="103"/>
      <c r="S209" s="103" t="s">
        <v>5964</v>
      </c>
      <c r="T209" s="103">
        <v>290053</v>
      </c>
      <c r="U209" s="103">
        <v>8.5</v>
      </c>
      <c r="V209" s="103" t="s">
        <v>65</v>
      </c>
      <c r="W209" s="103" t="s">
        <v>310</v>
      </c>
    </row>
    <row r="210" spans="1:23" x14ac:dyDescent="0.45">
      <c r="A210" s="103">
        <f t="shared" si="11"/>
        <v>209</v>
      </c>
      <c r="B210" s="103" t="s">
        <v>5957</v>
      </c>
      <c r="C210" s="103" t="s">
        <v>3474</v>
      </c>
      <c r="D210" s="103" t="s">
        <v>330</v>
      </c>
      <c r="E210" s="103" t="s">
        <v>100</v>
      </c>
      <c r="F210" s="103" t="s">
        <v>77</v>
      </c>
      <c r="G210" s="103" t="s">
        <v>88</v>
      </c>
      <c r="H210" s="103" t="s">
        <v>5973</v>
      </c>
      <c r="I210" s="103" t="s">
        <v>143</v>
      </c>
      <c r="J210" s="103" t="s">
        <v>122</v>
      </c>
      <c r="K210" s="103" t="s">
        <v>189</v>
      </c>
      <c r="L210" s="103"/>
      <c r="M210" s="103"/>
      <c r="N210" s="103"/>
      <c r="O210" s="103" t="s">
        <v>5814</v>
      </c>
      <c r="P210" s="103" t="s">
        <v>5962</v>
      </c>
      <c r="Q210" s="103"/>
      <c r="R210" s="103"/>
      <c r="S210" s="103" t="s">
        <v>5959</v>
      </c>
      <c r="T210" s="103">
        <v>290053</v>
      </c>
      <c r="U210" s="103">
        <v>8.5</v>
      </c>
      <c r="V210" s="103" t="s">
        <v>65</v>
      </c>
      <c r="W210" s="103" t="s">
        <v>310</v>
      </c>
    </row>
    <row r="211" spans="1:23" x14ac:dyDescent="0.45">
      <c r="A211" s="103">
        <f t="shared" si="11"/>
        <v>210</v>
      </c>
      <c r="B211" s="103" t="s">
        <v>5957</v>
      </c>
      <c r="C211" s="103" t="s">
        <v>3474</v>
      </c>
      <c r="D211" s="103" t="s">
        <v>330</v>
      </c>
      <c r="E211" s="103" t="s">
        <v>100</v>
      </c>
      <c r="F211" s="103" t="s">
        <v>77</v>
      </c>
      <c r="G211" s="103" t="s">
        <v>88</v>
      </c>
      <c r="H211" s="103" t="s">
        <v>5973</v>
      </c>
      <c r="I211" s="103" t="s">
        <v>5965</v>
      </c>
      <c r="J211" s="103" t="s">
        <v>122</v>
      </c>
      <c r="K211" s="103" t="s">
        <v>288</v>
      </c>
      <c r="L211" s="103"/>
      <c r="M211" s="103"/>
      <c r="N211" s="103" t="s">
        <v>5957</v>
      </c>
      <c r="O211" s="103" t="s">
        <v>5815</v>
      </c>
      <c r="P211" s="103"/>
      <c r="Q211" s="103"/>
      <c r="R211" s="103"/>
      <c r="S211" s="103">
        <v>7</v>
      </c>
      <c r="T211" s="103">
        <v>290053</v>
      </c>
      <c r="U211" s="103">
        <v>8.5</v>
      </c>
      <c r="V211" s="103" t="s">
        <v>65</v>
      </c>
      <c r="W211" s="103" t="s">
        <v>310</v>
      </c>
    </row>
    <row r="212" spans="1:23" x14ac:dyDescent="0.45">
      <c r="A212" s="103">
        <f t="shared" si="11"/>
        <v>211</v>
      </c>
      <c r="B212" s="103" t="s">
        <v>5957</v>
      </c>
      <c r="C212" s="103" t="s">
        <v>3474</v>
      </c>
      <c r="D212" s="103" t="s">
        <v>330</v>
      </c>
      <c r="E212" s="103" t="s">
        <v>100</v>
      </c>
      <c r="F212" s="103" t="s">
        <v>77</v>
      </c>
      <c r="G212" s="103" t="s">
        <v>88</v>
      </c>
      <c r="H212" s="103" t="s">
        <v>5973</v>
      </c>
      <c r="I212" s="103" t="s">
        <v>5965</v>
      </c>
      <c r="J212" s="103" t="s">
        <v>122</v>
      </c>
      <c r="K212" s="103" t="s">
        <v>288</v>
      </c>
      <c r="L212" s="103"/>
      <c r="M212" s="103"/>
      <c r="N212" s="103" t="s">
        <v>5957</v>
      </c>
      <c r="O212" s="103" t="s">
        <v>5816</v>
      </c>
      <c r="P212" s="103" t="s">
        <v>5967</v>
      </c>
      <c r="Q212" s="103"/>
      <c r="R212" s="103"/>
      <c r="S212" s="103" t="s">
        <v>5791</v>
      </c>
      <c r="T212" s="103">
        <v>290053</v>
      </c>
      <c r="U212" s="103">
        <v>8.5</v>
      </c>
      <c r="V212" s="103" t="s">
        <v>65</v>
      </c>
      <c r="W212" s="103" t="s">
        <v>310</v>
      </c>
    </row>
    <row r="213" spans="1:23" x14ac:dyDescent="0.45">
      <c r="A213" s="103">
        <f t="shared" si="11"/>
        <v>212</v>
      </c>
      <c r="B213" s="103" t="s">
        <v>5957</v>
      </c>
      <c r="C213" s="103" t="s">
        <v>3474</v>
      </c>
      <c r="D213" s="103" t="s">
        <v>330</v>
      </c>
      <c r="E213" s="103" t="s">
        <v>100</v>
      </c>
      <c r="F213" s="103" t="s">
        <v>77</v>
      </c>
      <c r="G213" s="103" t="s">
        <v>88</v>
      </c>
      <c r="H213" s="103" t="s">
        <v>5973</v>
      </c>
      <c r="I213" s="103" t="s">
        <v>5965</v>
      </c>
      <c r="J213" s="103" t="s">
        <v>122</v>
      </c>
      <c r="K213" s="103" t="s">
        <v>288</v>
      </c>
      <c r="L213" s="103"/>
      <c r="M213" s="103"/>
      <c r="N213" s="103" t="s">
        <v>5957</v>
      </c>
      <c r="O213" s="103" t="s">
        <v>5817</v>
      </c>
      <c r="P213" s="103" t="s">
        <v>5807</v>
      </c>
      <c r="Q213" s="103"/>
      <c r="R213" s="103"/>
      <c r="S213" s="103" t="s">
        <v>5804</v>
      </c>
      <c r="T213" s="103">
        <v>290053</v>
      </c>
      <c r="U213" s="103">
        <v>8.5</v>
      </c>
      <c r="V213" s="103" t="s">
        <v>65</v>
      </c>
      <c r="W213" s="103" t="s">
        <v>310</v>
      </c>
    </row>
    <row r="214" spans="1:23" x14ac:dyDescent="0.45">
      <c r="A214" s="103">
        <f t="shared" si="11"/>
        <v>213</v>
      </c>
      <c r="B214" s="103" t="s">
        <v>5957</v>
      </c>
      <c r="C214" s="103" t="s">
        <v>3474</v>
      </c>
      <c r="D214" s="103" t="s">
        <v>330</v>
      </c>
      <c r="E214" s="103" t="s">
        <v>100</v>
      </c>
      <c r="F214" s="103" t="s">
        <v>77</v>
      </c>
      <c r="G214" s="103" t="s">
        <v>88</v>
      </c>
      <c r="H214" s="103" t="s">
        <v>5973</v>
      </c>
      <c r="I214" s="103" t="s">
        <v>5965</v>
      </c>
      <c r="J214" s="103" t="s">
        <v>122</v>
      </c>
      <c r="K214" s="103" t="s">
        <v>288</v>
      </c>
      <c r="L214" s="103"/>
      <c r="M214" s="103"/>
      <c r="N214" s="103" t="s">
        <v>5957</v>
      </c>
      <c r="O214" s="103" t="s">
        <v>5818</v>
      </c>
      <c r="P214" s="103" t="s">
        <v>5804</v>
      </c>
      <c r="Q214" s="103"/>
      <c r="R214" s="103"/>
      <c r="S214" s="103" t="s">
        <v>5802</v>
      </c>
      <c r="T214" s="103">
        <v>290053</v>
      </c>
      <c r="U214" s="103">
        <v>8.5</v>
      </c>
      <c r="V214" s="103" t="s">
        <v>65</v>
      </c>
      <c r="W214" s="103" t="s">
        <v>310</v>
      </c>
    </row>
    <row r="215" spans="1:23" x14ac:dyDescent="0.45">
      <c r="A215" s="103">
        <f t="shared" si="11"/>
        <v>214</v>
      </c>
      <c r="B215" s="103" t="s">
        <v>5957</v>
      </c>
      <c r="C215" s="103" t="s">
        <v>3474</v>
      </c>
      <c r="D215" s="103" t="s">
        <v>330</v>
      </c>
      <c r="E215" s="103" t="s">
        <v>100</v>
      </c>
      <c r="F215" s="103" t="s">
        <v>77</v>
      </c>
      <c r="G215" s="103" t="s">
        <v>88</v>
      </c>
      <c r="H215" s="103" t="s">
        <v>5973</v>
      </c>
      <c r="I215" s="103" t="s">
        <v>5965</v>
      </c>
      <c r="J215" s="103" t="s">
        <v>122</v>
      </c>
      <c r="K215" s="103" t="s">
        <v>288</v>
      </c>
      <c r="L215" s="103"/>
      <c r="M215" s="103"/>
      <c r="N215" s="103" t="s">
        <v>5957</v>
      </c>
      <c r="O215" s="103" t="s">
        <v>5819</v>
      </c>
      <c r="P215" s="103" t="s">
        <v>5968</v>
      </c>
      <c r="Q215" s="103"/>
      <c r="R215" s="103"/>
      <c r="S215" s="103" t="s">
        <v>5851</v>
      </c>
      <c r="T215" s="103">
        <v>290053</v>
      </c>
      <c r="U215" s="103">
        <v>8.5</v>
      </c>
      <c r="V215" s="103" t="s">
        <v>65</v>
      </c>
      <c r="W215" s="103" t="s">
        <v>310</v>
      </c>
    </row>
    <row r="216" spans="1:23" x14ac:dyDescent="0.45">
      <c r="A216" s="103">
        <f t="shared" si="11"/>
        <v>215</v>
      </c>
      <c r="B216" s="103" t="s">
        <v>5957</v>
      </c>
      <c r="C216" s="103" t="s">
        <v>3474</v>
      </c>
      <c r="D216" s="103" t="s">
        <v>330</v>
      </c>
      <c r="E216" s="103" t="s">
        <v>100</v>
      </c>
      <c r="F216" s="103" t="s">
        <v>77</v>
      </c>
      <c r="G216" s="103" t="s">
        <v>88</v>
      </c>
      <c r="H216" s="103" t="s">
        <v>5973</v>
      </c>
      <c r="I216" s="103" t="s">
        <v>5965</v>
      </c>
      <c r="J216" s="103" t="s">
        <v>122</v>
      </c>
      <c r="K216" s="103" t="s">
        <v>288</v>
      </c>
      <c r="L216" s="103"/>
      <c r="M216" s="103"/>
      <c r="N216" s="103" t="s">
        <v>5957</v>
      </c>
      <c r="O216" s="103" t="s">
        <v>5820</v>
      </c>
      <c r="P216" s="103">
        <v>10</v>
      </c>
      <c r="Q216" s="103"/>
      <c r="R216" s="103"/>
      <c r="S216" s="103" t="s">
        <v>5918</v>
      </c>
      <c r="T216" s="103">
        <v>290053</v>
      </c>
      <c r="U216" s="103">
        <v>8.5</v>
      </c>
      <c r="V216" s="103" t="s">
        <v>65</v>
      </c>
      <c r="W216" s="103" t="s">
        <v>310</v>
      </c>
    </row>
    <row r="217" spans="1:23" x14ac:dyDescent="0.45">
      <c r="A217" s="103">
        <f t="shared" si="11"/>
        <v>216</v>
      </c>
      <c r="B217" s="103" t="s">
        <v>5957</v>
      </c>
      <c r="C217" s="103" t="s">
        <v>3474</v>
      </c>
      <c r="D217" s="103" t="s">
        <v>330</v>
      </c>
      <c r="E217" s="103" t="s">
        <v>100</v>
      </c>
      <c r="F217" s="103" t="s">
        <v>77</v>
      </c>
      <c r="G217" s="103" t="s">
        <v>88</v>
      </c>
      <c r="H217" s="103" t="s">
        <v>5973</v>
      </c>
      <c r="I217" s="103" t="s">
        <v>5965</v>
      </c>
      <c r="J217" s="103" t="s">
        <v>122</v>
      </c>
      <c r="K217" s="103" t="s">
        <v>288</v>
      </c>
      <c r="L217" s="103"/>
      <c r="M217" s="103"/>
      <c r="N217" s="103" t="s">
        <v>5957</v>
      </c>
      <c r="O217" s="103" t="s">
        <v>5821</v>
      </c>
      <c r="P217" s="103" t="s">
        <v>5848</v>
      </c>
      <c r="Q217" s="103"/>
      <c r="R217" s="103"/>
      <c r="S217" s="103" t="s">
        <v>5969</v>
      </c>
      <c r="T217" s="103">
        <v>290053</v>
      </c>
      <c r="U217" s="103">
        <v>8.5</v>
      </c>
      <c r="V217" s="103" t="s">
        <v>65</v>
      </c>
      <c r="W217" s="103" t="s">
        <v>310</v>
      </c>
    </row>
    <row r="218" spans="1:23" x14ac:dyDescent="0.45">
      <c r="A218" s="103">
        <f t="shared" si="11"/>
        <v>217</v>
      </c>
      <c r="B218" s="103" t="s">
        <v>5957</v>
      </c>
      <c r="C218" s="103" t="s">
        <v>3474</v>
      </c>
      <c r="D218" s="103" t="s">
        <v>330</v>
      </c>
      <c r="E218" s="103" t="s">
        <v>100</v>
      </c>
      <c r="F218" s="103" t="s">
        <v>77</v>
      </c>
      <c r="G218" s="103" t="s">
        <v>88</v>
      </c>
      <c r="H218" s="103" t="s">
        <v>5973</v>
      </c>
      <c r="I218" s="103" t="s">
        <v>5965</v>
      </c>
      <c r="J218" s="103" t="s">
        <v>115</v>
      </c>
      <c r="K218" s="103" t="s">
        <v>5966</v>
      </c>
      <c r="L218" s="103"/>
      <c r="M218" s="103"/>
      <c r="N218" s="103" t="s">
        <v>5957</v>
      </c>
      <c r="O218" s="103" t="s">
        <v>5822</v>
      </c>
      <c r="P218" s="103" t="s">
        <v>5855</v>
      </c>
      <c r="Q218" s="103"/>
      <c r="R218" s="103"/>
      <c r="S218" s="103" t="s">
        <v>5791</v>
      </c>
      <c r="T218" s="103">
        <v>290053</v>
      </c>
      <c r="U218" s="103">
        <v>8.5</v>
      </c>
      <c r="V218" s="103" t="s">
        <v>65</v>
      </c>
      <c r="W218" s="103" t="s">
        <v>310</v>
      </c>
    </row>
    <row r="219" spans="1:23" x14ac:dyDescent="0.45">
      <c r="A219" s="103">
        <f t="shared" si="11"/>
        <v>218</v>
      </c>
      <c r="B219" s="103" t="s">
        <v>5957</v>
      </c>
      <c r="C219" s="103" t="s">
        <v>3474</v>
      </c>
      <c r="D219" s="103" t="s">
        <v>330</v>
      </c>
      <c r="E219" s="103" t="s">
        <v>100</v>
      </c>
      <c r="F219" s="103" t="s">
        <v>77</v>
      </c>
      <c r="G219" s="103" t="s">
        <v>88</v>
      </c>
      <c r="H219" s="103" t="s">
        <v>5973</v>
      </c>
      <c r="I219" s="103" t="s">
        <v>143</v>
      </c>
      <c r="J219" s="103" t="s">
        <v>105</v>
      </c>
      <c r="K219" s="103" t="s">
        <v>5653</v>
      </c>
      <c r="L219" s="103"/>
      <c r="M219" s="103"/>
      <c r="N219" s="103" t="s">
        <v>5957</v>
      </c>
      <c r="O219" s="103" t="s">
        <v>47</v>
      </c>
      <c r="P219" s="103" t="s">
        <v>5958</v>
      </c>
      <c r="Q219" s="103"/>
      <c r="R219" s="103"/>
      <c r="S219" s="103" t="s">
        <v>5854</v>
      </c>
      <c r="T219" s="103">
        <v>290053</v>
      </c>
      <c r="U219" s="103">
        <v>8.4</v>
      </c>
      <c r="V219" s="103" t="s">
        <v>5823</v>
      </c>
      <c r="W219" s="103" t="s">
        <v>310</v>
      </c>
    </row>
    <row r="220" spans="1:23" x14ac:dyDescent="0.45">
      <c r="A220" s="103">
        <f t="shared" si="11"/>
        <v>219</v>
      </c>
      <c r="B220" s="103" t="s">
        <v>5957</v>
      </c>
      <c r="C220" s="103" t="s">
        <v>3474</v>
      </c>
      <c r="D220" s="103" t="s">
        <v>330</v>
      </c>
      <c r="E220" s="103" t="s">
        <v>100</v>
      </c>
      <c r="F220" s="103" t="s">
        <v>77</v>
      </c>
      <c r="G220" s="103" t="s">
        <v>88</v>
      </c>
      <c r="H220" s="103" t="s">
        <v>5973</v>
      </c>
      <c r="I220" s="103" t="s">
        <v>143</v>
      </c>
      <c r="J220" s="103" t="s">
        <v>105</v>
      </c>
      <c r="K220" s="103" t="s">
        <v>5653</v>
      </c>
      <c r="L220" s="103"/>
      <c r="M220" s="103"/>
      <c r="N220" s="103" t="s">
        <v>5957</v>
      </c>
      <c r="O220" s="103" t="s">
        <v>5580</v>
      </c>
      <c r="P220" s="103" t="s">
        <v>5851</v>
      </c>
      <c r="Q220" s="103"/>
      <c r="R220" s="103"/>
      <c r="S220" s="103" t="s">
        <v>5856</v>
      </c>
      <c r="T220" s="103">
        <v>290053</v>
      </c>
      <c r="U220" s="103">
        <v>8.4</v>
      </c>
      <c r="V220" s="103" t="s">
        <v>5823</v>
      </c>
      <c r="W220" s="103" t="s">
        <v>310</v>
      </c>
    </row>
    <row r="221" spans="1:23" x14ac:dyDescent="0.45">
      <c r="A221" s="103">
        <f t="shared" si="11"/>
        <v>220</v>
      </c>
      <c r="B221" s="103" t="s">
        <v>5957</v>
      </c>
      <c r="C221" s="103" t="s">
        <v>3474</v>
      </c>
      <c r="D221" s="103" t="s">
        <v>330</v>
      </c>
      <c r="E221" s="103" t="s">
        <v>100</v>
      </c>
      <c r="F221" s="103" t="s">
        <v>77</v>
      </c>
      <c r="G221" s="103" t="s">
        <v>88</v>
      </c>
      <c r="H221" s="103" t="s">
        <v>5973</v>
      </c>
      <c r="I221" s="103" t="s">
        <v>143</v>
      </c>
      <c r="J221" s="103" t="s">
        <v>122</v>
      </c>
      <c r="K221" s="103" t="s">
        <v>189</v>
      </c>
      <c r="L221" s="103"/>
      <c r="M221" s="103"/>
      <c r="N221" s="103" t="s">
        <v>5957</v>
      </c>
      <c r="O221" s="103" t="s">
        <v>5812</v>
      </c>
      <c r="P221" s="103" t="s">
        <v>5959</v>
      </c>
      <c r="Q221" s="103"/>
      <c r="R221" s="103"/>
      <c r="S221" s="103" t="s">
        <v>5960</v>
      </c>
      <c r="T221" s="103">
        <v>290053</v>
      </c>
      <c r="U221" s="103">
        <v>8.5</v>
      </c>
      <c r="V221" s="103" t="s">
        <v>5823</v>
      </c>
      <c r="W221" s="103" t="s">
        <v>310</v>
      </c>
    </row>
    <row r="222" spans="1:23" x14ac:dyDescent="0.45">
      <c r="A222" s="103">
        <f t="shared" si="11"/>
        <v>221</v>
      </c>
      <c r="B222" s="103" t="s">
        <v>5957</v>
      </c>
      <c r="C222" s="103" t="s">
        <v>3474</v>
      </c>
      <c r="D222" s="103" t="s">
        <v>330</v>
      </c>
      <c r="E222" s="103" t="s">
        <v>100</v>
      </c>
      <c r="F222" s="103" t="s">
        <v>77</v>
      </c>
      <c r="G222" s="103" t="s">
        <v>88</v>
      </c>
      <c r="H222" s="103" t="s">
        <v>5973</v>
      </c>
      <c r="I222" s="103" t="s">
        <v>143</v>
      </c>
      <c r="J222" s="103" t="s">
        <v>122</v>
      </c>
      <c r="K222" s="103" t="s">
        <v>189</v>
      </c>
      <c r="L222" s="103"/>
      <c r="M222" s="103"/>
      <c r="N222" s="103" t="s">
        <v>5957</v>
      </c>
      <c r="O222" s="103" t="s">
        <v>5581</v>
      </c>
      <c r="P222" s="103" t="s">
        <v>5961</v>
      </c>
      <c r="Q222" s="103"/>
      <c r="R222" s="103"/>
      <c r="S222" s="103" t="s">
        <v>5962</v>
      </c>
      <c r="T222" s="103">
        <v>290053</v>
      </c>
      <c r="U222" s="103">
        <v>8.5</v>
      </c>
      <c r="V222" s="103" t="s">
        <v>5823</v>
      </c>
      <c r="W222" s="103" t="s">
        <v>310</v>
      </c>
    </row>
    <row r="223" spans="1:23" x14ac:dyDescent="0.45">
      <c r="A223" s="103">
        <f t="shared" si="11"/>
        <v>222</v>
      </c>
      <c r="B223" s="103" t="s">
        <v>5957</v>
      </c>
      <c r="C223" s="103" t="s">
        <v>3474</v>
      </c>
      <c r="D223" s="103" t="s">
        <v>330</v>
      </c>
      <c r="E223" s="103" t="s">
        <v>100</v>
      </c>
      <c r="F223" s="103" t="s">
        <v>77</v>
      </c>
      <c r="G223" s="103" t="s">
        <v>88</v>
      </c>
      <c r="H223" s="103" t="s">
        <v>5973</v>
      </c>
      <c r="I223" s="103" t="s">
        <v>143</v>
      </c>
      <c r="J223" s="103" t="s">
        <v>122</v>
      </c>
      <c r="K223" s="103" t="s">
        <v>189</v>
      </c>
      <c r="L223" s="103"/>
      <c r="M223" s="103"/>
      <c r="N223" s="103" t="s">
        <v>5957</v>
      </c>
      <c r="O223" s="103" t="s">
        <v>5813</v>
      </c>
      <c r="P223" s="103" t="s">
        <v>5963</v>
      </c>
      <c r="Q223" s="103"/>
      <c r="R223" s="103"/>
      <c r="S223" s="103" t="s">
        <v>5964</v>
      </c>
      <c r="T223" s="103">
        <v>290053</v>
      </c>
      <c r="U223" s="103">
        <v>8.5</v>
      </c>
      <c r="V223" s="103" t="s">
        <v>5823</v>
      </c>
      <c r="W223" s="103" t="s">
        <v>310</v>
      </c>
    </row>
    <row r="224" spans="1:23" x14ac:dyDescent="0.45">
      <c r="A224" s="103">
        <f t="shared" si="11"/>
        <v>223</v>
      </c>
      <c r="B224" s="103" t="s">
        <v>5957</v>
      </c>
      <c r="C224" s="103" t="s">
        <v>3474</v>
      </c>
      <c r="D224" s="103" t="s">
        <v>330</v>
      </c>
      <c r="E224" s="103" t="s">
        <v>100</v>
      </c>
      <c r="F224" s="103" t="s">
        <v>77</v>
      </c>
      <c r="G224" s="103" t="s">
        <v>88</v>
      </c>
      <c r="H224" s="103" t="s">
        <v>5973</v>
      </c>
      <c r="I224" s="103" t="s">
        <v>143</v>
      </c>
      <c r="J224" s="103" t="s">
        <v>122</v>
      </c>
      <c r="K224" s="103" t="s">
        <v>189</v>
      </c>
      <c r="L224" s="103"/>
      <c r="M224" s="103"/>
      <c r="N224" s="103" t="s">
        <v>5957</v>
      </c>
      <c r="O224" s="103" t="s">
        <v>5814</v>
      </c>
      <c r="P224" s="103" t="s">
        <v>5962</v>
      </c>
      <c r="Q224" s="103"/>
      <c r="R224" s="103"/>
      <c r="S224" s="103" t="s">
        <v>5959</v>
      </c>
      <c r="T224" s="103">
        <v>290053</v>
      </c>
      <c r="U224" s="103">
        <v>8.5</v>
      </c>
      <c r="V224" s="103" t="s">
        <v>5823</v>
      </c>
      <c r="W224" s="103" t="s">
        <v>310</v>
      </c>
    </row>
    <row r="225" spans="1:23" x14ac:dyDescent="0.45">
      <c r="A225" s="103">
        <f t="shared" si="11"/>
        <v>224</v>
      </c>
      <c r="B225" s="103" t="s">
        <v>5957</v>
      </c>
      <c r="C225" s="103" t="s">
        <v>3474</v>
      </c>
      <c r="D225" s="103" t="s">
        <v>330</v>
      </c>
      <c r="E225" s="103" t="s">
        <v>100</v>
      </c>
      <c r="F225" s="103" t="s">
        <v>77</v>
      </c>
      <c r="G225" s="103" t="s">
        <v>88</v>
      </c>
      <c r="H225" s="103" t="s">
        <v>5973</v>
      </c>
      <c r="I225" s="103" t="s">
        <v>5965</v>
      </c>
      <c r="J225" s="103" t="s">
        <v>122</v>
      </c>
      <c r="K225" s="103" t="s">
        <v>288</v>
      </c>
      <c r="L225" s="103"/>
      <c r="M225" s="103"/>
      <c r="N225" s="103" t="s">
        <v>5957</v>
      </c>
      <c r="O225" s="103" t="s">
        <v>5815</v>
      </c>
      <c r="P225" s="103" t="s">
        <v>5917</v>
      </c>
      <c r="Q225" s="103"/>
      <c r="R225" s="103"/>
      <c r="S225" s="103">
        <v>7</v>
      </c>
      <c r="T225" s="103">
        <v>290053</v>
      </c>
      <c r="U225" s="103">
        <v>8.4</v>
      </c>
      <c r="V225" s="103" t="s">
        <v>5823</v>
      </c>
      <c r="W225" s="103" t="s">
        <v>310</v>
      </c>
    </row>
    <row r="226" spans="1:23" x14ac:dyDescent="0.45">
      <c r="A226" s="103">
        <f t="shared" si="11"/>
        <v>225</v>
      </c>
      <c r="B226" s="103" t="s">
        <v>5957</v>
      </c>
      <c r="C226" s="103" t="s">
        <v>3474</v>
      </c>
      <c r="D226" s="103" t="s">
        <v>330</v>
      </c>
      <c r="E226" s="103" t="s">
        <v>100</v>
      </c>
      <c r="F226" s="103" t="s">
        <v>77</v>
      </c>
      <c r="G226" s="103" t="s">
        <v>88</v>
      </c>
      <c r="H226" s="103" t="s">
        <v>5973</v>
      </c>
      <c r="I226" s="103" t="s">
        <v>5965</v>
      </c>
      <c r="J226" s="103" t="s">
        <v>122</v>
      </c>
      <c r="K226" s="103" t="s">
        <v>288</v>
      </c>
      <c r="L226" s="103"/>
      <c r="M226" s="103"/>
      <c r="N226" s="103" t="s">
        <v>5957</v>
      </c>
      <c r="O226" s="103" t="s">
        <v>5816</v>
      </c>
      <c r="P226" s="103" t="s">
        <v>5967</v>
      </c>
      <c r="Q226" s="103"/>
      <c r="R226" s="103"/>
      <c r="S226" s="103" t="s">
        <v>5791</v>
      </c>
      <c r="T226" s="103">
        <v>290053</v>
      </c>
      <c r="U226" s="103" t="s">
        <v>5796</v>
      </c>
      <c r="V226" s="103" t="s">
        <v>5823</v>
      </c>
      <c r="W226" s="103" t="s">
        <v>310</v>
      </c>
    </row>
    <row r="227" spans="1:23" x14ac:dyDescent="0.45">
      <c r="A227" s="103">
        <f t="shared" si="11"/>
        <v>226</v>
      </c>
      <c r="B227" s="103" t="s">
        <v>5957</v>
      </c>
      <c r="C227" s="103" t="s">
        <v>3474</v>
      </c>
      <c r="D227" s="103" t="s">
        <v>330</v>
      </c>
      <c r="E227" s="103" t="s">
        <v>100</v>
      </c>
      <c r="F227" s="103" t="s">
        <v>77</v>
      </c>
      <c r="G227" s="103" t="s">
        <v>88</v>
      </c>
      <c r="H227" s="103" t="s">
        <v>5973</v>
      </c>
      <c r="I227" s="103" t="s">
        <v>5965</v>
      </c>
      <c r="J227" s="103" t="s">
        <v>122</v>
      </c>
      <c r="K227" s="103" t="s">
        <v>288</v>
      </c>
      <c r="L227" s="103"/>
      <c r="M227" s="103"/>
      <c r="N227" s="103" t="s">
        <v>5957</v>
      </c>
      <c r="O227" s="103" t="s">
        <v>5817</v>
      </c>
      <c r="P227" s="103" t="s">
        <v>5807</v>
      </c>
      <c r="Q227" s="103"/>
      <c r="R227" s="103"/>
      <c r="S227" s="103" t="s">
        <v>5804</v>
      </c>
      <c r="T227" s="103">
        <v>290053</v>
      </c>
      <c r="U227" s="103" t="s">
        <v>5796</v>
      </c>
      <c r="V227" s="103" t="s">
        <v>5823</v>
      </c>
      <c r="W227" s="103" t="s">
        <v>310</v>
      </c>
    </row>
    <row r="228" spans="1:23" x14ac:dyDescent="0.45">
      <c r="A228" s="103">
        <f t="shared" si="11"/>
        <v>227</v>
      </c>
      <c r="B228" s="103" t="s">
        <v>5957</v>
      </c>
      <c r="C228" s="103" t="s">
        <v>3474</v>
      </c>
      <c r="D228" s="103" t="s">
        <v>330</v>
      </c>
      <c r="E228" s="103" t="s">
        <v>100</v>
      </c>
      <c r="F228" s="103" t="s">
        <v>77</v>
      </c>
      <c r="G228" s="103" t="s">
        <v>88</v>
      </c>
      <c r="H228" s="103" t="s">
        <v>5973</v>
      </c>
      <c r="I228" s="103" t="s">
        <v>5965</v>
      </c>
      <c r="J228" s="103" t="s">
        <v>122</v>
      </c>
      <c r="K228" s="103" t="s">
        <v>288</v>
      </c>
      <c r="L228" s="103"/>
      <c r="M228" s="103"/>
      <c r="N228" s="103" t="s">
        <v>5957</v>
      </c>
      <c r="O228" s="103" t="s">
        <v>5815</v>
      </c>
      <c r="P228" s="103" t="s">
        <v>5804</v>
      </c>
      <c r="Q228" s="103"/>
      <c r="R228" s="103"/>
      <c r="S228" s="103" t="s">
        <v>5802</v>
      </c>
      <c r="T228" s="103">
        <v>290053</v>
      </c>
      <c r="U228" s="103">
        <v>8.4</v>
      </c>
      <c r="V228" s="103" t="s">
        <v>5823</v>
      </c>
      <c r="W228" s="103" t="s">
        <v>310</v>
      </c>
    </row>
    <row r="229" spans="1:23" x14ac:dyDescent="0.45">
      <c r="A229" s="103">
        <f t="shared" si="11"/>
        <v>228</v>
      </c>
      <c r="B229" s="103" t="s">
        <v>5957</v>
      </c>
      <c r="C229" s="103" t="s">
        <v>3474</v>
      </c>
      <c r="D229" s="103" t="s">
        <v>330</v>
      </c>
      <c r="E229" s="103" t="s">
        <v>100</v>
      </c>
      <c r="F229" s="103" t="s">
        <v>77</v>
      </c>
      <c r="G229" s="103" t="s">
        <v>88</v>
      </c>
      <c r="H229" s="103" t="s">
        <v>5973</v>
      </c>
      <c r="I229" s="103" t="s">
        <v>5965</v>
      </c>
      <c r="J229" s="103" t="s">
        <v>122</v>
      </c>
      <c r="K229" s="103" t="s">
        <v>288</v>
      </c>
      <c r="L229" s="103"/>
      <c r="M229" s="103"/>
      <c r="N229" s="103" t="s">
        <v>5957</v>
      </c>
      <c r="O229" s="103" t="s">
        <v>5819</v>
      </c>
      <c r="P229" s="103" t="s">
        <v>5968</v>
      </c>
      <c r="Q229" s="103"/>
      <c r="R229" s="103"/>
      <c r="S229" s="103" t="s">
        <v>5851</v>
      </c>
      <c r="T229" s="103">
        <v>290053</v>
      </c>
      <c r="U229" s="103">
        <v>8.4</v>
      </c>
      <c r="V229" s="103" t="s">
        <v>5823</v>
      </c>
      <c r="W229" s="103" t="s">
        <v>310</v>
      </c>
    </row>
    <row r="230" spans="1:23" x14ac:dyDescent="0.45">
      <c r="A230" s="103">
        <f t="shared" si="11"/>
        <v>229</v>
      </c>
      <c r="B230" s="103" t="s">
        <v>5957</v>
      </c>
      <c r="C230" s="103" t="s">
        <v>3474</v>
      </c>
      <c r="D230" s="103" t="s">
        <v>330</v>
      </c>
      <c r="E230" s="103" t="s">
        <v>100</v>
      </c>
      <c r="F230" s="103" t="s">
        <v>77</v>
      </c>
      <c r="G230" s="103" t="s">
        <v>88</v>
      </c>
      <c r="H230" s="103" t="s">
        <v>5973</v>
      </c>
      <c r="I230" s="103" t="s">
        <v>5965</v>
      </c>
      <c r="J230" s="103" t="s">
        <v>122</v>
      </c>
      <c r="K230" s="103" t="s">
        <v>288</v>
      </c>
      <c r="L230" s="103"/>
      <c r="M230" s="103"/>
      <c r="N230" s="103" t="s">
        <v>5957</v>
      </c>
      <c r="O230" s="103" t="s">
        <v>5820</v>
      </c>
      <c r="P230" s="103">
        <v>10</v>
      </c>
      <c r="Q230" s="103"/>
      <c r="R230" s="103"/>
      <c r="S230" s="103" t="s">
        <v>5918</v>
      </c>
      <c r="T230" s="103">
        <v>290053</v>
      </c>
      <c r="U230" s="103">
        <v>8.4</v>
      </c>
      <c r="V230" s="103" t="s">
        <v>5823</v>
      </c>
      <c r="W230" s="103" t="s">
        <v>310</v>
      </c>
    </row>
    <row r="231" spans="1:23" x14ac:dyDescent="0.45">
      <c r="A231" s="103">
        <f t="shared" si="11"/>
        <v>230</v>
      </c>
      <c r="B231" s="103" t="s">
        <v>5957</v>
      </c>
      <c r="C231" s="103" t="s">
        <v>3474</v>
      </c>
      <c r="D231" s="103" t="s">
        <v>330</v>
      </c>
      <c r="E231" s="103" t="s">
        <v>100</v>
      </c>
      <c r="F231" s="103" t="s">
        <v>77</v>
      </c>
      <c r="G231" s="103" t="s">
        <v>88</v>
      </c>
      <c r="H231" s="103" t="s">
        <v>5973</v>
      </c>
      <c r="I231" s="103" t="s">
        <v>5965</v>
      </c>
      <c r="J231" s="103" t="s">
        <v>122</v>
      </c>
      <c r="K231" s="103" t="s">
        <v>288</v>
      </c>
      <c r="L231" s="103"/>
      <c r="M231" s="103"/>
      <c r="N231" s="103" t="s">
        <v>5957</v>
      </c>
      <c r="O231" s="103" t="s">
        <v>5821</v>
      </c>
      <c r="P231" s="103" t="s">
        <v>5848</v>
      </c>
      <c r="Q231" s="103"/>
      <c r="R231" s="103"/>
      <c r="S231" s="103" t="s">
        <v>5969</v>
      </c>
      <c r="T231" s="103">
        <v>290053</v>
      </c>
      <c r="U231" s="103">
        <v>8.4</v>
      </c>
      <c r="V231" s="103" t="s">
        <v>5823</v>
      </c>
      <c r="W231" s="103" t="s">
        <v>310</v>
      </c>
    </row>
    <row r="232" spans="1:23" x14ac:dyDescent="0.45">
      <c r="A232" s="103">
        <f t="shared" si="11"/>
        <v>231</v>
      </c>
      <c r="B232" s="103" t="s">
        <v>5957</v>
      </c>
      <c r="C232" s="103" t="s">
        <v>3474</v>
      </c>
      <c r="D232" s="103" t="s">
        <v>330</v>
      </c>
      <c r="E232" s="103" t="s">
        <v>100</v>
      </c>
      <c r="F232" s="103" t="s">
        <v>77</v>
      </c>
      <c r="G232" s="103" t="s">
        <v>88</v>
      </c>
      <c r="H232" s="103" t="s">
        <v>5973</v>
      </c>
      <c r="I232" s="103"/>
      <c r="J232" s="103" t="s">
        <v>115</v>
      </c>
      <c r="K232" s="103" t="s">
        <v>5966</v>
      </c>
      <c r="L232" s="103"/>
      <c r="M232" s="103"/>
      <c r="N232" s="103" t="s">
        <v>5957</v>
      </c>
      <c r="O232" s="103" t="s">
        <v>5822</v>
      </c>
      <c r="P232" s="103" t="s">
        <v>5855</v>
      </c>
      <c r="Q232" s="103"/>
      <c r="R232" s="103"/>
      <c r="S232" s="103" t="s">
        <v>5791</v>
      </c>
      <c r="T232" s="103">
        <v>290053</v>
      </c>
      <c r="U232" s="103">
        <v>8.4</v>
      </c>
      <c r="V232" s="103" t="s">
        <v>5823</v>
      </c>
      <c r="W232" s="103" t="s">
        <v>310</v>
      </c>
    </row>
    <row r="233" spans="1:23" x14ac:dyDescent="0.45">
      <c r="A233" s="103">
        <f t="shared" ref="A233:A245" si="12">ROW()-1</f>
        <v>232</v>
      </c>
      <c r="B233" s="103" t="s">
        <v>5935</v>
      </c>
      <c r="C233" s="103" t="s">
        <v>2559</v>
      </c>
      <c r="D233" s="103" t="s">
        <v>518</v>
      </c>
      <c r="E233" s="103" t="s">
        <v>73</v>
      </c>
      <c r="F233" s="103" t="s">
        <v>72</v>
      </c>
      <c r="G233" s="103" t="s">
        <v>71</v>
      </c>
      <c r="H233" s="103" t="s">
        <v>5976</v>
      </c>
      <c r="I233" s="103" t="s">
        <v>272</v>
      </c>
      <c r="J233" s="103" t="s">
        <v>122</v>
      </c>
      <c r="K233" s="103" t="s">
        <v>186</v>
      </c>
      <c r="L233" s="103" t="s">
        <v>5978</v>
      </c>
      <c r="M233" s="103"/>
      <c r="N233" s="103" t="s">
        <v>5935</v>
      </c>
      <c r="O233" s="103" t="s">
        <v>47</v>
      </c>
      <c r="P233" s="103" t="s">
        <v>5920</v>
      </c>
      <c r="Q233" s="103"/>
      <c r="R233" s="103"/>
      <c r="S233" s="103" t="s">
        <v>5920</v>
      </c>
      <c r="T233" s="103">
        <v>467226</v>
      </c>
      <c r="U233" s="103">
        <v>7.5</v>
      </c>
      <c r="V233" s="103" t="s">
        <v>65</v>
      </c>
      <c r="W233" s="103" t="s">
        <v>310</v>
      </c>
    </row>
    <row r="234" spans="1:23" x14ac:dyDescent="0.45">
      <c r="A234" s="103">
        <f t="shared" si="12"/>
        <v>233</v>
      </c>
      <c r="B234" s="103" t="s">
        <v>5935</v>
      </c>
      <c r="C234" s="103" t="s">
        <v>2559</v>
      </c>
      <c r="D234" s="103" t="s">
        <v>518</v>
      </c>
      <c r="E234" s="103" t="s">
        <v>73</v>
      </c>
      <c r="F234" s="103" t="s">
        <v>72</v>
      </c>
      <c r="G234" s="103" t="s">
        <v>71</v>
      </c>
      <c r="H234" s="103" t="s">
        <v>5976</v>
      </c>
      <c r="I234" s="103" t="s">
        <v>272</v>
      </c>
      <c r="J234" s="103" t="s">
        <v>122</v>
      </c>
      <c r="K234" s="103" t="s">
        <v>186</v>
      </c>
      <c r="L234" s="103" t="s">
        <v>5979</v>
      </c>
      <c r="M234" s="103"/>
      <c r="N234" s="103" t="s">
        <v>5935</v>
      </c>
      <c r="O234" s="103" t="s">
        <v>5580</v>
      </c>
      <c r="P234" s="103" t="s">
        <v>5920</v>
      </c>
      <c r="Q234" s="103"/>
      <c r="R234" s="103"/>
      <c r="S234" s="103" t="s">
        <v>5920</v>
      </c>
      <c r="T234" s="103">
        <v>467226</v>
      </c>
      <c r="U234" s="103">
        <v>7.5</v>
      </c>
      <c r="V234" s="103" t="s">
        <v>65</v>
      </c>
      <c r="W234" s="103" t="s">
        <v>310</v>
      </c>
    </row>
    <row r="235" spans="1:23" x14ac:dyDescent="0.45">
      <c r="A235" s="103">
        <f t="shared" si="12"/>
        <v>234</v>
      </c>
      <c r="B235" s="103" t="s">
        <v>5935</v>
      </c>
      <c r="C235" s="103" t="s">
        <v>2559</v>
      </c>
      <c r="D235" s="103" t="s">
        <v>518</v>
      </c>
      <c r="E235" s="103" t="s">
        <v>73</v>
      </c>
      <c r="F235" s="103" t="s">
        <v>72</v>
      </c>
      <c r="G235" s="103" t="s">
        <v>71</v>
      </c>
      <c r="H235" s="103" t="s">
        <v>5976</v>
      </c>
      <c r="I235" s="103" t="s">
        <v>272</v>
      </c>
      <c r="J235" s="103" t="s">
        <v>122</v>
      </c>
      <c r="K235" s="103" t="s">
        <v>186</v>
      </c>
      <c r="L235" s="103" t="s">
        <v>5980</v>
      </c>
      <c r="M235" s="103"/>
      <c r="N235" s="103" t="s">
        <v>5935</v>
      </c>
      <c r="O235" s="103" t="s">
        <v>5812</v>
      </c>
      <c r="P235" s="103" t="s">
        <v>5920</v>
      </c>
      <c r="Q235" s="103"/>
      <c r="R235" s="103"/>
      <c r="S235" s="103" t="s">
        <v>5920</v>
      </c>
      <c r="T235" s="103">
        <v>467226</v>
      </c>
      <c r="U235" s="103">
        <v>7.5</v>
      </c>
      <c r="V235" s="103" t="s">
        <v>65</v>
      </c>
      <c r="W235" s="103" t="s">
        <v>310</v>
      </c>
    </row>
    <row r="236" spans="1:23" x14ac:dyDescent="0.45">
      <c r="A236" s="103">
        <f t="shared" si="12"/>
        <v>235</v>
      </c>
      <c r="B236" s="103" t="s">
        <v>5935</v>
      </c>
      <c r="C236" s="103" t="s">
        <v>2559</v>
      </c>
      <c r="D236" s="103" t="s">
        <v>518</v>
      </c>
      <c r="E236" s="103" t="s">
        <v>73</v>
      </c>
      <c r="F236" s="103" t="s">
        <v>72</v>
      </c>
      <c r="G236" s="103" t="s">
        <v>71</v>
      </c>
      <c r="H236" s="103" t="s">
        <v>5976</v>
      </c>
      <c r="I236" s="103"/>
      <c r="J236" s="103" t="s">
        <v>122</v>
      </c>
      <c r="K236" s="103" t="s">
        <v>186</v>
      </c>
      <c r="L236" s="103" t="s">
        <v>5981</v>
      </c>
      <c r="M236" s="103"/>
      <c r="N236" s="103" t="s">
        <v>5935</v>
      </c>
      <c r="O236" s="103" t="s">
        <v>5581</v>
      </c>
      <c r="P236" s="103" t="s">
        <v>5920</v>
      </c>
      <c r="Q236" s="103"/>
      <c r="R236" s="103"/>
      <c r="S236" s="103" t="s">
        <v>5920</v>
      </c>
      <c r="T236" s="103">
        <v>467226</v>
      </c>
      <c r="U236" s="103">
        <v>7.5</v>
      </c>
      <c r="V236" s="103" t="s">
        <v>65</v>
      </c>
      <c r="W236" s="103" t="s">
        <v>310</v>
      </c>
    </row>
    <row r="237" spans="1:23" x14ac:dyDescent="0.45">
      <c r="A237" s="103">
        <f t="shared" si="12"/>
        <v>236</v>
      </c>
      <c r="B237" s="103" t="s">
        <v>5935</v>
      </c>
      <c r="C237" s="103" t="s">
        <v>2559</v>
      </c>
      <c r="D237" s="103" t="s">
        <v>518</v>
      </c>
      <c r="E237" s="103" t="s">
        <v>73</v>
      </c>
      <c r="F237" s="103" t="s">
        <v>72</v>
      </c>
      <c r="G237" s="103" t="s">
        <v>71</v>
      </c>
      <c r="H237" s="103" t="s">
        <v>5976</v>
      </c>
      <c r="I237" s="103" t="s">
        <v>272</v>
      </c>
      <c r="J237" s="103" t="s">
        <v>122</v>
      </c>
      <c r="K237" s="103" t="s">
        <v>186</v>
      </c>
      <c r="L237" s="103" t="s">
        <v>5982</v>
      </c>
      <c r="M237" s="103"/>
      <c r="N237" s="103" t="s">
        <v>5935</v>
      </c>
      <c r="O237" s="103" t="s">
        <v>5813</v>
      </c>
      <c r="P237" s="103" t="s">
        <v>5920</v>
      </c>
      <c r="Q237" s="103"/>
      <c r="R237" s="103"/>
      <c r="S237" s="103" t="s">
        <v>5920</v>
      </c>
      <c r="T237" s="103">
        <v>467226</v>
      </c>
      <c r="U237" s="103">
        <v>7.5</v>
      </c>
      <c r="V237" s="103" t="s">
        <v>65</v>
      </c>
      <c r="W237" s="103" t="s">
        <v>310</v>
      </c>
    </row>
    <row r="238" spans="1:23" x14ac:dyDescent="0.45">
      <c r="A238" s="103">
        <f t="shared" si="12"/>
        <v>237</v>
      </c>
      <c r="B238" s="103" t="s">
        <v>5935</v>
      </c>
      <c r="C238" s="103" t="s">
        <v>2559</v>
      </c>
      <c r="D238" s="103" t="s">
        <v>518</v>
      </c>
      <c r="E238" s="103" t="s">
        <v>73</v>
      </c>
      <c r="F238" s="103" t="s">
        <v>72</v>
      </c>
      <c r="G238" s="103" t="s">
        <v>71</v>
      </c>
      <c r="H238" s="103" t="s">
        <v>5976</v>
      </c>
      <c r="I238" s="103" t="s">
        <v>272</v>
      </c>
      <c r="J238" s="103" t="s">
        <v>122</v>
      </c>
      <c r="K238" s="103" t="s">
        <v>186</v>
      </c>
      <c r="L238" s="103" t="s">
        <v>5983</v>
      </c>
      <c r="M238" s="103"/>
      <c r="N238" s="103"/>
      <c r="O238" s="103" t="s">
        <v>5814</v>
      </c>
      <c r="P238" s="103" t="s">
        <v>5920</v>
      </c>
      <c r="Q238" s="103"/>
      <c r="R238" s="103"/>
      <c r="S238" s="103" t="s">
        <v>5920</v>
      </c>
      <c r="T238" s="103">
        <v>467226</v>
      </c>
      <c r="U238" s="103">
        <v>7.5</v>
      </c>
      <c r="V238" s="103" t="s">
        <v>65</v>
      </c>
      <c r="W238" s="103" t="s">
        <v>310</v>
      </c>
    </row>
    <row r="239" spans="1:23" x14ac:dyDescent="0.45">
      <c r="A239" s="103">
        <f t="shared" si="12"/>
        <v>238</v>
      </c>
      <c r="B239" s="103" t="s">
        <v>5935</v>
      </c>
      <c r="C239" s="103" t="s">
        <v>2559</v>
      </c>
      <c r="D239" s="103" t="s">
        <v>518</v>
      </c>
      <c r="E239" s="103" t="s">
        <v>73</v>
      </c>
      <c r="F239" s="103" t="s">
        <v>72</v>
      </c>
      <c r="G239" s="103" t="s">
        <v>71</v>
      </c>
      <c r="H239" s="103" t="s">
        <v>5976</v>
      </c>
      <c r="I239" s="103"/>
      <c r="J239" s="103"/>
      <c r="K239" s="103"/>
      <c r="L239" s="103"/>
      <c r="M239" s="103"/>
      <c r="N239" s="103" t="s">
        <v>5935</v>
      </c>
      <c r="O239" s="103" t="s">
        <v>5819</v>
      </c>
      <c r="P239" s="103"/>
      <c r="Q239" s="103"/>
      <c r="R239" s="103"/>
      <c r="S239" s="103"/>
      <c r="T239" s="103">
        <v>467226</v>
      </c>
      <c r="U239" s="103"/>
      <c r="V239" s="103" t="s">
        <v>65</v>
      </c>
      <c r="W239" s="103" t="s">
        <v>310</v>
      </c>
    </row>
    <row r="240" spans="1:23" x14ac:dyDescent="0.45">
      <c r="A240" s="103">
        <f t="shared" si="12"/>
        <v>239</v>
      </c>
      <c r="B240" s="103" t="s">
        <v>5935</v>
      </c>
      <c r="C240" s="103" t="s">
        <v>2559</v>
      </c>
      <c r="D240" s="103" t="s">
        <v>518</v>
      </c>
      <c r="E240" s="103" t="s">
        <v>73</v>
      </c>
      <c r="F240" s="103" t="s">
        <v>72</v>
      </c>
      <c r="G240" s="103" t="s">
        <v>71</v>
      </c>
      <c r="H240" s="103" t="s">
        <v>5976</v>
      </c>
      <c r="I240" s="103" t="s">
        <v>278</v>
      </c>
      <c r="J240" s="103" t="s">
        <v>164</v>
      </c>
      <c r="K240" s="103" t="s">
        <v>5636</v>
      </c>
      <c r="L240" s="103"/>
      <c r="M240" s="103"/>
      <c r="N240" s="103" t="s">
        <v>5935</v>
      </c>
      <c r="O240" s="103" t="s">
        <v>47</v>
      </c>
      <c r="P240" s="103" t="s">
        <v>5917</v>
      </c>
      <c r="Q240" s="103"/>
      <c r="R240" s="103"/>
      <c r="S240" s="103" t="s">
        <v>5888</v>
      </c>
      <c r="T240" s="103">
        <v>467226</v>
      </c>
      <c r="U240" s="103">
        <v>6.2</v>
      </c>
      <c r="V240" s="103" t="s">
        <v>5823</v>
      </c>
      <c r="W240" s="103" t="s">
        <v>310</v>
      </c>
    </row>
    <row r="241" spans="1:23" x14ac:dyDescent="0.45">
      <c r="A241" s="103">
        <f t="shared" si="12"/>
        <v>240</v>
      </c>
      <c r="B241" s="103" t="s">
        <v>5935</v>
      </c>
      <c r="C241" s="103" t="s">
        <v>2559</v>
      </c>
      <c r="D241" s="103" t="s">
        <v>518</v>
      </c>
      <c r="E241" s="103" t="s">
        <v>73</v>
      </c>
      <c r="F241" s="103" t="s">
        <v>72</v>
      </c>
      <c r="G241" s="103" t="s">
        <v>71</v>
      </c>
      <c r="H241" s="103" t="s">
        <v>5976</v>
      </c>
      <c r="I241" s="103" t="s">
        <v>278</v>
      </c>
      <c r="J241" s="103" t="s">
        <v>164</v>
      </c>
      <c r="K241" s="103" t="s">
        <v>5636</v>
      </c>
      <c r="L241" s="103"/>
      <c r="M241" s="103"/>
      <c r="N241" s="103" t="s">
        <v>5935</v>
      </c>
      <c r="O241" s="103" t="s">
        <v>5580</v>
      </c>
      <c r="P241" s="103">
        <v>7</v>
      </c>
      <c r="Q241" s="103"/>
      <c r="R241" s="103"/>
      <c r="S241" s="103" t="s">
        <v>5903</v>
      </c>
      <c r="T241" s="103">
        <v>467226</v>
      </c>
      <c r="U241" s="103">
        <v>6.1</v>
      </c>
      <c r="V241" s="103" t="s">
        <v>5823</v>
      </c>
      <c r="W241" s="103" t="s">
        <v>310</v>
      </c>
    </row>
    <row r="242" spans="1:23" x14ac:dyDescent="0.45">
      <c r="A242" s="103">
        <f t="shared" si="12"/>
        <v>241</v>
      </c>
      <c r="B242" s="103" t="s">
        <v>5935</v>
      </c>
      <c r="C242" s="103" t="s">
        <v>2559</v>
      </c>
      <c r="D242" s="103" t="s">
        <v>518</v>
      </c>
      <c r="E242" s="103" t="s">
        <v>73</v>
      </c>
      <c r="F242" s="103" t="s">
        <v>72</v>
      </c>
      <c r="G242" s="103" t="s">
        <v>71</v>
      </c>
      <c r="H242" s="103" t="s">
        <v>5976</v>
      </c>
      <c r="I242" s="103" t="s">
        <v>278</v>
      </c>
      <c r="J242" s="103" t="s">
        <v>164</v>
      </c>
      <c r="K242" s="103" t="s">
        <v>5636</v>
      </c>
      <c r="L242" s="103"/>
      <c r="M242" s="103"/>
      <c r="N242" s="103" t="s">
        <v>5935</v>
      </c>
      <c r="O242" s="103" t="s">
        <v>5812</v>
      </c>
      <c r="P242" s="103" t="s">
        <v>5943</v>
      </c>
      <c r="Q242" s="103"/>
      <c r="R242" s="103"/>
      <c r="S242" s="103" t="s">
        <v>5903</v>
      </c>
      <c r="T242" s="103">
        <v>467226</v>
      </c>
      <c r="U242" s="103">
        <v>6.1</v>
      </c>
      <c r="V242" s="103" t="s">
        <v>5823</v>
      </c>
      <c r="W242" s="103" t="s">
        <v>310</v>
      </c>
    </row>
    <row r="243" spans="1:23" x14ac:dyDescent="0.45">
      <c r="A243" s="103">
        <f t="shared" si="12"/>
        <v>242</v>
      </c>
      <c r="B243" s="103" t="s">
        <v>5935</v>
      </c>
      <c r="C243" s="103" t="s">
        <v>2559</v>
      </c>
      <c r="D243" s="103" t="s">
        <v>518</v>
      </c>
      <c r="E243" s="103" t="s">
        <v>73</v>
      </c>
      <c r="F243" s="103" t="s">
        <v>72</v>
      </c>
      <c r="G243" s="103" t="s">
        <v>71</v>
      </c>
      <c r="H243" s="103" t="s">
        <v>5976</v>
      </c>
      <c r="I243" s="103" t="s">
        <v>278</v>
      </c>
      <c r="J243" s="103" t="s">
        <v>164</v>
      </c>
      <c r="K243" s="103" t="s">
        <v>5636</v>
      </c>
      <c r="L243" s="103"/>
      <c r="M243" s="103"/>
      <c r="N243" s="103" t="s">
        <v>5935</v>
      </c>
      <c r="O243" s="103" t="s">
        <v>5581</v>
      </c>
      <c r="P243" s="103" t="s">
        <v>5903</v>
      </c>
      <c r="Q243" s="103"/>
      <c r="R243" s="103"/>
      <c r="S243" s="103">
        <v>6</v>
      </c>
      <c r="T243" s="103">
        <v>467226</v>
      </c>
      <c r="U243" s="103" t="s">
        <v>5796</v>
      </c>
      <c r="V243" s="103" t="s">
        <v>5823</v>
      </c>
      <c r="W243" s="103" t="s">
        <v>310</v>
      </c>
    </row>
    <row r="244" spans="1:23" x14ac:dyDescent="0.45">
      <c r="A244" s="103">
        <f t="shared" si="12"/>
        <v>243</v>
      </c>
      <c r="B244" s="103" t="s">
        <v>5935</v>
      </c>
      <c r="C244" s="103" t="s">
        <v>2559</v>
      </c>
      <c r="D244" s="103" t="s">
        <v>518</v>
      </c>
      <c r="E244" s="103" t="s">
        <v>73</v>
      </c>
      <c r="F244" s="103" t="s">
        <v>72</v>
      </c>
      <c r="G244" s="103" t="s">
        <v>71</v>
      </c>
      <c r="H244" s="103" t="s">
        <v>5976</v>
      </c>
      <c r="I244" s="103" t="s">
        <v>278</v>
      </c>
      <c r="J244" s="103" t="s">
        <v>164</v>
      </c>
      <c r="K244" s="103" t="s">
        <v>5636</v>
      </c>
      <c r="L244" s="103"/>
      <c r="M244" s="103"/>
      <c r="N244" s="103" t="s">
        <v>5935</v>
      </c>
      <c r="O244" s="103" t="s">
        <v>5813</v>
      </c>
      <c r="P244" s="103">
        <v>6</v>
      </c>
      <c r="Q244" s="103"/>
      <c r="R244" s="103"/>
      <c r="S244" s="103" t="s">
        <v>5903</v>
      </c>
      <c r="T244" s="103">
        <v>467226</v>
      </c>
      <c r="U244" s="103" t="s">
        <v>5796</v>
      </c>
      <c r="V244" s="103" t="s">
        <v>5823</v>
      </c>
      <c r="W244" s="103" t="s">
        <v>310</v>
      </c>
    </row>
    <row r="245" spans="1:23" x14ac:dyDescent="0.45">
      <c r="A245" s="103">
        <f t="shared" si="12"/>
        <v>244</v>
      </c>
      <c r="B245" s="103" t="s">
        <v>5935</v>
      </c>
      <c r="C245" s="103" t="s">
        <v>2559</v>
      </c>
      <c r="D245" s="103" t="s">
        <v>518</v>
      </c>
      <c r="E245" s="103" t="s">
        <v>73</v>
      </c>
      <c r="F245" s="103" t="s">
        <v>72</v>
      </c>
      <c r="G245" s="103" t="s">
        <v>71</v>
      </c>
      <c r="H245" s="103" t="s">
        <v>5976</v>
      </c>
      <c r="I245" s="103" t="s">
        <v>278</v>
      </c>
      <c r="J245" s="103" t="s">
        <v>164</v>
      </c>
      <c r="K245" s="103" t="s">
        <v>5636</v>
      </c>
      <c r="L245" s="103"/>
      <c r="M245" s="103"/>
      <c r="N245" s="103" t="s">
        <v>5935</v>
      </c>
      <c r="O245" s="103" t="s">
        <v>5814</v>
      </c>
      <c r="P245" s="103">
        <v>7</v>
      </c>
      <c r="Q245" s="103"/>
      <c r="R245" s="103"/>
      <c r="S245" s="103" t="s">
        <v>5790</v>
      </c>
      <c r="T245" s="103">
        <v>467226</v>
      </c>
      <c r="U245" s="103">
        <v>6.1</v>
      </c>
      <c r="V245" s="103" t="s">
        <v>5823</v>
      </c>
      <c r="W245" s="103" t="s">
        <v>310</v>
      </c>
    </row>
    <row r="246" spans="1:23" x14ac:dyDescent="0.45">
      <c r="A246" s="103">
        <f t="shared" ref="A246:A272" si="13">ROW()-1</f>
        <v>245</v>
      </c>
      <c r="B246" s="103" t="s">
        <v>5999</v>
      </c>
      <c r="C246" s="103" t="s">
        <v>5782</v>
      </c>
      <c r="D246" s="103"/>
      <c r="E246" s="103" t="s">
        <v>100</v>
      </c>
      <c r="F246" s="103" t="s">
        <v>77</v>
      </c>
      <c r="G246" s="103" t="s">
        <v>88</v>
      </c>
      <c r="H246" s="103" t="s">
        <v>5997</v>
      </c>
      <c r="I246" s="103" t="s">
        <v>143</v>
      </c>
      <c r="J246" s="103" t="s">
        <v>122</v>
      </c>
      <c r="K246" s="103" t="s">
        <v>5788</v>
      </c>
      <c r="L246" s="103"/>
      <c r="M246" s="103"/>
      <c r="N246" s="103" t="s">
        <v>5999</v>
      </c>
      <c r="O246" s="103" t="s">
        <v>47</v>
      </c>
      <c r="P246" s="103" t="s">
        <v>5985</v>
      </c>
      <c r="Q246" s="103"/>
      <c r="R246" s="103"/>
      <c r="S246" s="103" t="s">
        <v>5985</v>
      </c>
      <c r="T246" s="103">
        <v>447289</v>
      </c>
      <c r="U246" s="103">
        <v>8.5</v>
      </c>
      <c r="V246" s="103" t="s">
        <v>65</v>
      </c>
      <c r="W246" s="103" t="s">
        <v>310</v>
      </c>
    </row>
    <row r="247" spans="1:23" x14ac:dyDescent="0.45">
      <c r="A247" s="103">
        <f t="shared" si="13"/>
        <v>246</v>
      </c>
      <c r="B247" s="103" t="s">
        <v>5999</v>
      </c>
      <c r="C247" s="103" t="s">
        <v>5782</v>
      </c>
      <c r="D247" s="103"/>
      <c r="E247" s="103" t="s">
        <v>100</v>
      </c>
      <c r="F247" s="103" t="s">
        <v>77</v>
      </c>
      <c r="G247" s="103" t="s">
        <v>88</v>
      </c>
      <c r="H247" s="103" t="s">
        <v>5997</v>
      </c>
      <c r="I247" s="103" t="s">
        <v>143</v>
      </c>
      <c r="J247" s="103" t="s">
        <v>122</v>
      </c>
      <c r="K247" s="103" t="s">
        <v>5788</v>
      </c>
      <c r="L247" s="103"/>
      <c r="M247" s="103"/>
      <c r="N247" s="103" t="s">
        <v>5999</v>
      </c>
      <c r="O247" s="103" t="s">
        <v>5580</v>
      </c>
      <c r="P247" s="103" t="s">
        <v>5985</v>
      </c>
      <c r="Q247" s="103"/>
      <c r="R247" s="103"/>
      <c r="S247" s="103" t="s">
        <v>5985</v>
      </c>
      <c r="T247" s="103">
        <v>447289</v>
      </c>
      <c r="U247" s="103">
        <v>8.5</v>
      </c>
      <c r="V247" s="103" t="s">
        <v>65</v>
      </c>
      <c r="W247" s="103" t="s">
        <v>310</v>
      </c>
    </row>
    <row r="248" spans="1:23" x14ac:dyDescent="0.45">
      <c r="A248" s="103">
        <f t="shared" si="13"/>
        <v>247</v>
      </c>
      <c r="B248" s="103" t="s">
        <v>5999</v>
      </c>
      <c r="C248" s="103" t="s">
        <v>5782</v>
      </c>
      <c r="D248" s="103"/>
      <c r="E248" s="103" t="s">
        <v>100</v>
      </c>
      <c r="F248" s="103" t="s">
        <v>77</v>
      </c>
      <c r="G248" s="103" t="s">
        <v>88</v>
      </c>
      <c r="H248" s="103" t="s">
        <v>5997</v>
      </c>
      <c r="I248" s="103"/>
      <c r="J248" s="103" t="s">
        <v>5596</v>
      </c>
      <c r="K248" s="103" t="s">
        <v>5992</v>
      </c>
      <c r="L248" s="103" t="s">
        <v>5994</v>
      </c>
      <c r="M248" s="103"/>
      <c r="N248" s="103" t="s">
        <v>5999</v>
      </c>
      <c r="O248" s="103" t="s">
        <v>5581</v>
      </c>
      <c r="P248" s="103" t="s">
        <v>5993</v>
      </c>
      <c r="Q248" s="103"/>
      <c r="R248" s="103"/>
      <c r="S248" s="103" t="s">
        <v>5993</v>
      </c>
      <c r="T248" s="103">
        <v>447289</v>
      </c>
      <c r="U248" s="103">
        <v>8.5</v>
      </c>
      <c r="V248" s="103" t="s">
        <v>65</v>
      </c>
      <c r="W248" s="103" t="s">
        <v>310</v>
      </c>
    </row>
    <row r="249" spans="1:23" x14ac:dyDescent="0.45">
      <c r="A249" s="103">
        <f t="shared" si="13"/>
        <v>248</v>
      </c>
      <c r="B249" s="103" t="s">
        <v>5999</v>
      </c>
      <c r="C249" s="103" t="s">
        <v>5782</v>
      </c>
      <c r="D249" s="103"/>
      <c r="E249" s="103" t="s">
        <v>100</v>
      </c>
      <c r="F249" s="103" t="s">
        <v>77</v>
      </c>
      <c r="G249" s="103" t="s">
        <v>88</v>
      </c>
      <c r="H249" s="103" t="s">
        <v>5997</v>
      </c>
      <c r="I249" s="103" t="s">
        <v>143</v>
      </c>
      <c r="J249" s="103" t="s">
        <v>142</v>
      </c>
      <c r="K249" s="103" t="s">
        <v>144</v>
      </c>
      <c r="L249" s="103"/>
      <c r="M249" s="103"/>
      <c r="N249" s="103" t="s">
        <v>5999</v>
      </c>
      <c r="O249" s="103" t="s">
        <v>5813</v>
      </c>
      <c r="P249" s="103" t="s">
        <v>5845</v>
      </c>
      <c r="Q249" s="103"/>
      <c r="R249" s="103"/>
      <c r="S249" s="103">
        <v>13</v>
      </c>
      <c r="T249" s="103">
        <v>447289</v>
      </c>
      <c r="U249" s="103">
        <v>8.5</v>
      </c>
      <c r="V249" s="103" t="s">
        <v>65</v>
      </c>
      <c r="W249" s="103" t="s">
        <v>310</v>
      </c>
    </row>
    <row r="250" spans="1:23" x14ac:dyDescent="0.45">
      <c r="A250" s="103">
        <f t="shared" si="13"/>
        <v>249</v>
      </c>
      <c r="B250" s="103" t="s">
        <v>5999</v>
      </c>
      <c r="C250" s="103" t="s">
        <v>5782</v>
      </c>
      <c r="D250" s="103"/>
      <c r="E250" s="103" t="s">
        <v>100</v>
      </c>
      <c r="F250" s="103" t="s">
        <v>77</v>
      </c>
      <c r="G250" s="103" t="s">
        <v>88</v>
      </c>
      <c r="H250" s="103" t="s">
        <v>5997</v>
      </c>
      <c r="I250" s="103" t="s">
        <v>143</v>
      </c>
      <c r="J250" s="103" t="s">
        <v>142</v>
      </c>
      <c r="K250" s="103" t="s">
        <v>144</v>
      </c>
      <c r="L250" s="103"/>
      <c r="M250" s="103"/>
      <c r="N250" s="103"/>
      <c r="O250" s="103" t="s">
        <v>5814</v>
      </c>
      <c r="P250" s="103" t="s">
        <v>5918</v>
      </c>
      <c r="Q250" s="103"/>
      <c r="R250" s="103"/>
      <c r="S250" s="103" t="s">
        <v>5791</v>
      </c>
      <c r="T250" s="103">
        <v>447289</v>
      </c>
      <c r="U250" s="103">
        <v>5.8</v>
      </c>
      <c r="V250" s="103" t="s">
        <v>65</v>
      </c>
      <c r="W250" s="103" t="s">
        <v>310</v>
      </c>
    </row>
    <row r="251" spans="1:23" x14ac:dyDescent="0.45">
      <c r="A251" s="103">
        <f t="shared" si="13"/>
        <v>250</v>
      </c>
      <c r="B251" s="103" t="s">
        <v>5999</v>
      </c>
      <c r="C251" s="103" t="s">
        <v>5782</v>
      </c>
      <c r="D251" s="103"/>
      <c r="E251" s="103" t="s">
        <v>100</v>
      </c>
      <c r="F251" s="103" t="s">
        <v>77</v>
      </c>
      <c r="G251" s="103" t="s">
        <v>88</v>
      </c>
      <c r="H251" s="103" t="s">
        <v>5997</v>
      </c>
      <c r="I251" s="103" t="s">
        <v>143</v>
      </c>
      <c r="J251" s="103" t="s">
        <v>122</v>
      </c>
      <c r="K251" s="103" t="s">
        <v>192</v>
      </c>
      <c r="L251" s="103"/>
      <c r="M251" s="103"/>
      <c r="N251" s="103" t="s">
        <v>5999</v>
      </c>
      <c r="O251" s="103" t="s">
        <v>5815</v>
      </c>
      <c r="P251" s="103"/>
      <c r="Q251" s="103"/>
      <c r="R251" s="103"/>
      <c r="S251" s="103" t="s">
        <v>5958</v>
      </c>
      <c r="T251" s="103">
        <v>447289</v>
      </c>
      <c r="U251" s="103">
        <v>8.4</v>
      </c>
      <c r="V251" s="103" t="s">
        <v>65</v>
      </c>
      <c r="W251" s="103" t="s">
        <v>310</v>
      </c>
    </row>
    <row r="252" spans="1:23" x14ac:dyDescent="0.45">
      <c r="A252" s="103">
        <f t="shared" si="13"/>
        <v>251</v>
      </c>
      <c r="B252" s="103" t="s">
        <v>5999</v>
      </c>
      <c r="C252" s="103" t="s">
        <v>5782</v>
      </c>
      <c r="D252" s="103"/>
      <c r="E252" s="103" t="s">
        <v>100</v>
      </c>
      <c r="F252" s="103" t="s">
        <v>77</v>
      </c>
      <c r="G252" s="103" t="s">
        <v>88</v>
      </c>
      <c r="H252" s="103" t="s">
        <v>5997</v>
      </c>
      <c r="I252" s="103" t="s">
        <v>143</v>
      </c>
      <c r="J252" s="103" t="s">
        <v>164</v>
      </c>
      <c r="K252" s="103" t="s">
        <v>5987</v>
      </c>
      <c r="L252" s="103"/>
      <c r="M252" s="103"/>
      <c r="N252" s="103" t="s">
        <v>5999</v>
      </c>
      <c r="O252" s="103" t="s">
        <v>5816</v>
      </c>
      <c r="P252" s="103" t="s">
        <v>5855</v>
      </c>
      <c r="Q252" s="103"/>
      <c r="R252" s="103"/>
      <c r="S252" s="103" t="s">
        <v>5958</v>
      </c>
      <c r="T252" s="103">
        <v>447289</v>
      </c>
      <c r="U252" s="103">
        <v>8.5</v>
      </c>
      <c r="V252" s="103" t="s">
        <v>65</v>
      </c>
      <c r="W252" s="103" t="s">
        <v>310</v>
      </c>
    </row>
    <row r="253" spans="1:23" x14ac:dyDescent="0.45">
      <c r="A253" s="103">
        <f t="shared" si="13"/>
        <v>252</v>
      </c>
      <c r="B253" s="103" t="s">
        <v>5999</v>
      </c>
      <c r="C253" s="103" t="s">
        <v>5782</v>
      </c>
      <c r="D253" s="103"/>
      <c r="E253" s="103" t="s">
        <v>100</v>
      </c>
      <c r="F253" s="103" t="s">
        <v>77</v>
      </c>
      <c r="G253" s="103" t="s">
        <v>88</v>
      </c>
      <c r="H253" s="103" t="s">
        <v>5997</v>
      </c>
      <c r="I253" s="103" t="s">
        <v>143</v>
      </c>
      <c r="J253" s="103" t="s">
        <v>5591</v>
      </c>
      <c r="K253" s="103" t="s">
        <v>5988</v>
      </c>
      <c r="L253" s="103"/>
      <c r="M253" s="103"/>
      <c r="N253" s="103" t="s">
        <v>5999</v>
      </c>
      <c r="O253" s="103" t="s">
        <v>5817</v>
      </c>
      <c r="P253" s="103" t="s">
        <v>5871</v>
      </c>
      <c r="Q253" s="103"/>
      <c r="R253" s="103"/>
      <c r="S253" s="103" t="s">
        <v>5989</v>
      </c>
      <c r="T253" s="103">
        <v>447289</v>
      </c>
      <c r="U253" s="103">
        <v>8.5</v>
      </c>
      <c r="V253" s="103" t="s">
        <v>65</v>
      </c>
      <c r="W253" s="103" t="s">
        <v>310</v>
      </c>
    </row>
    <row r="254" spans="1:23" x14ac:dyDescent="0.45">
      <c r="A254" s="103">
        <f t="shared" si="13"/>
        <v>253</v>
      </c>
      <c r="B254" s="103" t="s">
        <v>5999</v>
      </c>
      <c r="C254" s="103" t="s">
        <v>5782</v>
      </c>
      <c r="D254" s="103"/>
      <c r="E254" s="103" t="s">
        <v>100</v>
      </c>
      <c r="F254" s="103" t="s">
        <v>77</v>
      </c>
      <c r="G254" s="103" t="s">
        <v>88</v>
      </c>
      <c r="H254" s="103" t="s">
        <v>5997</v>
      </c>
      <c r="I254" s="103" t="s">
        <v>143</v>
      </c>
      <c r="J254" s="103" t="s">
        <v>5591</v>
      </c>
      <c r="K254" s="103" t="s">
        <v>5988</v>
      </c>
      <c r="L254" s="103"/>
      <c r="M254" s="103"/>
      <c r="N254" s="103" t="s">
        <v>5999</v>
      </c>
      <c r="O254" s="103" t="s">
        <v>5818</v>
      </c>
      <c r="P254" s="103" t="s">
        <v>5888</v>
      </c>
      <c r="Q254" s="103"/>
      <c r="R254" s="103"/>
      <c r="S254" s="103" t="s">
        <v>5946</v>
      </c>
      <c r="T254" s="103">
        <v>447289</v>
      </c>
      <c r="U254" s="103">
        <v>8.3000000000000007</v>
      </c>
      <c r="V254" s="103" t="s">
        <v>65</v>
      </c>
      <c r="W254" s="103" t="s">
        <v>310</v>
      </c>
    </row>
    <row r="255" spans="1:23" x14ac:dyDescent="0.45">
      <c r="A255" s="103">
        <f t="shared" si="13"/>
        <v>254</v>
      </c>
      <c r="B255" s="103" t="s">
        <v>5999</v>
      </c>
      <c r="C255" s="103" t="s">
        <v>5782</v>
      </c>
      <c r="D255" s="103"/>
      <c r="E255" s="103" t="s">
        <v>100</v>
      </c>
      <c r="F255" s="103" t="s">
        <v>77</v>
      </c>
      <c r="G255" s="103" t="s">
        <v>88</v>
      </c>
      <c r="H255" s="103" t="s">
        <v>5997</v>
      </c>
      <c r="I255" s="103" t="s">
        <v>143</v>
      </c>
      <c r="J255" s="103" t="s">
        <v>122</v>
      </c>
      <c r="K255" s="103" t="s">
        <v>5788</v>
      </c>
      <c r="L255" s="103"/>
      <c r="M255" s="103"/>
      <c r="N255" s="103" t="s">
        <v>5999</v>
      </c>
      <c r="O255" s="103" t="s">
        <v>5819</v>
      </c>
      <c r="P255" s="103" t="s">
        <v>5789</v>
      </c>
      <c r="Q255" s="103"/>
      <c r="R255" s="103"/>
      <c r="S255" s="103" t="s">
        <v>5958</v>
      </c>
      <c r="T255" s="103">
        <v>447289</v>
      </c>
      <c r="U255" s="103">
        <v>8.5</v>
      </c>
      <c r="V255" s="103" t="s">
        <v>65</v>
      </c>
      <c r="W255" s="103" t="s">
        <v>310</v>
      </c>
    </row>
    <row r="256" spans="1:23" x14ac:dyDescent="0.45">
      <c r="A256" s="103">
        <f t="shared" si="13"/>
        <v>255</v>
      </c>
      <c r="B256" s="103" t="s">
        <v>5999</v>
      </c>
      <c r="C256" s="103" t="s">
        <v>5782</v>
      </c>
      <c r="D256" s="103"/>
      <c r="E256" s="103" t="s">
        <v>100</v>
      </c>
      <c r="F256" s="103" t="s">
        <v>77</v>
      </c>
      <c r="G256" s="103" t="s">
        <v>88</v>
      </c>
      <c r="H256" s="103" t="s">
        <v>5997</v>
      </c>
      <c r="I256" s="103" t="s">
        <v>143</v>
      </c>
      <c r="J256" s="103" t="s">
        <v>122</v>
      </c>
      <c r="K256" s="103" t="s">
        <v>5788</v>
      </c>
      <c r="L256" s="103"/>
      <c r="M256" s="103"/>
      <c r="N256" s="103" t="s">
        <v>5999</v>
      </c>
      <c r="O256" s="103" t="s">
        <v>5820</v>
      </c>
      <c r="P256" s="103" t="s">
        <v>5986</v>
      </c>
      <c r="Q256" s="103"/>
      <c r="R256" s="103"/>
      <c r="S256" s="103" t="s">
        <v>5901</v>
      </c>
      <c r="T256" s="103">
        <v>447289</v>
      </c>
      <c r="U256" s="103">
        <v>8.5</v>
      </c>
      <c r="V256" s="103" t="s">
        <v>65</v>
      </c>
      <c r="W256" s="103" t="s">
        <v>310</v>
      </c>
    </row>
    <row r="257" spans="1:23" x14ac:dyDescent="0.45">
      <c r="A257" s="103">
        <f t="shared" si="13"/>
        <v>256</v>
      </c>
      <c r="B257" s="103" t="s">
        <v>5999</v>
      </c>
      <c r="C257" s="103" t="s">
        <v>5782</v>
      </c>
      <c r="D257" s="103"/>
      <c r="E257" s="103" t="s">
        <v>100</v>
      </c>
      <c r="F257" s="103" t="s">
        <v>77</v>
      </c>
      <c r="G257" s="103" t="s">
        <v>88</v>
      </c>
      <c r="H257" s="103" t="s">
        <v>5997</v>
      </c>
      <c r="I257" s="103" t="s">
        <v>116</v>
      </c>
      <c r="J257" s="103" t="s">
        <v>122</v>
      </c>
      <c r="K257" s="103" t="s">
        <v>288</v>
      </c>
      <c r="L257" s="103"/>
      <c r="M257" s="103"/>
      <c r="N257" s="103" t="s">
        <v>5999</v>
      </c>
      <c r="O257" s="103" t="s">
        <v>5821</v>
      </c>
      <c r="P257" s="103">
        <v>6</v>
      </c>
      <c r="Q257" s="103"/>
      <c r="R257" s="103"/>
      <c r="S257" s="103" t="s">
        <v>5958</v>
      </c>
      <c r="T257" s="103">
        <v>447289</v>
      </c>
      <c r="U257" s="103">
        <v>8.5</v>
      </c>
      <c r="V257" s="103" t="s">
        <v>65</v>
      </c>
      <c r="W257" s="103" t="s">
        <v>310</v>
      </c>
    </row>
    <row r="258" spans="1:23" x14ac:dyDescent="0.45">
      <c r="A258" s="103">
        <f t="shared" si="13"/>
        <v>257</v>
      </c>
      <c r="B258" s="103" t="s">
        <v>5999</v>
      </c>
      <c r="C258" s="103" t="s">
        <v>5782</v>
      </c>
      <c r="D258" s="103"/>
      <c r="E258" s="103" t="s">
        <v>100</v>
      </c>
      <c r="F258" s="103" t="s">
        <v>77</v>
      </c>
      <c r="G258" s="103" t="s">
        <v>88</v>
      </c>
      <c r="H258" s="103" t="s">
        <v>5997</v>
      </c>
      <c r="I258" s="103" t="s">
        <v>116</v>
      </c>
      <c r="J258" s="103" t="s">
        <v>122</v>
      </c>
      <c r="K258" s="103" t="s">
        <v>288</v>
      </c>
      <c r="L258" s="103"/>
      <c r="M258" s="103"/>
      <c r="N258" s="103" t="s">
        <v>5999</v>
      </c>
      <c r="O258" s="103" t="s">
        <v>5822</v>
      </c>
      <c r="P258" s="103" t="s">
        <v>5791</v>
      </c>
      <c r="Q258" s="103"/>
      <c r="R258" s="103"/>
      <c r="S258" s="103" t="s">
        <v>5800</v>
      </c>
      <c r="T258" s="103">
        <v>447289</v>
      </c>
      <c r="U258" s="103">
        <v>8.4</v>
      </c>
      <c r="V258" s="103" t="s">
        <v>65</v>
      </c>
      <c r="W258" s="103" t="s">
        <v>310</v>
      </c>
    </row>
    <row r="259" spans="1:23" x14ac:dyDescent="0.45">
      <c r="A259" s="103">
        <f t="shared" si="13"/>
        <v>258</v>
      </c>
      <c r="B259" s="103" t="s">
        <v>5999</v>
      </c>
      <c r="C259" s="103" t="s">
        <v>5782</v>
      </c>
      <c r="D259" s="103"/>
      <c r="E259" s="103" t="s">
        <v>100</v>
      </c>
      <c r="F259" s="103" t="s">
        <v>77</v>
      </c>
      <c r="G259" s="103" t="s">
        <v>88</v>
      </c>
      <c r="H259" s="103" t="s">
        <v>5997</v>
      </c>
      <c r="I259" s="103" t="s">
        <v>143</v>
      </c>
      <c r="J259" s="103" t="s">
        <v>122</v>
      </c>
      <c r="K259" s="103" t="s">
        <v>5788</v>
      </c>
      <c r="L259" s="103"/>
      <c r="M259" s="103"/>
      <c r="N259" s="103" t="s">
        <v>5999</v>
      </c>
      <c r="O259" s="103" t="s">
        <v>47</v>
      </c>
      <c r="P259" s="103" t="s">
        <v>5985</v>
      </c>
      <c r="Q259" s="103"/>
      <c r="R259" s="103"/>
      <c r="S259" s="103" t="s">
        <v>5985</v>
      </c>
      <c r="T259" s="103">
        <v>447289</v>
      </c>
      <c r="U259" s="103">
        <v>8.5</v>
      </c>
      <c r="V259" s="103" t="s">
        <v>5823</v>
      </c>
      <c r="W259" s="103" t="s">
        <v>310</v>
      </c>
    </row>
    <row r="260" spans="1:23" x14ac:dyDescent="0.45">
      <c r="A260" s="103">
        <f t="shared" si="13"/>
        <v>259</v>
      </c>
      <c r="B260" s="103" t="s">
        <v>5999</v>
      </c>
      <c r="C260" s="103" t="s">
        <v>5782</v>
      </c>
      <c r="D260" s="103"/>
      <c r="E260" s="103" t="s">
        <v>100</v>
      </c>
      <c r="F260" s="103" t="s">
        <v>77</v>
      </c>
      <c r="G260" s="103" t="s">
        <v>88</v>
      </c>
      <c r="H260" s="103" t="s">
        <v>5997</v>
      </c>
      <c r="I260" s="103" t="s">
        <v>143</v>
      </c>
      <c r="J260" s="103" t="s">
        <v>122</v>
      </c>
      <c r="K260" s="103" t="s">
        <v>5788</v>
      </c>
      <c r="L260" s="103"/>
      <c r="M260" s="103"/>
      <c r="N260" s="103" t="s">
        <v>5999</v>
      </c>
      <c r="O260" s="103" t="s">
        <v>5580</v>
      </c>
      <c r="P260" s="103" t="s">
        <v>5985</v>
      </c>
      <c r="Q260" s="103"/>
      <c r="R260" s="103"/>
      <c r="S260" s="103" t="s">
        <v>5985</v>
      </c>
      <c r="T260" s="103">
        <v>447289</v>
      </c>
      <c r="U260" s="103">
        <v>8.5</v>
      </c>
      <c r="V260" s="103" t="s">
        <v>5823</v>
      </c>
      <c r="W260" s="103" t="s">
        <v>310</v>
      </c>
    </row>
    <row r="261" spans="1:23" x14ac:dyDescent="0.45">
      <c r="A261" s="103">
        <f t="shared" si="13"/>
        <v>260</v>
      </c>
      <c r="B261" s="103" t="s">
        <v>5999</v>
      </c>
      <c r="C261" s="103" t="s">
        <v>5782</v>
      </c>
      <c r="D261" s="103"/>
      <c r="E261" s="103" t="s">
        <v>100</v>
      </c>
      <c r="F261" s="103" t="s">
        <v>77</v>
      </c>
      <c r="G261" s="103" t="s">
        <v>88</v>
      </c>
      <c r="H261" s="103" t="s">
        <v>5997</v>
      </c>
      <c r="I261" s="103" t="s">
        <v>143</v>
      </c>
      <c r="J261" s="103" t="s">
        <v>142</v>
      </c>
      <c r="K261" s="103" t="s">
        <v>144</v>
      </c>
      <c r="L261" s="103"/>
      <c r="M261" s="103"/>
      <c r="N261" s="103" t="s">
        <v>5999</v>
      </c>
      <c r="O261" s="103" t="s">
        <v>5812</v>
      </c>
      <c r="P261" s="103" t="s">
        <v>5845</v>
      </c>
      <c r="Q261" s="103"/>
      <c r="R261" s="103"/>
      <c r="S261" s="103">
        <v>13</v>
      </c>
      <c r="T261" s="103">
        <v>447289</v>
      </c>
      <c r="U261" s="103">
        <v>8.4</v>
      </c>
      <c r="V261" s="103" t="s">
        <v>5823</v>
      </c>
      <c r="W261" s="103" t="s">
        <v>310</v>
      </c>
    </row>
    <row r="262" spans="1:23" x14ac:dyDescent="0.45">
      <c r="A262" s="103">
        <f t="shared" si="13"/>
        <v>261</v>
      </c>
      <c r="B262" s="103" t="s">
        <v>5999</v>
      </c>
      <c r="C262" s="103" t="s">
        <v>5782</v>
      </c>
      <c r="D262" s="103"/>
      <c r="E262" s="103" t="s">
        <v>100</v>
      </c>
      <c r="F262" s="103" t="s">
        <v>77</v>
      </c>
      <c r="G262" s="103" t="s">
        <v>88</v>
      </c>
      <c r="H262" s="103" t="s">
        <v>5997</v>
      </c>
      <c r="I262" s="103" t="s">
        <v>143</v>
      </c>
      <c r="J262" s="103" t="s">
        <v>142</v>
      </c>
      <c r="K262" s="103" t="s">
        <v>144</v>
      </c>
      <c r="L262" s="103"/>
      <c r="M262" s="103"/>
      <c r="N262" s="103" t="s">
        <v>5999</v>
      </c>
      <c r="O262" s="103" t="s">
        <v>5581</v>
      </c>
      <c r="P262" s="103" t="s">
        <v>5918</v>
      </c>
      <c r="Q262" s="103"/>
      <c r="R262" s="103"/>
      <c r="S262" s="103" t="s">
        <v>5791</v>
      </c>
      <c r="T262" s="103">
        <v>447289</v>
      </c>
      <c r="U262" s="103" t="s">
        <v>5796</v>
      </c>
      <c r="V262" s="103" t="s">
        <v>5823</v>
      </c>
      <c r="W262" s="103" t="s">
        <v>310</v>
      </c>
    </row>
    <row r="263" spans="1:23" x14ac:dyDescent="0.45">
      <c r="A263" s="103">
        <f t="shared" si="13"/>
        <v>262</v>
      </c>
      <c r="B263" s="103" t="s">
        <v>5999</v>
      </c>
      <c r="C263" s="103" t="s">
        <v>5782</v>
      </c>
      <c r="D263" s="103"/>
      <c r="E263" s="103" t="s">
        <v>100</v>
      </c>
      <c r="F263" s="103" t="s">
        <v>77</v>
      </c>
      <c r="G263" s="103" t="s">
        <v>88</v>
      </c>
      <c r="H263" s="103" t="s">
        <v>5997</v>
      </c>
      <c r="I263" s="103" t="s">
        <v>143</v>
      </c>
      <c r="J263" s="103" t="s">
        <v>5990</v>
      </c>
      <c r="K263" s="103" t="s">
        <v>5991</v>
      </c>
      <c r="L263" s="103"/>
      <c r="M263" s="103"/>
      <c r="N263" s="103" t="s">
        <v>5999</v>
      </c>
      <c r="O263" s="103" t="s">
        <v>5813</v>
      </c>
      <c r="P263" s="103" t="s">
        <v>5947</v>
      </c>
      <c r="Q263" s="103"/>
      <c r="R263" s="103"/>
      <c r="S263" s="103" t="s">
        <v>5855</v>
      </c>
      <c r="T263" s="103">
        <v>447289</v>
      </c>
      <c r="U263" s="103" t="s">
        <v>5796</v>
      </c>
      <c r="V263" s="103" t="s">
        <v>5823</v>
      </c>
      <c r="W263" s="103" t="s">
        <v>310</v>
      </c>
    </row>
    <row r="264" spans="1:23" x14ac:dyDescent="0.45">
      <c r="A264" s="103">
        <f t="shared" si="13"/>
        <v>263</v>
      </c>
      <c r="B264" s="103" t="s">
        <v>5999</v>
      </c>
      <c r="C264" s="103" t="s">
        <v>5782</v>
      </c>
      <c r="D264" s="103"/>
      <c r="E264" s="103" t="s">
        <v>100</v>
      </c>
      <c r="F264" s="103" t="s">
        <v>77</v>
      </c>
      <c r="G264" s="103" t="s">
        <v>88</v>
      </c>
      <c r="H264" s="103" t="s">
        <v>5997</v>
      </c>
      <c r="I264" s="103" t="s">
        <v>143</v>
      </c>
      <c r="J264" s="103" t="s">
        <v>5990</v>
      </c>
      <c r="K264" s="103" t="s">
        <v>5991</v>
      </c>
      <c r="L264" s="103"/>
      <c r="M264" s="103"/>
      <c r="N264" s="103" t="s">
        <v>5999</v>
      </c>
      <c r="O264" s="103" t="s">
        <v>5814</v>
      </c>
      <c r="P264" s="103" t="s">
        <v>5915</v>
      </c>
      <c r="Q264" s="103"/>
      <c r="R264" s="103"/>
      <c r="S264" s="103" t="s">
        <v>5795</v>
      </c>
      <c r="T264" s="103">
        <v>447289</v>
      </c>
      <c r="U264" s="103">
        <v>8.4</v>
      </c>
      <c r="V264" s="103" t="s">
        <v>5823</v>
      </c>
      <c r="W264" s="103" t="s">
        <v>310</v>
      </c>
    </row>
    <row r="265" spans="1:23" x14ac:dyDescent="0.45">
      <c r="A265" s="103">
        <f t="shared" si="13"/>
        <v>264</v>
      </c>
      <c r="B265" s="103" t="s">
        <v>5999</v>
      </c>
      <c r="C265" s="103" t="s">
        <v>5782</v>
      </c>
      <c r="D265" s="103"/>
      <c r="E265" s="103" t="s">
        <v>100</v>
      </c>
      <c r="F265" s="103" t="s">
        <v>77</v>
      </c>
      <c r="G265" s="103" t="s">
        <v>88</v>
      </c>
      <c r="H265" s="103" t="s">
        <v>5997</v>
      </c>
      <c r="I265" s="103" t="s">
        <v>143</v>
      </c>
      <c r="J265" s="103" t="s">
        <v>122</v>
      </c>
      <c r="K265" s="103" t="s">
        <v>192</v>
      </c>
      <c r="L265" s="103"/>
      <c r="M265" s="103"/>
      <c r="N265" s="103" t="s">
        <v>5999</v>
      </c>
      <c r="O265" s="103" t="s">
        <v>5815</v>
      </c>
      <c r="P265" s="103" t="s">
        <v>5798</v>
      </c>
      <c r="Q265" s="103"/>
      <c r="R265" s="103"/>
      <c r="S265" s="103" t="s">
        <v>5958</v>
      </c>
      <c r="T265" s="103">
        <v>447289</v>
      </c>
      <c r="U265" s="103">
        <v>8.4</v>
      </c>
      <c r="V265" s="103" t="s">
        <v>5823</v>
      </c>
      <c r="W265" s="103" t="s">
        <v>310</v>
      </c>
    </row>
    <row r="266" spans="1:23" x14ac:dyDescent="0.45">
      <c r="A266" s="103">
        <f t="shared" si="13"/>
        <v>265</v>
      </c>
      <c r="B266" s="103" t="s">
        <v>5999</v>
      </c>
      <c r="C266" s="103" t="s">
        <v>5782</v>
      </c>
      <c r="D266" s="103"/>
      <c r="E266" s="103" t="s">
        <v>100</v>
      </c>
      <c r="F266" s="103" t="s">
        <v>77</v>
      </c>
      <c r="G266" s="103" t="s">
        <v>88</v>
      </c>
      <c r="H266" s="103" t="s">
        <v>5997</v>
      </c>
      <c r="I266" s="103" t="s">
        <v>143</v>
      </c>
      <c r="J266" s="103" t="s">
        <v>164</v>
      </c>
      <c r="K266" s="103" t="s">
        <v>5987</v>
      </c>
      <c r="L266" s="103"/>
      <c r="M266" s="103"/>
      <c r="N266" s="103" t="s">
        <v>5999</v>
      </c>
      <c r="O266" s="103" t="s">
        <v>5816</v>
      </c>
      <c r="P266" s="103" t="s">
        <v>5855</v>
      </c>
      <c r="Q266" s="103"/>
      <c r="R266" s="103"/>
      <c r="S266" s="103" t="s">
        <v>5958</v>
      </c>
      <c r="T266" s="103">
        <v>447289</v>
      </c>
      <c r="U266" s="103" t="s">
        <v>5796</v>
      </c>
      <c r="V266" s="103" t="s">
        <v>5823</v>
      </c>
      <c r="W266" s="103" t="s">
        <v>310</v>
      </c>
    </row>
    <row r="267" spans="1:23" x14ac:dyDescent="0.45">
      <c r="A267" s="103">
        <f t="shared" si="13"/>
        <v>266</v>
      </c>
      <c r="B267" s="103" t="s">
        <v>5999</v>
      </c>
      <c r="C267" s="103" t="s">
        <v>5782</v>
      </c>
      <c r="D267" s="103"/>
      <c r="E267" s="103" t="s">
        <v>100</v>
      </c>
      <c r="F267" s="103" t="s">
        <v>77</v>
      </c>
      <c r="G267" s="103" t="s">
        <v>88</v>
      </c>
      <c r="H267" s="103" t="s">
        <v>5997</v>
      </c>
      <c r="I267" s="103" t="s">
        <v>143</v>
      </c>
      <c r="J267" s="103" t="s">
        <v>5591</v>
      </c>
      <c r="K267" s="103" t="s">
        <v>5988</v>
      </c>
      <c r="L267" s="103"/>
      <c r="M267" s="103"/>
      <c r="N267" s="103" t="s">
        <v>5999</v>
      </c>
      <c r="O267" s="103" t="s">
        <v>5817</v>
      </c>
      <c r="P267" s="103" t="s">
        <v>5871</v>
      </c>
      <c r="Q267" s="103"/>
      <c r="R267" s="103"/>
      <c r="S267" s="103" t="s">
        <v>5989</v>
      </c>
      <c r="T267" s="103">
        <v>447289</v>
      </c>
      <c r="U267" s="103" t="s">
        <v>5796</v>
      </c>
      <c r="V267" s="103" t="s">
        <v>5823</v>
      </c>
      <c r="W267" s="103" t="s">
        <v>310</v>
      </c>
    </row>
    <row r="268" spans="1:23" x14ac:dyDescent="0.45">
      <c r="A268" s="103">
        <f t="shared" si="13"/>
        <v>267</v>
      </c>
      <c r="B268" s="103" t="s">
        <v>5999</v>
      </c>
      <c r="C268" s="103" t="s">
        <v>5782</v>
      </c>
      <c r="D268" s="103"/>
      <c r="E268" s="103" t="s">
        <v>100</v>
      </c>
      <c r="F268" s="103" t="s">
        <v>77</v>
      </c>
      <c r="G268" s="103" t="s">
        <v>88</v>
      </c>
      <c r="H268" s="103" t="s">
        <v>5997</v>
      </c>
      <c r="I268" s="103" t="s">
        <v>143</v>
      </c>
      <c r="J268" s="103" t="s">
        <v>5591</v>
      </c>
      <c r="K268" s="103" t="s">
        <v>5988</v>
      </c>
      <c r="L268" s="103"/>
      <c r="M268" s="103"/>
      <c r="N268" s="103" t="s">
        <v>5999</v>
      </c>
      <c r="O268" s="103" t="s">
        <v>5815</v>
      </c>
      <c r="P268" s="103" t="s">
        <v>5888</v>
      </c>
      <c r="Q268" s="103"/>
      <c r="R268" s="103"/>
      <c r="S268" s="103" t="s">
        <v>5946</v>
      </c>
      <c r="T268" s="103">
        <v>447289</v>
      </c>
      <c r="U268" s="103">
        <v>8.3000000000000007</v>
      </c>
      <c r="V268" s="103" t="s">
        <v>5823</v>
      </c>
      <c r="W268" s="103" t="s">
        <v>310</v>
      </c>
    </row>
    <row r="269" spans="1:23" x14ac:dyDescent="0.45">
      <c r="A269" s="103">
        <f t="shared" si="13"/>
        <v>268</v>
      </c>
      <c r="B269" s="103" t="s">
        <v>5999</v>
      </c>
      <c r="C269" s="103" t="s">
        <v>5782</v>
      </c>
      <c r="D269" s="103"/>
      <c r="E269" s="103" t="s">
        <v>100</v>
      </c>
      <c r="F269" s="103" t="s">
        <v>77</v>
      </c>
      <c r="G269" s="103" t="s">
        <v>88</v>
      </c>
      <c r="H269" s="103" t="s">
        <v>5997</v>
      </c>
      <c r="I269" s="103" t="s">
        <v>143</v>
      </c>
      <c r="J269" s="103" t="s">
        <v>122</v>
      </c>
      <c r="K269" s="103" t="s">
        <v>5788</v>
      </c>
      <c r="L269" s="103"/>
      <c r="M269" s="103"/>
      <c r="N269" s="103" t="s">
        <v>5999</v>
      </c>
      <c r="O269" s="103" t="s">
        <v>5819</v>
      </c>
      <c r="P269" s="103" t="s">
        <v>5789</v>
      </c>
      <c r="Q269" s="103"/>
      <c r="R269" s="103"/>
      <c r="S269" s="103" t="s">
        <v>5958</v>
      </c>
      <c r="T269" s="103">
        <v>447289</v>
      </c>
      <c r="U269" s="103">
        <v>8.5</v>
      </c>
      <c r="V269" s="103" t="s">
        <v>5823</v>
      </c>
      <c r="W269" s="103" t="s">
        <v>310</v>
      </c>
    </row>
    <row r="270" spans="1:23" x14ac:dyDescent="0.45">
      <c r="A270" s="103">
        <f t="shared" si="13"/>
        <v>269</v>
      </c>
      <c r="B270" s="103" t="s">
        <v>5999</v>
      </c>
      <c r="C270" s="103" t="s">
        <v>5782</v>
      </c>
      <c r="D270" s="103"/>
      <c r="E270" s="103" t="s">
        <v>100</v>
      </c>
      <c r="F270" s="103" t="s">
        <v>77</v>
      </c>
      <c r="G270" s="103" t="s">
        <v>88</v>
      </c>
      <c r="H270" s="103" t="s">
        <v>5997</v>
      </c>
      <c r="I270" s="103" t="s">
        <v>143</v>
      </c>
      <c r="J270" s="103" t="s">
        <v>122</v>
      </c>
      <c r="K270" s="103" t="s">
        <v>5788</v>
      </c>
      <c r="L270" s="103"/>
      <c r="M270" s="103"/>
      <c r="N270" s="103" t="s">
        <v>5999</v>
      </c>
      <c r="O270" s="103" t="s">
        <v>5820</v>
      </c>
      <c r="P270" s="103" t="s">
        <v>5986</v>
      </c>
      <c r="Q270" s="103"/>
      <c r="R270" s="103"/>
      <c r="S270" s="103" t="s">
        <v>5901</v>
      </c>
      <c r="T270" s="103">
        <v>447289</v>
      </c>
      <c r="U270" s="103" t="s">
        <v>5796</v>
      </c>
      <c r="V270" s="103" t="s">
        <v>5823</v>
      </c>
      <c r="W270" s="103" t="s">
        <v>310</v>
      </c>
    </row>
    <row r="271" spans="1:23" x14ac:dyDescent="0.45">
      <c r="A271" s="103">
        <f t="shared" si="13"/>
        <v>270</v>
      </c>
      <c r="B271" s="103" t="s">
        <v>5999</v>
      </c>
      <c r="C271" s="103" t="s">
        <v>5782</v>
      </c>
      <c r="D271" s="103"/>
      <c r="E271" s="103" t="s">
        <v>100</v>
      </c>
      <c r="F271" s="103" t="s">
        <v>77</v>
      </c>
      <c r="G271" s="103" t="s">
        <v>88</v>
      </c>
      <c r="H271" s="103" t="s">
        <v>5997</v>
      </c>
      <c r="I271" s="103" t="s">
        <v>116</v>
      </c>
      <c r="J271" s="103" t="s">
        <v>122</v>
      </c>
      <c r="K271" s="103" t="s">
        <v>288</v>
      </c>
      <c r="L271" s="103"/>
      <c r="M271" s="103"/>
      <c r="N271" s="103" t="s">
        <v>5999</v>
      </c>
      <c r="O271" s="103" t="s">
        <v>5821</v>
      </c>
      <c r="P271" s="103">
        <v>6</v>
      </c>
      <c r="Q271" s="103"/>
      <c r="R271" s="103"/>
      <c r="S271" s="103" t="s">
        <v>5958</v>
      </c>
      <c r="T271" s="103">
        <v>447289</v>
      </c>
      <c r="U271" s="103" t="s">
        <v>5796</v>
      </c>
      <c r="V271" s="103" t="s">
        <v>5823</v>
      </c>
      <c r="W271" s="103" t="s">
        <v>310</v>
      </c>
    </row>
    <row r="272" spans="1:23" x14ac:dyDescent="0.45">
      <c r="A272" s="103">
        <f t="shared" si="13"/>
        <v>271</v>
      </c>
      <c r="B272" s="103" t="s">
        <v>5999</v>
      </c>
      <c r="C272" s="103" t="s">
        <v>5782</v>
      </c>
      <c r="D272" s="103"/>
      <c r="E272" s="103" t="s">
        <v>100</v>
      </c>
      <c r="F272" s="103" t="s">
        <v>77</v>
      </c>
      <c r="G272" s="103" t="s">
        <v>88</v>
      </c>
      <c r="H272" s="103" t="s">
        <v>5997</v>
      </c>
      <c r="I272" s="103" t="s">
        <v>116</v>
      </c>
      <c r="J272" s="103" t="s">
        <v>122</v>
      </c>
      <c r="K272" s="103" t="s">
        <v>288</v>
      </c>
      <c r="L272" s="103"/>
      <c r="M272" s="103"/>
      <c r="N272" s="103" t="s">
        <v>5999</v>
      </c>
      <c r="O272" s="103" t="s">
        <v>5822</v>
      </c>
      <c r="P272" s="103" t="s">
        <v>5791</v>
      </c>
      <c r="Q272" s="103"/>
      <c r="R272" s="103"/>
      <c r="S272" s="103" t="s">
        <v>5800</v>
      </c>
      <c r="T272" s="103">
        <v>447289</v>
      </c>
      <c r="U272" s="103">
        <v>8.4</v>
      </c>
      <c r="V272" s="103" t="s">
        <v>5823</v>
      </c>
      <c r="W272" s="103" t="s">
        <v>310</v>
      </c>
    </row>
    <row r="273" spans="1:23" x14ac:dyDescent="0.45">
      <c r="A273" s="103">
        <f t="shared" ref="A273:A300" si="14">ROW()-1</f>
        <v>272</v>
      </c>
      <c r="B273" s="103" t="s">
        <v>6000</v>
      </c>
      <c r="C273" s="103" t="s">
        <v>5782</v>
      </c>
      <c r="D273" s="103"/>
      <c r="E273" s="103" t="s">
        <v>100</v>
      </c>
      <c r="F273" s="103" t="s">
        <v>77</v>
      </c>
      <c r="G273" s="103" t="s">
        <v>88</v>
      </c>
      <c r="H273" s="103" t="s">
        <v>6001</v>
      </c>
      <c r="I273" s="103" t="s">
        <v>143</v>
      </c>
      <c r="J273" s="103" t="s">
        <v>122</v>
      </c>
      <c r="K273" s="103" t="s">
        <v>184</v>
      </c>
      <c r="L273" s="103"/>
      <c r="M273" s="103"/>
      <c r="N273" s="103" t="s">
        <v>6000</v>
      </c>
      <c r="O273" s="103" t="s">
        <v>47</v>
      </c>
      <c r="P273" s="103" t="s">
        <v>6004</v>
      </c>
      <c r="Q273" s="103"/>
      <c r="R273" s="103"/>
      <c r="S273" s="103" t="s">
        <v>5845</v>
      </c>
      <c r="T273" s="103">
        <v>656431</v>
      </c>
      <c r="U273" s="103">
        <v>8.8000000000000007</v>
      </c>
      <c r="V273" s="103" t="s">
        <v>65</v>
      </c>
      <c r="W273" s="103" t="s">
        <v>310</v>
      </c>
    </row>
    <row r="274" spans="1:23" x14ac:dyDescent="0.45">
      <c r="A274" s="103">
        <f t="shared" si="14"/>
        <v>273</v>
      </c>
      <c r="B274" s="103" t="s">
        <v>6000</v>
      </c>
      <c r="C274" s="103" t="s">
        <v>5782</v>
      </c>
      <c r="D274" s="103"/>
      <c r="E274" s="103" t="s">
        <v>100</v>
      </c>
      <c r="F274" s="103" t="s">
        <v>77</v>
      </c>
      <c r="G274" s="103" t="s">
        <v>88</v>
      </c>
      <c r="H274" s="103" t="s">
        <v>6001</v>
      </c>
      <c r="I274" s="103" t="s">
        <v>143</v>
      </c>
      <c r="J274" s="103" t="s">
        <v>122</v>
      </c>
      <c r="K274" s="103" t="s">
        <v>184</v>
      </c>
      <c r="L274" s="103"/>
      <c r="M274" s="103"/>
      <c r="N274" s="103" t="s">
        <v>6000</v>
      </c>
      <c r="O274" s="103" t="s">
        <v>5580</v>
      </c>
      <c r="P274" s="103" t="s">
        <v>6005</v>
      </c>
      <c r="Q274" s="103"/>
      <c r="R274" s="103"/>
      <c r="S274" s="103" t="s">
        <v>5842</v>
      </c>
      <c r="T274" s="103">
        <v>656431</v>
      </c>
      <c r="U274" s="103">
        <v>8.8000000000000007</v>
      </c>
      <c r="V274" s="103" t="s">
        <v>65</v>
      </c>
      <c r="W274" s="103" t="s">
        <v>310</v>
      </c>
    </row>
    <row r="275" spans="1:23" x14ac:dyDescent="0.45">
      <c r="A275" s="103">
        <f t="shared" si="14"/>
        <v>274</v>
      </c>
      <c r="B275" s="103" t="s">
        <v>6000</v>
      </c>
      <c r="C275" s="103" t="s">
        <v>5782</v>
      </c>
      <c r="D275" s="103"/>
      <c r="E275" s="103" t="s">
        <v>100</v>
      </c>
      <c r="F275" s="103" t="s">
        <v>77</v>
      </c>
      <c r="G275" s="103" t="s">
        <v>88</v>
      </c>
      <c r="H275" s="103" t="s">
        <v>6001</v>
      </c>
      <c r="I275" s="103" t="s">
        <v>143</v>
      </c>
      <c r="J275" s="103" t="s">
        <v>6016</v>
      </c>
      <c r="K275" s="103" t="s">
        <v>5992</v>
      </c>
      <c r="L275" s="103" t="s">
        <v>6017</v>
      </c>
      <c r="M275" s="103"/>
      <c r="N275" s="103" t="s">
        <v>6000</v>
      </c>
      <c r="O275" s="103" t="s">
        <v>5812</v>
      </c>
      <c r="P275" s="103" t="s">
        <v>5993</v>
      </c>
      <c r="Q275" s="103"/>
      <c r="R275" s="103"/>
      <c r="S275" s="103" t="s">
        <v>5993</v>
      </c>
      <c r="T275" s="103">
        <v>656431</v>
      </c>
      <c r="U275" s="103">
        <v>8.5</v>
      </c>
      <c r="V275" s="103" t="s">
        <v>65</v>
      </c>
      <c r="W275" s="103" t="s">
        <v>310</v>
      </c>
    </row>
    <row r="276" spans="1:23" x14ac:dyDescent="0.45">
      <c r="A276" s="103">
        <f t="shared" si="14"/>
        <v>275</v>
      </c>
      <c r="B276" s="103" t="s">
        <v>6000</v>
      </c>
      <c r="C276" s="103" t="s">
        <v>5782</v>
      </c>
      <c r="D276" s="103"/>
      <c r="E276" s="103" t="s">
        <v>100</v>
      </c>
      <c r="F276" s="103" t="s">
        <v>77</v>
      </c>
      <c r="G276" s="103" t="s">
        <v>88</v>
      </c>
      <c r="H276" s="103" t="s">
        <v>6001</v>
      </c>
      <c r="I276" s="103"/>
      <c r="J276" s="103" t="s">
        <v>6016</v>
      </c>
      <c r="K276" s="103" t="s">
        <v>5992</v>
      </c>
      <c r="L276" s="103" t="s">
        <v>6018</v>
      </c>
      <c r="M276" s="103"/>
      <c r="N276" s="103" t="s">
        <v>6000</v>
      </c>
      <c r="O276" s="103" t="s">
        <v>5581</v>
      </c>
      <c r="P276" s="103" t="s">
        <v>5993</v>
      </c>
      <c r="Q276" s="103"/>
      <c r="R276" s="103"/>
      <c r="S276" s="103" t="s">
        <v>5993</v>
      </c>
      <c r="T276" s="103">
        <v>656431</v>
      </c>
      <c r="U276" s="103">
        <v>8.5</v>
      </c>
      <c r="V276" s="103" t="s">
        <v>65</v>
      </c>
      <c r="W276" s="103" t="s">
        <v>310</v>
      </c>
    </row>
    <row r="277" spans="1:23" x14ac:dyDescent="0.45">
      <c r="A277" s="103">
        <f t="shared" si="14"/>
        <v>276</v>
      </c>
      <c r="B277" s="103" t="s">
        <v>6000</v>
      </c>
      <c r="C277" s="103" t="s">
        <v>5782</v>
      </c>
      <c r="D277" s="103"/>
      <c r="E277" s="103" t="s">
        <v>100</v>
      </c>
      <c r="F277" s="103" t="s">
        <v>77</v>
      </c>
      <c r="G277" s="103" t="s">
        <v>88</v>
      </c>
      <c r="H277" s="103" t="s">
        <v>6001</v>
      </c>
      <c r="I277" s="103" t="s">
        <v>143</v>
      </c>
      <c r="J277" s="103" t="s">
        <v>6016</v>
      </c>
      <c r="K277" s="103" t="s">
        <v>5992</v>
      </c>
      <c r="L277" s="103" t="s">
        <v>6019</v>
      </c>
      <c r="M277" s="103"/>
      <c r="N277" s="103" t="s">
        <v>6000</v>
      </c>
      <c r="O277" s="103" t="s">
        <v>5813</v>
      </c>
      <c r="P277" s="103" t="s">
        <v>5993</v>
      </c>
      <c r="Q277" s="103"/>
      <c r="R277" s="103"/>
      <c r="S277" s="103" t="s">
        <v>5993</v>
      </c>
      <c r="T277" s="103">
        <v>656431</v>
      </c>
      <c r="U277" s="103">
        <v>8.5</v>
      </c>
      <c r="V277" s="103" t="s">
        <v>65</v>
      </c>
      <c r="W277" s="103" t="s">
        <v>310</v>
      </c>
    </row>
    <row r="278" spans="1:23" x14ac:dyDescent="0.45">
      <c r="A278" s="103">
        <f t="shared" si="14"/>
        <v>277</v>
      </c>
      <c r="B278" s="103" t="s">
        <v>6000</v>
      </c>
      <c r="C278" s="103" t="s">
        <v>5782</v>
      </c>
      <c r="D278" s="103"/>
      <c r="E278" s="103" t="s">
        <v>100</v>
      </c>
      <c r="F278" s="103" t="s">
        <v>77</v>
      </c>
      <c r="G278" s="103" t="s">
        <v>88</v>
      </c>
      <c r="H278" s="103" t="s">
        <v>6001</v>
      </c>
      <c r="I278" s="103" t="s">
        <v>143</v>
      </c>
      <c r="J278" s="103" t="s">
        <v>6016</v>
      </c>
      <c r="K278" s="103" t="s">
        <v>5992</v>
      </c>
      <c r="L278" s="103" t="s">
        <v>6020</v>
      </c>
      <c r="M278" s="103"/>
      <c r="N278" s="103"/>
      <c r="O278" s="103" t="s">
        <v>5814</v>
      </c>
      <c r="P278" s="103" t="s">
        <v>5993</v>
      </c>
      <c r="Q278" s="103"/>
      <c r="R278" s="103"/>
      <c r="S278" s="103" t="s">
        <v>5993</v>
      </c>
      <c r="T278" s="103">
        <v>656431</v>
      </c>
      <c r="U278" s="103">
        <v>8.5</v>
      </c>
      <c r="V278" s="103" t="s">
        <v>65</v>
      </c>
      <c r="W278" s="103" t="s">
        <v>310</v>
      </c>
    </row>
    <row r="279" spans="1:23" x14ac:dyDescent="0.45">
      <c r="A279" s="103">
        <f t="shared" si="14"/>
        <v>278</v>
      </c>
      <c r="B279" s="103" t="s">
        <v>6000</v>
      </c>
      <c r="C279" s="103" t="s">
        <v>5782</v>
      </c>
      <c r="D279" s="103"/>
      <c r="E279" s="103" t="s">
        <v>100</v>
      </c>
      <c r="F279" s="103" t="s">
        <v>77</v>
      </c>
      <c r="G279" s="103" t="s">
        <v>88</v>
      </c>
      <c r="H279" s="103" t="s">
        <v>6001</v>
      </c>
      <c r="I279" s="103" t="s">
        <v>116</v>
      </c>
      <c r="J279" s="103" t="s">
        <v>142</v>
      </c>
      <c r="K279" s="103" t="s">
        <v>6008</v>
      </c>
      <c r="L279" s="103"/>
      <c r="M279" s="103"/>
      <c r="N279" s="103" t="s">
        <v>6000</v>
      </c>
      <c r="O279" s="103" t="s">
        <v>5815</v>
      </c>
      <c r="P279" s="103"/>
      <c r="Q279" s="103"/>
      <c r="R279" s="103"/>
      <c r="S279" s="103" t="s">
        <v>5802</v>
      </c>
      <c r="T279" s="103">
        <v>656431</v>
      </c>
      <c r="U279" s="103">
        <v>8.5</v>
      </c>
      <c r="V279" s="103" t="s">
        <v>65</v>
      </c>
      <c r="W279" s="103" t="s">
        <v>310</v>
      </c>
    </row>
    <row r="280" spans="1:23" x14ac:dyDescent="0.45">
      <c r="A280" s="103">
        <f t="shared" si="14"/>
        <v>279</v>
      </c>
      <c r="B280" s="103" t="s">
        <v>6000</v>
      </c>
      <c r="C280" s="103" t="s">
        <v>5782</v>
      </c>
      <c r="D280" s="103"/>
      <c r="E280" s="103" t="s">
        <v>100</v>
      </c>
      <c r="F280" s="103" t="s">
        <v>77</v>
      </c>
      <c r="G280" s="103" t="s">
        <v>88</v>
      </c>
      <c r="H280" s="103" t="s">
        <v>6001</v>
      </c>
      <c r="I280" s="103" t="s">
        <v>116</v>
      </c>
      <c r="J280" s="103" t="s">
        <v>142</v>
      </c>
      <c r="K280" s="103" t="s">
        <v>6008</v>
      </c>
      <c r="L280" s="103"/>
      <c r="M280" s="103"/>
      <c r="N280" s="103" t="s">
        <v>6000</v>
      </c>
      <c r="O280" s="103" t="s">
        <v>5816</v>
      </c>
      <c r="P280" s="103" t="s">
        <v>5802</v>
      </c>
      <c r="Q280" s="103"/>
      <c r="R280" s="103"/>
      <c r="S280" s="103" t="s">
        <v>5803</v>
      </c>
      <c r="T280" s="103">
        <v>656431</v>
      </c>
      <c r="U280" s="103" t="s">
        <v>5796</v>
      </c>
      <c r="V280" s="103" t="s">
        <v>65</v>
      </c>
      <c r="W280" s="103" t="s">
        <v>310</v>
      </c>
    </row>
    <row r="281" spans="1:23" x14ac:dyDescent="0.45">
      <c r="A281" s="103">
        <f t="shared" si="14"/>
        <v>280</v>
      </c>
      <c r="B281" s="103" t="s">
        <v>6000</v>
      </c>
      <c r="C281" s="103" t="s">
        <v>5782</v>
      </c>
      <c r="D281" s="103"/>
      <c r="E281" s="103" t="s">
        <v>100</v>
      </c>
      <c r="F281" s="103" t="s">
        <v>77</v>
      </c>
      <c r="G281" s="103" t="s">
        <v>88</v>
      </c>
      <c r="H281" s="103" t="s">
        <v>6001</v>
      </c>
      <c r="I281" s="103" t="s">
        <v>116</v>
      </c>
      <c r="J281" s="103" t="s">
        <v>142</v>
      </c>
      <c r="K281" s="103" t="s">
        <v>6008</v>
      </c>
      <c r="L281" s="103"/>
      <c r="M281" s="103"/>
      <c r="N281" s="103" t="s">
        <v>6000</v>
      </c>
      <c r="O281" s="103" t="s">
        <v>5817</v>
      </c>
      <c r="P281" s="103" t="s">
        <v>5803</v>
      </c>
      <c r="Q281" s="103"/>
      <c r="R281" s="103"/>
      <c r="S281" s="103" t="s">
        <v>5805</v>
      </c>
      <c r="T281" s="103">
        <v>656431</v>
      </c>
      <c r="U281" s="103" t="s">
        <v>5796</v>
      </c>
      <c r="V281" s="103" t="s">
        <v>65</v>
      </c>
      <c r="W281" s="103" t="s">
        <v>310</v>
      </c>
    </row>
    <row r="282" spans="1:23" x14ac:dyDescent="0.45">
      <c r="A282" s="103">
        <f t="shared" si="14"/>
        <v>281</v>
      </c>
      <c r="B282" s="103" t="s">
        <v>6000</v>
      </c>
      <c r="C282" s="103" t="s">
        <v>5782</v>
      </c>
      <c r="D282" s="103"/>
      <c r="E282" s="103" t="s">
        <v>100</v>
      </c>
      <c r="F282" s="103" t="s">
        <v>77</v>
      </c>
      <c r="G282" s="103" t="s">
        <v>88</v>
      </c>
      <c r="H282" s="103" t="s">
        <v>6001</v>
      </c>
      <c r="I282" s="103" t="s">
        <v>116</v>
      </c>
      <c r="J282" s="103" t="s">
        <v>142</v>
      </c>
      <c r="K282" s="103" t="s">
        <v>6008</v>
      </c>
      <c r="L282" s="103"/>
      <c r="M282" s="103"/>
      <c r="N282" s="103" t="s">
        <v>6000</v>
      </c>
      <c r="O282" s="103" t="s">
        <v>5818</v>
      </c>
      <c r="P282" s="103" t="s">
        <v>6009</v>
      </c>
      <c r="Q282" s="103"/>
      <c r="R282" s="103"/>
      <c r="S282" s="103" t="s">
        <v>5804</v>
      </c>
      <c r="T282" s="103">
        <v>656431</v>
      </c>
      <c r="U282" s="103">
        <v>8.5</v>
      </c>
      <c r="V282" s="103" t="s">
        <v>65</v>
      </c>
      <c r="W282" s="103" t="s">
        <v>310</v>
      </c>
    </row>
    <row r="283" spans="1:23" x14ac:dyDescent="0.45">
      <c r="A283" s="103">
        <f t="shared" si="14"/>
        <v>282</v>
      </c>
      <c r="B283" s="103" t="s">
        <v>6000</v>
      </c>
      <c r="C283" s="103" t="s">
        <v>5782</v>
      </c>
      <c r="D283" s="103"/>
      <c r="E283" s="103" t="s">
        <v>100</v>
      </c>
      <c r="F283" s="103" t="s">
        <v>77</v>
      </c>
      <c r="G283" s="103" t="s">
        <v>88</v>
      </c>
      <c r="H283" s="103" t="s">
        <v>6001</v>
      </c>
      <c r="I283" s="103" t="s">
        <v>116</v>
      </c>
      <c r="J283" s="103" t="s">
        <v>122</v>
      </c>
      <c r="K283" s="103" t="s">
        <v>288</v>
      </c>
      <c r="L283" s="103"/>
      <c r="M283" s="103"/>
      <c r="N283" s="103" t="s">
        <v>6000</v>
      </c>
      <c r="O283" s="103" t="s">
        <v>5819</v>
      </c>
      <c r="P283" s="103" t="s">
        <v>6010</v>
      </c>
      <c r="Q283" s="103"/>
      <c r="R283" s="103"/>
      <c r="S283" s="103" t="s">
        <v>6011</v>
      </c>
      <c r="T283" s="103">
        <v>656431</v>
      </c>
      <c r="U283" s="103">
        <v>8.4</v>
      </c>
      <c r="V283" s="103" t="s">
        <v>65</v>
      </c>
      <c r="W283" s="103" t="s">
        <v>310</v>
      </c>
    </row>
    <row r="284" spans="1:23" x14ac:dyDescent="0.45">
      <c r="A284" s="103">
        <f t="shared" si="14"/>
        <v>283</v>
      </c>
      <c r="B284" s="103" t="s">
        <v>6000</v>
      </c>
      <c r="C284" s="103" t="s">
        <v>5782</v>
      </c>
      <c r="D284" s="103"/>
      <c r="E284" s="103" t="s">
        <v>100</v>
      </c>
      <c r="F284" s="103" t="s">
        <v>77</v>
      </c>
      <c r="G284" s="103" t="s">
        <v>88</v>
      </c>
      <c r="H284" s="103" t="s">
        <v>6001</v>
      </c>
      <c r="I284" s="103" t="s">
        <v>116</v>
      </c>
      <c r="J284" s="103" t="s">
        <v>122</v>
      </c>
      <c r="K284" s="103" t="s">
        <v>288</v>
      </c>
      <c r="L284" s="103"/>
      <c r="M284" s="103"/>
      <c r="N284" s="103" t="s">
        <v>6000</v>
      </c>
      <c r="O284" s="103" t="s">
        <v>5820</v>
      </c>
      <c r="P284" s="103" t="s">
        <v>6004</v>
      </c>
      <c r="Q284" s="103"/>
      <c r="R284" s="103"/>
      <c r="S284" s="103" t="s">
        <v>6012</v>
      </c>
      <c r="T284" s="103">
        <v>656431</v>
      </c>
      <c r="U284" s="103" t="s">
        <v>5796</v>
      </c>
      <c r="V284" s="103" t="s">
        <v>65</v>
      </c>
      <c r="W284" s="103" t="s">
        <v>310</v>
      </c>
    </row>
    <row r="285" spans="1:23" x14ac:dyDescent="0.45">
      <c r="A285" s="103">
        <f t="shared" si="14"/>
        <v>284</v>
      </c>
      <c r="B285" s="103" t="s">
        <v>6000</v>
      </c>
      <c r="C285" s="103" t="s">
        <v>5782</v>
      </c>
      <c r="D285" s="103"/>
      <c r="E285" s="103" t="s">
        <v>100</v>
      </c>
      <c r="F285" s="103" t="s">
        <v>77</v>
      </c>
      <c r="G285" s="103" t="s">
        <v>88</v>
      </c>
      <c r="H285" s="103" t="s">
        <v>6001</v>
      </c>
      <c r="I285" s="103" t="s">
        <v>143</v>
      </c>
      <c r="J285" s="103" t="s">
        <v>6013</v>
      </c>
      <c r="K285" s="103" t="s">
        <v>6014</v>
      </c>
      <c r="L285" s="103"/>
      <c r="M285" s="103"/>
      <c r="N285" s="103" t="s">
        <v>6000</v>
      </c>
      <c r="O285" s="103" t="s">
        <v>5821</v>
      </c>
      <c r="P285" s="103" t="s">
        <v>5904</v>
      </c>
      <c r="Q285" s="103"/>
      <c r="R285" s="103"/>
      <c r="S285" s="103" t="s">
        <v>5852</v>
      </c>
      <c r="T285" s="103">
        <v>656431</v>
      </c>
      <c r="U285" s="103" t="s">
        <v>5796</v>
      </c>
      <c r="V285" s="103" t="s">
        <v>65</v>
      </c>
      <c r="W285" s="103" t="s">
        <v>310</v>
      </c>
    </row>
    <row r="286" spans="1:23" x14ac:dyDescent="0.45">
      <c r="A286" s="103">
        <f t="shared" si="14"/>
        <v>285</v>
      </c>
      <c r="B286" s="103" t="s">
        <v>6000</v>
      </c>
      <c r="C286" s="103" t="s">
        <v>5782</v>
      </c>
      <c r="D286" s="103"/>
      <c r="E286" s="103" t="s">
        <v>100</v>
      </c>
      <c r="F286" s="103" t="s">
        <v>77</v>
      </c>
      <c r="G286" s="103" t="s">
        <v>88</v>
      </c>
      <c r="H286" s="103" t="s">
        <v>6001</v>
      </c>
      <c r="I286" s="103" t="s">
        <v>143</v>
      </c>
      <c r="J286" s="103" t="s">
        <v>6013</v>
      </c>
      <c r="K286" s="103" t="s">
        <v>6014</v>
      </c>
      <c r="L286" s="103"/>
      <c r="M286" s="103"/>
      <c r="N286" s="103" t="s">
        <v>6000</v>
      </c>
      <c r="O286" s="103" t="s">
        <v>5822</v>
      </c>
      <c r="P286" s="103" t="s">
        <v>6015</v>
      </c>
      <c r="Q286" s="103"/>
      <c r="R286" s="103"/>
      <c r="S286" s="103" t="s">
        <v>6015</v>
      </c>
      <c r="T286" s="103">
        <v>656431</v>
      </c>
      <c r="U286" s="103">
        <v>8.4</v>
      </c>
      <c r="V286" s="103" t="s">
        <v>65</v>
      </c>
      <c r="W286" s="103" t="s">
        <v>310</v>
      </c>
    </row>
    <row r="287" spans="1:23" x14ac:dyDescent="0.45">
      <c r="A287" s="103">
        <f t="shared" si="14"/>
        <v>286</v>
      </c>
      <c r="B287" s="103" t="s">
        <v>6000</v>
      </c>
      <c r="C287" s="103" t="s">
        <v>5782</v>
      </c>
      <c r="D287" s="103"/>
      <c r="E287" s="103" t="s">
        <v>100</v>
      </c>
      <c r="F287" s="103" t="s">
        <v>77</v>
      </c>
      <c r="G287" s="103" t="s">
        <v>88</v>
      </c>
      <c r="H287" s="103" t="s">
        <v>6001</v>
      </c>
      <c r="I287" s="103" t="s">
        <v>143</v>
      </c>
      <c r="J287" s="103" t="s">
        <v>122</v>
      </c>
      <c r="K287" s="103" t="s">
        <v>184</v>
      </c>
      <c r="L287" s="103"/>
      <c r="M287" s="103"/>
      <c r="N287" s="103" t="s">
        <v>6000</v>
      </c>
      <c r="O287" s="103" t="s">
        <v>47</v>
      </c>
      <c r="P287" s="103" t="s">
        <v>6004</v>
      </c>
      <c r="Q287" s="103"/>
      <c r="R287" s="103"/>
      <c r="S287" s="103" t="s">
        <v>5845</v>
      </c>
      <c r="T287" s="103">
        <v>656431</v>
      </c>
      <c r="U287" s="103">
        <v>8.8000000000000007</v>
      </c>
      <c r="V287" s="103" t="s">
        <v>5823</v>
      </c>
      <c r="W287" s="103" t="s">
        <v>310</v>
      </c>
    </row>
    <row r="288" spans="1:23" x14ac:dyDescent="0.45">
      <c r="A288" s="103">
        <f t="shared" si="14"/>
        <v>287</v>
      </c>
      <c r="B288" s="103" t="s">
        <v>6000</v>
      </c>
      <c r="C288" s="103" t="s">
        <v>5782</v>
      </c>
      <c r="D288" s="103"/>
      <c r="E288" s="103" t="s">
        <v>100</v>
      </c>
      <c r="F288" s="103" t="s">
        <v>77</v>
      </c>
      <c r="G288" s="103" t="s">
        <v>88</v>
      </c>
      <c r="H288" s="103" t="s">
        <v>6001</v>
      </c>
      <c r="I288" s="103" t="s">
        <v>143</v>
      </c>
      <c r="J288" s="103" t="s">
        <v>122</v>
      </c>
      <c r="K288" s="103" t="s">
        <v>184</v>
      </c>
      <c r="L288" s="103"/>
      <c r="M288" s="103"/>
      <c r="N288" s="103" t="s">
        <v>6000</v>
      </c>
      <c r="O288" s="103" t="s">
        <v>5580</v>
      </c>
      <c r="P288" s="103" t="s">
        <v>6005</v>
      </c>
      <c r="Q288" s="103"/>
      <c r="R288" s="103"/>
      <c r="S288" s="103" t="s">
        <v>5842</v>
      </c>
      <c r="T288" s="103">
        <v>656431</v>
      </c>
      <c r="U288" s="103">
        <v>8.8000000000000007</v>
      </c>
      <c r="V288" s="103" t="s">
        <v>5823</v>
      </c>
      <c r="W288" s="103" t="s">
        <v>310</v>
      </c>
    </row>
    <row r="289" spans="1:23" x14ac:dyDescent="0.45">
      <c r="A289" s="103">
        <f t="shared" si="14"/>
        <v>288</v>
      </c>
      <c r="B289" s="103" t="s">
        <v>6000</v>
      </c>
      <c r="C289" s="103" t="s">
        <v>5782</v>
      </c>
      <c r="D289" s="103"/>
      <c r="E289" s="103" t="s">
        <v>100</v>
      </c>
      <c r="F289" s="103" t="s">
        <v>77</v>
      </c>
      <c r="G289" s="103" t="s">
        <v>88</v>
      </c>
      <c r="H289" s="103" t="s">
        <v>6001</v>
      </c>
      <c r="I289" s="103" t="s">
        <v>143</v>
      </c>
      <c r="J289" s="103" t="s">
        <v>5591</v>
      </c>
      <c r="K289" s="103" t="s">
        <v>6006</v>
      </c>
      <c r="L289" s="103"/>
      <c r="M289" s="103"/>
      <c r="N289" s="103" t="s">
        <v>6000</v>
      </c>
      <c r="O289" s="103" t="s">
        <v>5812</v>
      </c>
      <c r="P289" s="103" t="s">
        <v>5873</v>
      </c>
      <c r="Q289" s="103"/>
      <c r="R289" s="103"/>
      <c r="S289" s="103">
        <v>5</v>
      </c>
      <c r="T289" s="103">
        <v>656431</v>
      </c>
      <c r="U289" s="103">
        <v>8.3000000000000007</v>
      </c>
      <c r="V289" s="103" t="s">
        <v>5823</v>
      </c>
      <c r="W289" s="103" t="s">
        <v>310</v>
      </c>
    </row>
    <row r="290" spans="1:23" x14ac:dyDescent="0.45">
      <c r="A290" s="103">
        <f t="shared" si="14"/>
        <v>289</v>
      </c>
      <c r="B290" s="103" t="s">
        <v>6000</v>
      </c>
      <c r="C290" s="103" t="s">
        <v>5782</v>
      </c>
      <c r="D290" s="103"/>
      <c r="E290" s="103" t="s">
        <v>100</v>
      </c>
      <c r="F290" s="103" t="s">
        <v>77</v>
      </c>
      <c r="G290" s="103" t="s">
        <v>88</v>
      </c>
      <c r="H290" s="103" t="s">
        <v>6001</v>
      </c>
      <c r="I290" s="103" t="s">
        <v>143</v>
      </c>
      <c r="J290" s="103" t="s">
        <v>5591</v>
      </c>
      <c r="K290" s="103" t="s">
        <v>6006</v>
      </c>
      <c r="L290" s="103"/>
      <c r="M290" s="103"/>
      <c r="N290" s="103" t="s">
        <v>6000</v>
      </c>
      <c r="O290" s="103" t="s">
        <v>5581</v>
      </c>
      <c r="P290" s="103">
        <v>0</v>
      </c>
      <c r="Q290" s="103"/>
      <c r="R290" s="103"/>
      <c r="S290" s="103">
        <v>0</v>
      </c>
      <c r="T290" s="103">
        <v>656431</v>
      </c>
      <c r="U290" s="103" t="s">
        <v>5796</v>
      </c>
      <c r="V290" s="103" t="s">
        <v>5823</v>
      </c>
      <c r="W290" s="103" t="s">
        <v>310</v>
      </c>
    </row>
    <row r="291" spans="1:23" x14ac:dyDescent="0.45">
      <c r="A291" s="103">
        <f t="shared" si="14"/>
        <v>290</v>
      </c>
      <c r="B291" s="103" t="s">
        <v>6000</v>
      </c>
      <c r="C291" s="103" t="s">
        <v>5782</v>
      </c>
      <c r="D291" s="103"/>
      <c r="E291" s="103" t="s">
        <v>100</v>
      </c>
      <c r="F291" s="103" t="s">
        <v>77</v>
      </c>
      <c r="G291" s="103" t="s">
        <v>88</v>
      </c>
      <c r="H291" s="103" t="s">
        <v>6001</v>
      </c>
      <c r="I291" s="103" t="s">
        <v>143</v>
      </c>
      <c r="J291" s="103" t="s">
        <v>273</v>
      </c>
      <c r="K291" s="103" t="s">
        <v>6007</v>
      </c>
      <c r="L291" s="103"/>
      <c r="M291" s="103"/>
      <c r="N291" s="103" t="s">
        <v>6000</v>
      </c>
      <c r="O291" s="103" t="s">
        <v>5813</v>
      </c>
      <c r="P291" s="103">
        <v>0</v>
      </c>
      <c r="Q291" s="103"/>
      <c r="R291" s="103"/>
      <c r="S291" s="103">
        <v>0</v>
      </c>
      <c r="T291" s="103">
        <v>656431</v>
      </c>
      <c r="U291" s="103" t="s">
        <v>5796</v>
      </c>
      <c r="V291" s="103" t="s">
        <v>5823</v>
      </c>
      <c r="W291" s="103" t="s">
        <v>310</v>
      </c>
    </row>
    <row r="292" spans="1:23" x14ac:dyDescent="0.45">
      <c r="A292" s="103">
        <f t="shared" si="14"/>
        <v>291</v>
      </c>
      <c r="B292" s="103" t="s">
        <v>6000</v>
      </c>
      <c r="C292" s="103" t="s">
        <v>5782</v>
      </c>
      <c r="D292" s="103"/>
      <c r="E292" s="103" t="s">
        <v>100</v>
      </c>
      <c r="F292" s="103" t="s">
        <v>77</v>
      </c>
      <c r="G292" s="103" t="s">
        <v>88</v>
      </c>
      <c r="H292" s="103" t="s">
        <v>6001</v>
      </c>
      <c r="I292" s="103" t="s">
        <v>143</v>
      </c>
      <c r="J292" s="103" t="s">
        <v>5591</v>
      </c>
      <c r="K292" s="103" t="s">
        <v>6006</v>
      </c>
      <c r="L292" s="103"/>
      <c r="M292" s="103"/>
      <c r="N292" s="103" t="s">
        <v>6000</v>
      </c>
      <c r="O292" s="103" t="s">
        <v>5814</v>
      </c>
      <c r="P292" s="103" t="s">
        <v>5917</v>
      </c>
      <c r="Q292" s="103"/>
      <c r="R292" s="103"/>
      <c r="S292" s="103" t="s">
        <v>5797</v>
      </c>
      <c r="T292" s="103">
        <v>656431</v>
      </c>
      <c r="U292" s="103">
        <v>8.3000000000000007</v>
      </c>
      <c r="V292" s="103" t="s">
        <v>5823</v>
      </c>
      <c r="W292" s="103" t="s">
        <v>310</v>
      </c>
    </row>
    <row r="293" spans="1:23" x14ac:dyDescent="0.45">
      <c r="A293" s="103">
        <f t="shared" si="14"/>
        <v>292</v>
      </c>
      <c r="B293" s="103" t="s">
        <v>6000</v>
      </c>
      <c r="C293" s="103" t="s">
        <v>5782</v>
      </c>
      <c r="D293" s="103"/>
      <c r="E293" s="103" t="s">
        <v>100</v>
      </c>
      <c r="F293" s="103" t="s">
        <v>77</v>
      </c>
      <c r="G293" s="103" t="s">
        <v>88</v>
      </c>
      <c r="H293" s="103" t="s">
        <v>6001</v>
      </c>
      <c r="I293" s="103" t="s">
        <v>116</v>
      </c>
      <c r="J293" s="103" t="s">
        <v>142</v>
      </c>
      <c r="K293" s="103" t="s">
        <v>6008</v>
      </c>
      <c r="L293" s="103"/>
      <c r="M293" s="103"/>
      <c r="N293" s="103" t="s">
        <v>6000</v>
      </c>
      <c r="O293" s="103" t="s">
        <v>5815</v>
      </c>
      <c r="P293" s="103" t="s">
        <v>5805</v>
      </c>
      <c r="Q293" s="103"/>
      <c r="R293" s="103"/>
      <c r="S293" s="103" t="s">
        <v>5802</v>
      </c>
      <c r="T293" s="103">
        <v>656431</v>
      </c>
      <c r="U293" s="103">
        <v>8.5</v>
      </c>
      <c r="V293" s="103" t="s">
        <v>5823</v>
      </c>
      <c r="W293" s="103" t="s">
        <v>310</v>
      </c>
    </row>
    <row r="294" spans="1:23" x14ac:dyDescent="0.45">
      <c r="A294" s="103">
        <f t="shared" si="14"/>
        <v>293</v>
      </c>
      <c r="B294" s="103" t="s">
        <v>6000</v>
      </c>
      <c r="C294" s="103" t="s">
        <v>5782</v>
      </c>
      <c r="D294" s="103"/>
      <c r="E294" s="103" t="s">
        <v>100</v>
      </c>
      <c r="F294" s="103" t="s">
        <v>77</v>
      </c>
      <c r="G294" s="103" t="s">
        <v>88</v>
      </c>
      <c r="H294" s="103" t="s">
        <v>6001</v>
      </c>
      <c r="I294" s="103" t="s">
        <v>116</v>
      </c>
      <c r="J294" s="103" t="s">
        <v>142</v>
      </c>
      <c r="K294" s="103" t="s">
        <v>6008</v>
      </c>
      <c r="L294" s="103"/>
      <c r="M294" s="103"/>
      <c r="N294" s="103" t="s">
        <v>6000</v>
      </c>
      <c r="O294" s="103" t="s">
        <v>5816</v>
      </c>
      <c r="P294" s="103" t="s">
        <v>5802</v>
      </c>
      <c r="Q294" s="103"/>
      <c r="R294" s="103"/>
      <c r="S294" s="103" t="s">
        <v>5803</v>
      </c>
      <c r="T294" s="103">
        <v>656431</v>
      </c>
      <c r="U294" s="103" t="s">
        <v>5796</v>
      </c>
      <c r="V294" s="103" t="s">
        <v>5823</v>
      </c>
      <c r="W294" s="103" t="s">
        <v>310</v>
      </c>
    </row>
    <row r="295" spans="1:23" x14ac:dyDescent="0.45">
      <c r="A295" s="103">
        <f t="shared" si="14"/>
        <v>294</v>
      </c>
      <c r="B295" s="103" t="s">
        <v>6000</v>
      </c>
      <c r="C295" s="103" t="s">
        <v>5782</v>
      </c>
      <c r="D295" s="103"/>
      <c r="E295" s="103" t="s">
        <v>100</v>
      </c>
      <c r="F295" s="103" t="s">
        <v>77</v>
      </c>
      <c r="G295" s="103" t="s">
        <v>88</v>
      </c>
      <c r="H295" s="103" t="s">
        <v>6001</v>
      </c>
      <c r="I295" s="103" t="s">
        <v>116</v>
      </c>
      <c r="J295" s="103" t="s">
        <v>142</v>
      </c>
      <c r="K295" s="103" t="s">
        <v>6008</v>
      </c>
      <c r="L295" s="103"/>
      <c r="M295" s="103"/>
      <c r="N295" s="103" t="s">
        <v>6000</v>
      </c>
      <c r="O295" s="103" t="s">
        <v>5817</v>
      </c>
      <c r="P295" s="103" t="s">
        <v>5803</v>
      </c>
      <c r="Q295" s="103"/>
      <c r="R295" s="103"/>
      <c r="S295" s="103" t="s">
        <v>5805</v>
      </c>
      <c r="T295" s="103">
        <v>656431</v>
      </c>
      <c r="U295" s="103" t="s">
        <v>5796</v>
      </c>
      <c r="V295" s="103" t="s">
        <v>5823</v>
      </c>
      <c r="W295" s="103" t="s">
        <v>310</v>
      </c>
    </row>
    <row r="296" spans="1:23" x14ac:dyDescent="0.45">
      <c r="A296" s="103">
        <f t="shared" si="14"/>
        <v>295</v>
      </c>
      <c r="B296" s="103" t="s">
        <v>6000</v>
      </c>
      <c r="C296" s="103" t="s">
        <v>5782</v>
      </c>
      <c r="D296" s="103"/>
      <c r="E296" s="103" t="s">
        <v>100</v>
      </c>
      <c r="F296" s="103" t="s">
        <v>77</v>
      </c>
      <c r="G296" s="103" t="s">
        <v>88</v>
      </c>
      <c r="H296" s="103" t="s">
        <v>6001</v>
      </c>
      <c r="I296" s="103" t="s">
        <v>116</v>
      </c>
      <c r="J296" s="103" t="s">
        <v>142</v>
      </c>
      <c r="K296" s="103" t="s">
        <v>6008</v>
      </c>
      <c r="L296" s="103"/>
      <c r="M296" s="103"/>
      <c r="N296" s="103" t="s">
        <v>6000</v>
      </c>
      <c r="O296" s="103" t="s">
        <v>5815</v>
      </c>
      <c r="P296" s="103" t="s">
        <v>6009</v>
      </c>
      <c r="Q296" s="103"/>
      <c r="R296" s="103"/>
      <c r="S296" s="103" t="s">
        <v>5804</v>
      </c>
      <c r="T296" s="103">
        <v>656431</v>
      </c>
      <c r="U296" s="103">
        <v>8.5</v>
      </c>
      <c r="V296" s="103" t="s">
        <v>5823</v>
      </c>
      <c r="W296" s="103" t="s">
        <v>310</v>
      </c>
    </row>
    <row r="297" spans="1:23" x14ac:dyDescent="0.45">
      <c r="A297" s="103">
        <f t="shared" si="14"/>
        <v>296</v>
      </c>
      <c r="B297" s="103" t="s">
        <v>6000</v>
      </c>
      <c r="C297" s="103" t="s">
        <v>5782</v>
      </c>
      <c r="D297" s="103"/>
      <c r="E297" s="103" t="s">
        <v>100</v>
      </c>
      <c r="F297" s="103" t="s">
        <v>77</v>
      </c>
      <c r="G297" s="103" t="s">
        <v>88</v>
      </c>
      <c r="H297" s="103" t="s">
        <v>6001</v>
      </c>
      <c r="I297" s="103" t="s">
        <v>116</v>
      </c>
      <c r="J297" s="103" t="s">
        <v>122</v>
      </c>
      <c r="K297" s="103" t="s">
        <v>288</v>
      </c>
      <c r="L297" s="103"/>
      <c r="M297" s="103"/>
      <c r="N297" s="103" t="s">
        <v>6000</v>
      </c>
      <c r="O297" s="103" t="s">
        <v>5819</v>
      </c>
      <c r="P297" s="103" t="s">
        <v>6010</v>
      </c>
      <c r="Q297" s="103"/>
      <c r="R297" s="103"/>
      <c r="S297" s="103" t="s">
        <v>6011</v>
      </c>
      <c r="T297" s="103">
        <v>656431</v>
      </c>
      <c r="U297" s="103">
        <v>8.4</v>
      </c>
      <c r="V297" s="103" t="s">
        <v>5823</v>
      </c>
      <c r="W297" s="103" t="s">
        <v>310</v>
      </c>
    </row>
    <row r="298" spans="1:23" x14ac:dyDescent="0.45">
      <c r="A298" s="103">
        <f t="shared" si="14"/>
        <v>297</v>
      </c>
      <c r="B298" s="103" t="s">
        <v>6000</v>
      </c>
      <c r="C298" s="103" t="s">
        <v>5782</v>
      </c>
      <c r="D298" s="103"/>
      <c r="E298" s="103" t="s">
        <v>100</v>
      </c>
      <c r="F298" s="103" t="s">
        <v>77</v>
      </c>
      <c r="G298" s="103" t="s">
        <v>88</v>
      </c>
      <c r="H298" s="103" t="s">
        <v>6001</v>
      </c>
      <c r="I298" s="103" t="s">
        <v>116</v>
      </c>
      <c r="J298" s="103" t="s">
        <v>122</v>
      </c>
      <c r="K298" s="103" t="s">
        <v>288</v>
      </c>
      <c r="L298" s="103"/>
      <c r="M298" s="103"/>
      <c r="N298" s="103" t="s">
        <v>6000</v>
      </c>
      <c r="O298" s="103" t="s">
        <v>5820</v>
      </c>
      <c r="P298" s="103" t="s">
        <v>6004</v>
      </c>
      <c r="Q298" s="103"/>
      <c r="R298" s="103"/>
      <c r="S298" s="103" t="s">
        <v>6012</v>
      </c>
      <c r="T298" s="103">
        <v>656431</v>
      </c>
      <c r="U298" s="103" t="s">
        <v>5796</v>
      </c>
      <c r="V298" s="103" t="s">
        <v>5823</v>
      </c>
      <c r="W298" s="103" t="s">
        <v>310</v>
      </c>
    </row>
    <row r="299" spans="1:23" x14ac:dyDescent="0.45">
      <c r="A299" s="103">
        <f t="shared" si="14"/>
        <v>298</v>
      </c>
      <c r="B299" s="103" t="s">
        <v>6000</v>
      </c>
      <c r="C299" s="103" t="s">
        <v>5782</v>
      </c>
      <c r="D299" s="103"/>
      <c r="E299" s="103" t="s">
        <v>100</v>
      </c>
      <c r="F299" s="103" t="s">
        <v>77</v>
      </c>
      <c r="G299" s="103" t="s">
        <v>88</v>
      </c>
      <c r="H299" s="103" t="s">
        <v>6001</v>
      </c>
      <c r="I299" s="103" t="s">
        <v>143</v>
      </c>
      <c r="J299" s="103" t="s">
        <v>6013</v>
      </c>
      <c r="K299" s="103" t="s">
        <v>6014</v>
      </c>
      <c r="L299" s="103"/>
      <c r="M299" s="103"/>
      <c r="N299" s="103" t="s">
        <v>6000</v>
      </c>
      <c r="O299" s="103" t="s">
        <v>5821</v>
      </c>
      <c r="P299" s="103" t="s">
        <v>5904</v>
      </c>
      <c r="Q299" s="103"/>
      <c r="R299" s="103"/>
      <c r="S299" s="103" t="s">
        <v>5852</v>
      </c>
      <c r="T299" s="103">
        <v>656431</v>
      </c>
      <c r="U299" s="103" t="s">
        <v>5796</v>
      </c>
      <c r="V299" s="103" t="s">
        <v>5823</v>
      </c>
      <c r="W299" s="103" t="s">
        <v>310</v>
      </c>
    </row>
    <row r="300" spans="1:23" x14ac:dyDescent="0.45">
      <c r="A300" s="103">
        <f t="shared" si="14"/>
        <v>299</v>
      </c>
      <c r="B300" s="103" t="s">
        <v>6000</v>
      </c>
      <c r="C300" s="103" t="s">
        <v>5782</v>
      </c>
      <c r="D300" s="103"/>
      <c r="E300" s="103" t="s">
        <v>100</v>
      </c>
      <c r="F300" s="103" t="s">
        <v>77</v>
      </c>
      <c r="G300" s="103" t="s">
        <v>88</v>
      </c>
      <c r="H300" s="103" t="s">
        <v>6001</v>
      </c>
      <c r="I300" s="103" t="s">
        <v>143</v>
      </c>
      <c r="J300" s="103" t="s">
        <v>6013</v>
      </c>
      <c r="K300" s="103" t="s">
        <v>6014</v>
      </c>
      <c r="L300" s="103"/>
      <c r="M300" s="103"/>
      <c r="N300" s="103" t="s">
        <v>6000</v>
      </c>
      <c r="O300" s="103" t="s">
        <v>5822</v>
      </c>
      <c r="P300" s="103" t="s">
        <v>6015</v>
      </c>
      <c r="Q300" s="103"/>
      <c r="R300" s="103"/>
      <c r="S300" s="103" t="s">
        <v>6015</v>
      </c>
      <c r="T300" s="103">
        <v>656431</v>
      </c>
      <c r="U300" s="103">
        <v>8.4</v>
      </c>
      <c r="V300" s="103" t="s">
        <v>5823</v>
      </c>
      <c r="W300" s="103" t="s">
        <v>310</v>
      </c>
    </row>
    <row r="301" spans="1:23" x14ac:dyDescent="0.45">
      <c r="A301" s="103">
        <f t="shared" ref="A301:A328" si="15">ROW()-1</f>
        <v>300</v>
      </c>
      <c r="B301" s="103" t="s">
        <v>6021</v>
      </c>
      <c r="C301" s="103" t="s">
        <v>5782</v>
      </c>
      <c r="D301" s="103"/>
      <c r="E301" s="103" t="s">
        <v>100</v>
      </c>
      <c r="F301" s="103" t="s">
        <v>80</v>
      </c>
      <c r="G301" s="103" t="s">
        <v>88</v>
      </c>
      <c r="H301" s="103" t="s">
        <v>6022</v>
      </c>
      <c r="I301" s="103" t="s">
        <v>143</v>
      </c>
      <c r="J301" s="103" t="s">
        <v>122</v>
      </c>
      <c r="K301" s="103" t="s">
        <v>5788</v>
      </c>
      <c r="L301" s="103" t="s">
        <v>6031</v>
      </c>
      <c r="M301" s="103"/>
      <c r="N301" s="103" t="s">
        <v>6021</v>
      </c>
      <c r="O301" s="103" t="s">
        <v>47</v>
      </c>
      <c r="P301" s="103">
        <v>15</v>
      </c>
      <c r="Q301" s="103"/>
      <c r="R301" s="103"/>
      <c r="S301" s="103">
        <v>15</v>
      </c>
      <c r="T301" s="103">
        <v>435096</v>
      </c>
      <c r="U301" s="103">
        <v>8.5</v>
      </c>
      <c r="V301" s="103" t="s">
        <v>65</v>
      </c>
      <c r="W301" s="103" t="s">
        <v>310</v>
      </c>
    </row>
    <row r="302" spans="1:23" x14ac:dyDescent="0.45">
      <c r="A302" s="103">
        <f t="shared" si="15"/>
        <v>301</v>
      </c>
      <c r="B302" s="103" t="s">
        <v>6021</v>
      </c>
      <c r="C302" s="103" t="s">
        <v>5782</v>
      </c>
      <c r="D302" s="103"/>
      <c r="E302" s="103" t="s">
        <v>100</v>
      </c>
      <c r="F302" s="103" t="s">
        <v>80</v>
      </c>
      <c r="G302" s="103" t="s">
        <v>88</v>
      </c>
      <c r="H302" s="103" t="s">
        <v>6022</v>
      </c>
      <c r="I302" s="103" t="s">
        <v>143</v>
      </c>
      <c r="J302" s="103" t="s">
        <v>122</v>
      </c>
      <c r="K302" s="103" t="s">
        <v>5788</v>
      </c>
      <c r="L302" s="103" t="s">
        <v>6032</v>
      </c>
      <c r="M302" s="103"/>
      <c r="N302" s="103" t="s">
        <v>6021</v>
      </c>
      <c r="O302" s="103" t="s">
        <v>5580</v>
      </c>
      <c r="P302" s="103">
        <v>15</v>
      </c>
      <c r="Q302" s="103"/>
      <c r="R302" s="103"/>
      <c r="S302" s="103">
        <v>15</v>
      </c>
      <c r="T302" s="103">
        <v>435096</v>
      </c>
      <c r="U302" s="103">
        <v>8.5</v>
      </c>
      <c r="V302" s="103" t="s">
        <v>65</v>
      </c>
      <c r="W302" s="103" t="s">
        <v>310</v>
      </c>
    </row>
    <row r="303" spans="1:23" x14ac:dyDescent="0.45">
      <c r="A303" s="103">
        <f t="shared" si="15"/>
        <v>302</v>
      </c>
      <c r="B303" s="103" t="s">
        <v>6021</v>
      </c>
      <c r="C303" s="103" t="s">
        <v>5782</v>
      </c>
      <c r="D303" s="103"/>
      <c r="E303" s="103" t="s">
        <v>100</v>
      </c>
      <c r="F303" s="103" t="s">
        <v>80</v>
      </c>
      <c r="G303" s="103" t="s">
        <v>88</v>
      </c>
      <c r="H303" s="103" t="s">
        <v>6022</v>
      </c>
      <c r="I303" s="103" t="s">
        <v>143</v>
      </c>
      <c r="J303" s="103" t="s">
        <v>142</v>
      </c>
      <c r="K303" s="103" t="s">
        <v>144</v>
      </c>
      <c r="L303" s="103"/>
      <c r="M303" s="103"/>
      <c r="N303" s="103" t="s">
        <v>6021</v>
      </c>
      <c r="O303" s="103" t="s">
        <v>5812</v>
      </c>
      <c r="P303" s="103" t="s">
        <v>5790</v>
      </c>
      <c r="Q303" s="103"/>
      <c r="R303" s="103"/>
      <c r="S303" s="103">
        <v>6</v>
      </c>
      <c r="T303" s="103">
        <v>435096</v>
      </c>
      <c r="U303" s="103">
        <v>8.5</v>
      </c>
      <c r="V303" s="103" t="s">
        <v>65</v>
      </c>
      <c r="W303" s="103" t="s">
        <v>310</v>
      </c>
    </row>
    <row r="304" spans="1:23" x14ac:dyDescent="0.45">
      <c r="A304" s="103">
        <f t="shared" si="15"/>
        <v>303</v>
      </c>
      <c r="B304" s="103" t="s">
        <v>6021</v>
      </c>
      <c r="C304" s="103" t="s">
        <v>5782</v>
      </c>
      <c r="D304" s="103"/>
      <c r="E304" s="103" t="s">
        <v>100</v>
      </c>
      <c r="F304" s="103" t="s">
        <v>80</v>
      </c>
      <c r="G304" s="103" t="s">
        <v>88</v>
      </c>
      <c r="H304" s="103" t="s">
        <v>6022</v>
      </c>
      <c r="I304" s="103"/>
      <c r="J304" s="103" t="s">
        <v>142</v>
      </c>
      <c r="K304" s="103" t="s">
        <v>144</v>
      </c>
      <c r="L304" s="103"/>
      <c r="M304" s="103"/>
      <c r="N304" s="103" t="s">
        <v>6021</v>
      </c>
      <c r="O304" s="103" t="s">
        <v>5581</v>
      </c>
      <c r="P304" s="103">
        <v>8</v>
      </c>
      <c r="Q304" s="103"/>
      <c r="R304" s="103"/>
      <c r="S304" s="103" t="s">
        <v>5958</v>
      </c>
      <c r="T304" s="103">
        <v>435096</v>
      </c>
      <c r="U304" s="103">
        <v>8.5</v>
      </c>
      <c r="V304" s="103" t="s">
        <v>65</v>
      </c>
      <c r="W304" s="103" t="s">
        <v>310</v>
      </c>
    </row>
    <row r="305" spans="1:23" x14ac:dyDescent="0.45">
      <c r="A305" s="103">
        <f t="shared" si="15"/>
        <v>304</v>
      </c>
      <c r="B305" s="103" t="s">
        <v>6021</v>
      </c>
      <c r="C305" s="103" t="s">
        <v>5782</v>
      </c>
      <c r="D305" s="103"/>
      <c r="E305" s="103" t="s">
        <v>100</v>
      </c>
      <c r="F305" s="103" t="s">
        <v>80</v>
      </c>
      <c r="G305" s="103" t="s">
        <v>88</v>
      </c>
      <c r="H305" s="103" t="s">
        <v>6022</v>
      </c>
      <c r="I305" s="103" t="s">
        <v>143</v>
      </c>
      <c r="J305" s="103" t="s">
        <v>5990</v>
      </c>
      <c r="K305" s="103" t="s">
        <v>5991</v>
      </c>
      <c r="L305" s="103">
        <v>19032106014</v>
      </c>
      <c r="M305" s="103"/>
      <c r="N305" s="103" t="s">
        <v>6021</v>
      </c>
      <c r="O305" s="103" t="s">
        <v>5813</v>
      </c>
      <c r="P305" s="103" t="s">
        <v>6030</v>
      </c>
      <c r="Q305" s="103"/>
      <c r="R305" s="103"/>
      <c r="S305" s="103" t="s">
        <v>6030</v>
      </c>
      <c r="T305" s="103">
        <v>435096</v>
      </c>
      <c r="U305" s="103">
        <v>8.5</v>
      </c>
      <c r="V305" s="103" t="s">
        <v>65</v>
      </c>
      <c r="W305" s="103" t="s">
        <v>310</v>
      </c>
    </row>
    <row r="306" spans="1:23" x14ac:dyDescent="0.45">
      <c r="A306" s="103">
        <f t="shared" si="15"/>
        <v>305</v>
      </c>
      <c r="B306" s="103" t="s">
        <v>6021</v>
      </c>
      <c r="C306" s="103" t="s">
        <v>5782</v>
      </c>
      <c r="D306" s="103"/>
      <c r="E306" s="103" t="s">
        <v>100</v>
      </c>
      <c r="F306" s="103" t="s">
        <v>80</v>
      </c>
      <c r="G306" s="103" t="s">
        <v>88</v>
      </c>
      <c r="H306" s="103" t="s">
        <v>6022</v>
      </c>
      <c r="I306" s="103" t="s">
        <v>143</v>
      </c>
      <c r="J306" s="103" t="s">
        <v>5990</v>
      </c>
      <c r="K306" s="103" t="s">
        <v>5991</v>
      </c>
      <c r="L306" s="103">
        <v>19033105977</v>
      </c>
      <c r="M306" s="103"/>
      <c r="N306" s="103"/>
      <c r="O306" s="103" t="s">
        <v>5814</v>
      </c>
      <c r="P306" s="103" t="s">
        <v>6030</v>
      </c>
      <c r="Q306" s="103"/>
      <c r="R306" s="103"/>
      <c r="S306" s="103" t="s">
        <v>6030</v>
      </c>
      <c r="T306" s="103">
        <v>435096</v>
      </c>
      <c r="U306" s="103">
        <v>8.5</v>
      </c>
      <c r="V306" s="103" t="s">
        <v>65</v>
      </c>
      <c r="W306" s="103" t="s">
        <v>310</v>
      </c>
    </row>
    <row r="307" spans="1:23" x14ac:dyDescent="0.45">
      <c r="A307" s="103">
        <f t="shared" si="15"/>
        <v>306</v>
      </c>
      <c r="B307" s="103" t="s">
        <v>6021</v>
      </c>
      <c r="C307" s="103" t="s">
        <v>5782</v>
      </c>
      <c r="D307" s="103"/>
      <c r="E307" s="103" t="s">
        <v>100</v>
      </c>
      <c r="F307" s="103" t="s">
        <v>80</v>
      </c>
      <c r="G307" s="103" t="s">
        <v>88</v>
      </c>
      <c r="H307" s="103" t="s">
        <v>6022</v>
      </c>
      <c r="I307" s="103" t="s">
        <v>116</v>
      </c>
      <c r="J307" s="103" t="s">
        <v>142</v>
      </c>
      <c r="K307" s="103" t="s">
        <v>6008</v>
      </c>
      <c r="L307" s="103"/>
      <c r="M307" s="103"/>
      <c r="N307" s="103" t="s">
        <v>6021</v>
      </c>
      <c r="O307" s="103" t="s">
        <v>5815</v>
      </c>
      <c r="P307" s="103"/>
      <c r="Q307" s="103"/>
      <c r="R307" s="103"/>
      <c r="S307" s="103" t="s">
        <v>5833</v>
      </c>
      <c r="T307" s="103">
        <v>435096</v>
      </c>
      <c r="U307" s="103">
        <v>8.5</v>
      </c>
      <c r="V307" s="103" t="s">
        <v>65</v>
      </c>
      <c r="W307" s="103" t="s">
        <v>310</v>
      </c>
    </row>
    <row r="308" spans="1:23" x14ac:dyDescent="0.45">
      <c r="A308" s="103">
        <f t="shared" si="15"/>
        <v>307</v>
      </c>
      <c r="B308" s="103" t="s">
        <v>6021</v>
      </c>
      <c r="C308" s="103" t="s">
        <v>5782</v>
      </c>
      <c r="D308" s="103"/>
      <c r="E308" s="103" t="s">
        <v>100</v>
      </c>
      <c r="F308" s="103" t="s">
        <v>80</v>
      </c>
      <c r="G308" s="103" t="s">
        <v>88</v>
      </c>
      <c r="H308" s="103" t="s">
        <v>6022</v>
      </c>
      <c r="I308" s="103" t="s">
        <v>116</v>
      </c>
      <c r="J308" s="103" t="s">
        <v>142</v>
      </c>
      <c r="K308" s="103" t="s">
        <v>6008</v>
      </c>
      <c r="L308" s="103"/>
      <c r="M308" s="103"/>
      <c r="N308" s="103" t="s">
        <v>6021</v>
      </c>
      <c r="O308" s="103" t="s">
        <v>5816</v>
      </c>
      <c r="P308" s="103">
        <v>12</v>
      </c>
      <c r="Q308" s="103"/>
      <c r="R308" s="103"/>
      <c r="S308" s="103" t="s">
        <v>6010</v>
      </c>
      <c r="T308" s="103">
        <v>435096</v>
      </c>
      <c r="U308" s="103" t="s">
        <v>5796</v>
      </c>
      <c r="V308" s="103" t="s">
        <v>65</v>
      </c>
      <c r="W308" s="103" t="s">
        <v>310</v>
      </c>
    </row>
    <row r="309" spans="1:23" x14ac:dyDescent="0.45">
      <c r="A309" s="103">
        <f t="shared" si="15"/>
        <v>308</v>
      </c>
      <c r="B309" s="103" t="s">
        <v>6021</v>
      </c>
      <c r="C309" s="103" t="s">
        <v>5782</v>
      </c>
      <c r="D309" s="103"/>
      <c r="E309" s="103" t="s">
        <v>100</v>
      </c>
      <c r="F309" s="103" t="s">
        <v>80</v>
      </c>
      <c r="G309" s="103" t="s">
        <v>88</v>
      </c>
      <c r="H309" s="103" t="s">
        <v>6022</v>
      </c>
      <c r="I309" s="103" t="s">
        <v>116</v>
      </c>
      <c r="J309" s="103" t="s">
        <v>142</v>
      </c>
      <c r="K309" s="103" t="s">
        <v>6008</v>
      </c>
      <c r="L309" s="103"/>
      <c r="M309" s="103"/>
      <c r="N309" s="103" t="s">
        <v>6021</v>
      </c>
      <c r="O309" s="103" t="s">
        <v>5817</v>
      </c>
      <c r="P309" s="103" t="s">
        <v>5794</v>
      </c>
      <c r="Q309" s="103"/>
      <c r="R309" s="103"/>
      <c r="S309" s="103" t="s">
        <v>6029</v>
      </c>
      <c r="T309" s="103">
        <v>435096</v>
      </c>
      <c r="U309" s="103" t="s">
        <v>5796</v>
      </c>
      <c r="V309" s="103" t="s">
        <v>65</v>
      </c>
      <c r="W309" s="103" t="s">
        <v>310</v>
      </c>
    </row>
    <row r="310" spans="1:23" x14ac:dyDescent="0.45">
      <c r="A310" s="103">
        <f t="shared" si="15"/>
        <v>309</v>
      </c>
      <c r="B310" s="103" t="s">
        <v>6021</v>
      </c>
      <c r="C310" s="103" t="s">
        <v>5782</v>
      </c>
      <c r="D310" s="103"/>
      <c r="E310" s="103" t="s">
        <v>100</v>
      </c>
      <c r="F310" s="103" t="s">
        <v>80</v>
      </c>
      <c r="G310" s="103" t="s">
        <v>88</v>
      </c>
      <c r="H310" s="103" t="s">
        <v>6022</v>
      </c>
      <c r="I310" s="103" t="s">
        <v>116</v>
      </c>
      <c r="J310" s="103" t="s">
        <v>142</v>
      </c>
      <c r="K310" s="103" t="s">
        <v>6008</v>
      </c>
      <c r="L310" s="103"/>
      <c r="M310" s="103"/>
      <c r="N310" s="103" t="s">
        <v>6021</v>
      </c>
      <c r="O310" s="103" t="s">
        <v>5818</v>
      </c>
      <c r="P310" s="103">
        <v>10</v>
      </c>
      <c r="Q310" s="103"/>
      <c r="R310" s="103"/>
      <c r="S310" s="103" t="s">
        <v>5968</v>
      </c>
      <c r="T310" s="103">
        <v>435096</v>
      </c>
      <c r="U310" s="103">
        <v>8.5</v>
      </c>
      <c r="V310" s="103" t="s">
        <v>65</v>
      </c>
      <c r="W310" s="103" t="s">
        <v>310</v>
      </c>
    </row>
    <row r="311" spans="1:23" x14ac:dyDescent="0.45">
      <c r="A311" s="103">
        <f t="shared" si="15"/>
        <v>310</v>
      </c>
      <c r="B311" s="103" t="s">
        <v>6021</v>
      </c>
      <c r="C311" s="103" t="s">
        <v>5782</v>
      </c>
      <c r="D311" s="103"/>
      <c r="E311" s="103" t="s">
        <v>100</v>
      </c>
      <c r="F311" s="103" t="s">
        <v>80</v>
      </c>
      <c r="G311" s="103" t="s">
        <v>88</v>
      </c>
      <c r="H311" s="103" t="s">
        <v>6022</v>
      </c>
      <c r="I311" s="103" t="s">
        <v>116</v>
      </c>
      <c r="J311" s="103" t="s">
        <v>142</v>
      </c>
      <c r="K311" s="103" t="s">
        <v>6008</v>
      </c>
      <c r="L311" s="103"/>
      <c r="M311" s="103"/>
      <c r="N311" s="103" t="s">
        <v>6021</v>
      </c>
      <c r="O311" s="103" t="s">
        <v>5819</v>
      </c>
      <c r="P311" s="103" t="s">
        <v>5854</v>
      </c>
      <c r="Q311" s="103"/>
      <c r="R311" s="103"/>
      <c r="S311" s="103" t="s">
        <v>5969</v>
      </c>
      <c r="T311" s="103">
        <v>435096</v>
      </c>
      <c r="U311" s="103">
        <v>8.5</v>
      </c>
      <c r="V311" s="103" t="s">
        <v>65</v>
      </c>
      <c r="W311" s="103" t="s">
        <v>310</v>
      </c>
    </row>
    <row r="312" spans="1:23" x14ac:dyDescent="0.45">
      <c r="A312" s="103">
        <f t="shared" si="15"/>
        <v>311</v>
      </c>
      <c r="B312" s="103" t="s">
        <v>6021</v>
      </c>
      <c r="C312" s="103" t="s">
        <v>5782</v>
      </c>
      <c r="D312" s="103"/>
      <c r="E312" s="103" t="s">
        <v>100</v>
      </c>
      <c r="F312" s="103" t="s">
        <v>80</v>
      </c>
      <c r="G312" s="103" t="s">
        <v>88</v>
      </c>
      <c r="H312" s="103" t="s">
        <v>6022</v>
      </c>
      <c r="I312" s="103" t="s">
        <v>116</v>
      </c>
      <c r="J312" s="103" t="s">
        <v>142</v>
      </c>
      <c r="K312" s="103" t="s">
        <v>6008</v>
      </c>
      <c r="L312" s="103"/>
      <c r="M312" s="103"/>
      <c r="N312" s="103" t="s">
        <v>6021</v>
      </c>
      <c r="O312" s="103" t="s">
        <v>5820</v>
      </c>
      <c r="P312" s="103" t="s">
        <v>5850</v>
      </c>
      <c r="Q312" s="103"/>
      <c r="R312" s="103"/>
      <c r="S312" s="103" t="s">
        <v>5850</v>
      </c>
      <c r="T312" s="103">
        <v>435096</v>
      </c>
      <c r="U312" s="103" t="s">
        <v>5796</v>
      </c>
      <c r="V312" s="103" t="s">
        <v>65</v>
      </c>
      <c r="W312" s="103" t="s">
        <v>310</v>
      </c>
    </row>
    <row r="313" spans="1:23" x14ac:dyDescent="0.45">
      <c r="A313" s="103">
        <f t="shared" si="15"/>
        <v>312</v>
      </c>
      <c r="B313" s="103" t="s">
        <v>6021</v>
      </c>
      <c r="C313" s="103" t="s">
        <v>5782</v>
      </c>
      <c r="D313" s="103"/>
      <c r="E313" s="103" t="s">
        <v>100</v>
      </c>
      <c r="F313" s="103" t="s">
        <v>80</v>
      </c>
      <c r="G313" s="103" t="s">
        <v>88</v>
      </c>
      <c r="H313" s="103" t="s">
        <v>6022</v>
      </c>
      <c r="I313" s="103" t="s">
        <v>116</v>
      </c>
      <c r="J313" s="103" t="s">
        <v>142</v>
      </c>
      <c r="K313" s="103" t="s">
        <v>6008</v>
      </c>
      <c r="L313" s="103"/>
      <c r="M313" s="103"/>
      <c r="N313" s="103" t="s">
        <v>6021</v>
      </c>
      <c r="O313" s="103" t="s">
        <v>5821</v>
      </c>
      <c r="P313" s="103" t="s">
        <v>5855</v>
      </c>
      <c r="Q313" s="103"/>
      <c r="R313" s="103"/>
      <c r="S313" s="103" t="s">
        <v>5967</v>
      </c>
      <c r="T313" s="103">
        <v>435096</v>
      </c>
      <c r="U313" s="103" t="s">
        <v>5796</v>
      </c>
      <c r="V313" s="103" t="s">
        <v>65</v>
      </c>
      <c r="W313" s="103" t="s">
        <v>310</v>
      </c>
    </row>
    <row r="314" spans="1:23" x14ac:dyDescent="0.45">
      <c r="A314" s="103">
        <f t="shared" si="15"/>
        <v>313</v>
      </c>
      <c r="B314" s="103" t="s">
        <v>6021</v>
      </c>
      <c r="C314" s="103" t="s">
        <v>5782</v>
      </c>
      <c r="D314" s="103"/>
      <c r="E314" s="103" t="s">
        <v>100</v>
      </c>
      <c r="F314" s="103" t="s">
        <v>80</v>
      </c>
      <c r="G314" s="103" t="s">
        <v>88</v>
      </c>
      <c r="H314" s="103" t="s">
        <v>6022</v>
      </c>
      <c r="I314" s="103" t="s">
        <v>116</v>
      </c>
      <c r="J314" s="103" t="s">
        <v>142</v>
      </c>
      <c r="K314" s="103" t="s">
        <v>6008</v>
      </c>
      <c r="L314" s="103"/>
      <c r="M314" s="103"/>
      <c r="N314" s="103" t="s">
        <v>6021</v>
      </c>
      <c r="O314" s="103" t="s">
        <v>5822</v>
      </c>
      <c r="P314" s="103" t="s">
        <v>5886</v>
      </c>
      <c r="Q314" s="103"/>
      <c r="R314" s="103"/>
      <c r="S314" s="103" t="s">
        <v>6028</v>
      </c>
      <c r="T314" s="103">
        <v>435096</v>
      </c>
      <c r="U314" s="103">
        <v>8.5</v>
      </c>
      <c r="V314" s="103" t="s">
        <v>65</v>
      </c>
      <c r="W314" s="103" t="s">
        <v>310</v>
      </c>
    </row>
    <row r="315" spans="1:23" x14ac:dyDescent="0.45">
      <c r="A315" s="103">
        <f t="shared" si="15"/>
        <v>314</v>
      </c>
      <c r="B315" s="103" t="s">
        <v>6021</v>
      </c>
      <c r="C315" s="103" t="s">
        <v>5782</v>
      </c>
      <c r="D315" s="103"/>
      <c r="E315" s="103" t="s">
        <v>100</v>
      </c>
      <c r="F315" s="103" t="s">
        <v>80</v>
      </c>
      <c r="G315" s="103" t="s">
        <v>88</v>
      </c>
      <c r="H315" s="103" t="s">
        <v>6022</v>
      </c>
      <c r="I315" s="103" t="s">
        <v>143</v>
      </c>
      <c r="J315" s="103" t="s">
        <v>122</v>
      </c>
      <c r="K315" s="103" t="s">
        <v>5788</v>
      </c>
      <c r="L315" s="103"/>
      <c r="M315" s="103"/>
      <c r="N315" s="103" t="s">
        <v>6021</v>
      </c>
      <c r="O315" s="103" t="s">
        <v>47</v>
      </c>
      <c r="P315" s="103" t="s">
        <v>5946</v>
      </c>
      <c r="Q315" s="103"/>
      <c r="R315" s="103"/>
      <c r="S315" s="103">
        <v>7</v>
      </c>
      <c r="T315" s="103">
        <v>435096</v>
      </c>
      <c r="U315" s="103">
        <v>8.5</v>
      </c>
      <c r="V315" s="103" t="s">
        <v>5823</v>
      </c>
      <c r="W315" s="103" t="s">
        <v>310</v>
      </c>
    </row>
    <row r="316" spans="1:23" x14ac:dyDescent="0.45">
      <c r="A316" s="103">
        <f t="shared" si="15"/>
        <v>315</v>
      </c>
      <c r="B316" s="103" t="s">
        <v>6021</v>
      </c>
      <c r="C316" s="103" t="s">
        <v>5782</v>
      </c>
      <c r="D316" s="103"/>
      <c r="E316" s="103" t="s">
        <v>100</v>
      </c>
      <c r="F316" s="103" t="s">
        <v>80</v>
      </c>
      <c r="G316" s="103" t="s">
        <v>88</v>
      </c>
      <c r="H316" s="103" t="s">
        <v>6022</v>
      </c>
      <c r="I316" s="103" t="s">
        <v>143</v>
      </c>
      <c r="J316" s="103" t="s">
        <v>122</v>
      </c>
      <c r="K316" s="103" t="s">
        <v>5788</v>
      </c>
      <c r="L316" s="103"/>
      <c r="M316" s="103"/>
      <c r="N316" s="103" t="s">
        <v>6021</v>
      </c>
      <c r="O316" s="103" t="s">
        <v>5580</v>
      </c>
      <c r="P316" s="103" t="s">
        <v>6025</v>
      </c>
      <c r="Q316" s="103"/>
      <c r="R316" s="103"/>
      <c r="S316" s="103" t="s">
        <v>6026</v>
      </c>
      <c r="T316" s="103">
        <v>435096</v>
      </c>
      <c r="U316" s="103">
        <v>8.5</v>
      </c>
      <c r="V316" s="103" t="s">
        <v>5823</v>
      </c>
      <c r="W316" s="103" t="s">
        <v>310</v>
      </c>
    </row>
    <row r="317" spans="1:23" x14ac:dyDescent="0.45">
      <c r="A317" s="103">
        <f t="shared" si="15"/>
        <v>316</v>
      </c>
      <c r="B317" s="103" t="s">
        <v>6021</v>
      </c>
      <c r="C317" s="103" t="s">
        <v>5782</v>
      </c>
      <c r="D317" s="103"/>
      <c r="E317" s="103" t="s">
        <v>100</v>
      </c>
      <c r="F317" s="103" t="s">
        <v>80</v>
      </c>
      <c r="G317" s="103" t="s">
        <v>88</v>
      </c>
      <c r="H317" s="103" t="s">
        <v>6022</v>
      </c>
      <c r="I317" s="103" t="s">
        <v>143</v>
      </c>
      <c r="J317" s="103" t="s">
        <v>142</v>
      </c>
      <c r="K317" s="103" t="s">
        <v>144</v>
      </c>
      <c r="L317" s="103"/>
      <c r="M317" s="103"/>
      <c r="N317" s="103" t="s">
        <v>6021</v>
      </c>
      <c r="O317" s="103" t="s">
        <v>5812</v>
      </c>
      <c r="P317" s="103" t="s">
        <v>5790</v>
      </c>
      <c r="Q317" s="103"/>
      <c r="R317" s="103"/>
      <c r="S317" s="103">
        <v>6</v>
      </c>
      <c r="T317" s="103">
        <v>435096</v>
      </c>
      <c r="U317" s="103">
        <v>7.5</v>
      </c>
      <c r="V317" s="103" t="s">
        <v>5823</v>
      </c>
      <c r="W317" s="103" t="s">
        <v>310</v>
      </c>
    </row>
    <row r="318" spans="1:23" x14ac:dyDescent="0.45">
      <c r="A318" s="103">
        <f t="shared" si="15"/>
        <v>317</v>
      </c>
      <c r="B318" s="103" t="s">
        <v>6021</v>
      </c>
      <c r="C318" s="103" t="s">
        <v>5782</v>
      </c>
      <c r="D318" s="103"/>
      <c r="E318" s="103" t="s">
        <v>100</v>
      </c>
      <c r="F318" s="103" t="s">
        <v>80</v>
      </c>
      <c r="G318" s="103" t="s">
        <v>88</v>
      </c>
      <c r="H318" s="103" t="s">
        <v>6022</v>
      </c>
      <c r="I318" s="103" t="s">
        <v>143</v>
      </c>
      <c r="J318" s="103" t="s">
        <v>142</v>
      </c>
      <c r="K318" s="103" t="s">
        <v>144</v>
      </c>
      <c r="L318" s="103"/>
      <c r="M318" s="103"/>
      <c r="N318" s="103" t="s">
        <v>6021</v>
      </c>
      <c r="O318" s="103" t="s">
        <v>5581</v>
      </c>
      <c r="P318" s="103">
        <v>8</v>
      </c>
      <c r="Q318" s="103"/>
      <c r="R318" s="103"/>
      <c r="S318" s="103" t="s">
        <v>5958</v>
      </c>
      <c r="T318" s="103">
        <v>435096</v>
      </c>
      <c r="U318" s="103" t="s">
        <v>5796</v>
      </c>
      <c r="V318" s="103" t="s">
        <v>5823</v>
      </c>
      <c r="W318" s="103" t="s">
        <v>310</v>
      </c>
    </row>
    <row r="319" spans="1:23" x14ac:dyDescent="0.45">
      <c r="A319" s="103">
        <f t="shared" si="15"/>
        <v>318</v>
      </c>
      <c r="B319" s="103" t="s">
        <v>6021</v>
      </c>
      <c r="C319" s="103" t="s">
        <v>5782</v>
      </c>
      <c r="D319" s="103"/>
      <c r="E319" s="103" t="s">
        <v>100</v>
      </c>
      <c r="F319" s="103" t="s">
        <v>80</v>
      </c>
      <c r="G319" s="103" t="s">
        <v>88</v>
      </c>
      <c r="H319" s="103" t="s">
        <v>6022</v>
      </c>
      <c r="I319" s="103" t="s">
        <v>143</v>
      </c>
      <c r="J319" s="103" t="s">
        <v>142</v>
      </c>
      <c r="K319" s="103" t="s">
        <v>144</v>
      </c>
      <c r="L319" s="103"/>
      <c r="M319" s="103"/>
      <c r="N319" s="103" t="s">
        <v>6021</v>
      </c>
      <c r="O319" s="103" t="s">
        <v>5813</v>
      </c>
      <c r="P319" s="103">
        <v>8</v>
      </c>
      <c r="Q319" s="103"/>
      <c r="R319" s="103"/>
      <c r="S319" s="103" t="s">
        <v>6027</v>
      </c>
      <c r="T319" s="103">
        <v>435096</v>
      </c>
      <c r="U319" s="103" t="s">
        <v>5796</v>
      </c>
      <c r="V319" s="103" t="s">
        <v>5823</v>
      </c>
      <c r="W319" s="103" t="s">
        <v>310</v>
      </c>
    </row>
    <row r="320" spans="1:23" x14ac:dyDescent="0.45">
      <c r="A320" s="103">
        <f t="shared" si="15"/>
        <v>319</v>
      </c>
      <c r="B320" s="103" t="s">
        <v>6021</v>
      </c>
      <c r="C320" s="103" t="s">
        <v>5782</v>
      </c>
      <c r="D320" s="103"/>
      <c r="E320" s="103" t="s">
        <v>100</v>
      </c>
      <c r="F320" s="103" t="s">
        <v>80</v>
      </c>
      <c r="G320" s="103" t="s">
        <v>88</v>
      </c>
      <c r="H320" s="103" t="s">
        <v>6022</v>
      </c>
      <c r="I320" s="103" t="s">
        <v>143</v>
      </c>
      <c r="J320" s="103" t="s">
        <v>142</v>
      </c>
      <c r="K320" s="103" t="s">
        <v>144</v>
      </c>
      <c r="L320" s="103"/>
      <c r="M320" s="103"/>
      <c r="N320" s="103" t="s">
        <v>6021</v>
      </c>
      <c r="O320" s="103" t="s">
        <v>5814</v>
      </c>
      <c r="P320" s="103">
        <v>2</v>
      </c>
      <c r="Q320" s="103"/>
      <c r="R320" s="103"/>
      <c r="S320" s="103">
        <v>2</v>
      </c>
      <c r="T320" s="103">
        <v>435096</v>
      </c>
      <c r="U320" s="103">
        <v>7.1</v>
      </c>
      <c r="V320" s="103" t="s">
        <v>5823</v>
      </c>
      <c r="W320" s="103" t="s">
        <v>310</v>
      </c>
    </row>
    <row r="321" spans="1:23" x14ac:dyDescent="0.45">
      <c r="A321" s="103">
        <f t="shared" si="15"/>
        <v>320</v>
      </c>
      <c r="B321" s="103" t="s">
        <v>6021</v>
      </c>
      <c r="C321" s="103" t="s">
        <v>5782</v>
      </c>
      <c r="D321" s="103"/>
      <c r="E321" s="103" t="s">
        <v>100</v>
      </c>
      <c r="F321" s="103" t="s">
        <v>80</v>
      </c>
      <c r="G321" s="103" t="s">
        <v>88</v>
      </c>
      <c r="H321" s="103" t="s">
        <v>6022</v>
      </c>
      <c r="I321" s="103" t="s">
        <v>116</v>
      </c>
      <c r="J321" s="103" t="s">
        <v>142</v>
      </c>
      <c r="K321" s="103" t="s">
        <v>6008</v>
      </c>
      <c r="L321" s="103"/>
      <c r="M321" s="103"/>
      <c r="N321" s="103" t="s">
        <v>6021</v>
      </c>
      <c r="O321" s="103" t="s">
        <v>5815</v>
      </c>
      <c r="P321" s="103" t="s">
        <v>6010</v>
      </c>
      <c r="Q321" s="103"/>
      <c r="R321" s="103"/>
      <c r="S321" s="103">
        <v>12</v>
      </c>
      <c r="T321" s="103">
        <v>435096</v>
      </c>
      <c r="U321" s="103">
        <v>8.5</v>
      </c>
      <c r="V321" s="103" t="s">
        <v>5823</v>
      </c>
      <c r="W321" s="103" t="s">
        <v>310</v>
      </c>
    </row>
    <row r="322" spans="1:23" x14ac:dyDescent="0.45">
      <c r="A322" s="103">
        <f t="shared" si="15"/>
        <v>321</v>
      </c>
      <c r="B322" s="103" t="s">
        <v>6021</v>
      </c>
      <c r="C322" s="103" t="s">
        <v>5782</v>
      </c>
      <c r="D322" s="103"/>
      <c r="E322" s="103" t="s">
        <v>100</v>
      </c>
      <c r="F322" s="103" t="s">
        <v>80</v>
      </c>
      <c r="G322" s="103" t="s">
        <v>88</v>
      </c>
      <c r="H322" s="103" t="s">
        <v>6022</v>
      </c>
      <c r="I322" s="103" t="s">
        <v>116</v>
      </c>
      <c r="J322" s="103" t="s">
        <v>142</v>
      </c>
      <c r="K322" s="103" t="s">
        <v>6008</v>
      </c>
      <c r="L322" s="103"/>
      <c r="M322" s="103"/>
      <c r="N322" s="103" t="s">
        <v>6021</v>
      </c>
      <c r="O322" s="103" t="s">
        <v>5816</v>
      </c>
      <c r="P322" s="103" t="s">
        <v>5833</v>
      </c>
      <c r="Q322" s="103"/>
      <c r="R322" s="103"/>
      <c r="S322" s="103">
        <v>10</v>
      </c>
      <c r="T322" s="103">
        <v>435096</v>
      </c>
      <c r="U322" s="103" t="s">
        <v>5796</v>
      </c>
      <c r="V322" s="103" t="s">
        <v>5823</v>
      </c>
      <c r="W322" s="103" t="s">
        <v>310</v>
      </c>
    </row>
    <row r="323" spans="1:23" x14ac:dyDescent="0.45">
      <c r="A323" s="103">
        <f t="shared" si="15"/>
        <v>322</v>
      </c>
      <c r="B323" s="103" t="s">
        <v>6021</v>
      </c>
      <c r="C323" s="103" t="s">
        <v>5782</v>
      </c>
      <c r="D323" s="103"/>
      <c r="E323" s="103" t="s">
        <v>100</v>
      </c>
      <c r="F323" s="103" t="s">
        <v>80</v>
      </c>
      <c r="G323" s="103" t="s">
        <v>88</v>
      </c>
      <c r="H323" s="103" t="s">
        <v>6022</v>
      </c>
      <c r="I323" s="103" t="s">
        <v>116</v>
      </c>
      <c r="J323" s="103" t="s">
        <v>142</v>
      </c>
      <c r="K323" s="103" t="s">
        <v>6008</v>
      </c>
      <c r="L323" s="103"/>
      <c r="M323" s="103"/>
      <c r="N323" s="103" t="s">
        <v>6021</v>
      </c>
      <c r="O323" s="103" t="s">
        <v>5817</v>
      </c>
      <c r="P323" s="103" t="s">
        <v>5794</v>
      </c>
      <c r="Q323" s="103"/>
      <c r="R323" s="103"/>
      <c r="S323" s="103" t="s">
        <v>6029</v>
      </c>
      <c r="T323" s="103">
        <v>435096</v>
      </c>
      <c r="U323" s="103" t="s">
        <v>5796</v>
      </c>
      <c r="V323" s="103" t="s">
        <v>5823</v>
      </c>
      <c r="W323" s="103" t="s">
        <v>310</v>
      </c>
    </row>
    <row r="324" spans="1:23" x14ac:dyDescent="0.45">
      <c r="A324" s="103">
        <f t="shared" si="15"/>
        <v>323</v>
      </c>
      <c r="B324" s="103" t="s">
        <v>6021</v>
      </c>
      <c r="C324" s="103" t="s">
        <v>5782</v>
      </c>
      <c r="D324" s="103"/>
      <c r="E324" s="103" t="s">
        <v>100</v>
      </c>
      <c r="F324" s="103" t="s">
        <v>80</v>
      </c>
      <c r="G324" s="103" t="s">
        <v>88</v>
      </c>
      <c r="H324" s="103" t="s">
        <v>6022</v>
      </c>
      <c r="I324" s="103" t="s">
        <v>116</v>
      </c>
      <c r="J324" s="103" t="s">
        <v>142</v>
      </c>
      <c r="K324" s="103" t="s">
        <v>6008</v>
      </c>
      <c r="L324" s="103"/>
      <c r="M324" s="103"/>
      <c r="N324" s="103" t="s">
        <v>6021</v>
      </c>
      <c r="O324" s="103" t="s">
        <v>5815</v>
      </c>
      <c r="P324" s="103">
        <v>10</v>
      </c>
      <c r="Q324" s="103"/>
      <c r="R324" s="103"/>
      <c r="S324" s="103" t="s">
        <v>5968</v>
      </c>
      <c r="T324" s="103">
        <v>435096</v>
      </c>
      <c r="U324" s="103">
        <v>8.5</v>
      </c>
      <c r="V324" s="103" t="s">
        <v>5823</v>
      </c>
      <c r="W324" s="103" t="s">
        <v>310</v>
      </c>
    </row>
    <row r="325" spans="1:23" x14ac:dyDescent="0.45">
      <c r="A325" s="103">
        <f t="shared" si="15"/>
        <v>324</v>
      </c>
      <c r="B325" s="103" t="s">
        <v>6021</v>
      </c>
      <c r="C325" s="103" t="s">
        <v>5782</v>
      </c>
      <c r="D325" s="103"/>
      <c r="E325" s="103" t="s">
        <v>100</v>
      </c>
      <c r="F325" s="103" t="s">
        <v>80</v>
      </c>
      <c r="G325" s="103" t="s">
        <v>88</v>
      </c>
      <c r="H325" s="103" t="s">
        <v>6022</v>
      </c>
      <c r="I325" s="103" t="s">
        <v>116</v>
      </c>
      <c r="J325" s="103" t="s">
        <v>142</v>
      </c>
      <c r="K325" s="103" t="s">
        <v>6008</v>
      </c>
      <c r="L325" s="103"/>
      <c r="M325" s="103"/>
      <c r="N325" s="103" t="s">
        <v>6021</v>
      </c>
      <c r="O325" s="103" t="s">
        <v>5819</v>
      </c>
      <c r="P325" s="103" t="s">
        <v>5850</v>
      </c>
      <c r="Q325" s="103"/>
      <c r="R325" s="103"/>
      <c r="S325" s="103" t="s">
        <v>5850</v>
      </c>
      <c r="T325" s="103">
        <v>435096</v>
      </c>
      <c r="U325" s="103">
        <v>8.5</v>
      </c>
      <c r="V325" s="103" t="s">
        <v>5823</v>
      </c>
      <c r="W325" s="103" t="s">
        <v>310</v>
      </c>
    </row>
    <row r="326" spans="1:23" x14ac:dyDescent="0.45">
      <c r="A326" s="103">
        <f t="shared" si="15"/>
        <v>325</v>
      </c>
      <c r="B326" s="103" t="s">
        <v>6021</v>
      </c>
      <c r="C326" s="103" t="s">
        <v>5782</v>
      </c>
      <c r="D326" s="103"/>
      <c r="E326" s="103" t="s">
        <v>100</v>
      </c>
      <c r="F326" s="103" t="s">
        <v>80</v>
      </c>
      <c r="G326" s="103" t="s">
        <v>88</v>
      </c>
      <c r="H326" s="103" t="s">
        <v>6022</v>
      </c>
      <c r="I326" s="103" t="s">
        <v>116</v>
      </c>
      <c r="J326" s="103" t="s">
        <v>142</v>
      </c>
      <c r="K326" s="103" t="s">
        <v>6008</v>
      </c>
      <c r="L326" s="103"/>
      <c r="M326" s="103"/>
      <c r="N326" s="103" t="s">
        <v>6021</v>
      </c>
      <c r="O326" s="103" t="s">
        <v>5820</v>
      </c>
      <c r="P326" s="103" t="s">
        <v>5969</v>
      </c>
      <c r="Q326" s="103"/>
      <c r="R326" s="103"/>
      <c r="S326" s="103" t="s">
        <v>5854</v>
      </c>
      <c r="T326" s="103">
        <v>435096</v>
      </c>
      <c r="U326" s="103" t="s">
        <v>5796</v>
      </c>
      <c r="V326" s="103" t="s">
        <v>5823</v>
      </c>
      <c r="W326" s="103" t="s">
        <v>310</v>
      </c>
    </row>
    <row r="327" spans="1:23" x14ac:dyDescent="0.45">
      <c r="A327" s="103">
        <f t="shared" si="15"/>
        <v>326</v>
      </c>
      <c r="B327" s="103" t="s">
        <v>6021</v>
      </c>
      <c r="C327" s="103" t="s">
        <v>5782</v>
      </c>
      <c r="D327" s="103"/>
      <c r="E327" s="103" t="s">
        <v>100</v>
      </c>
      <c r="F327" s="103" t="s">
        <v>80</v>
      </c>
      <c r="G327" s="103" t="s">
        <v>88</v>
      </c>
      <c r="H327" s="103" t="s">
        <v>6022</v>
      </c>
      <c r="I327" s="103" t="s">
        <v>116</v>
      </c>
      <c r="J327" s="103" t="s">
        <v>142</v>
      </c>
      <c r="K327" s="103" t="s">
        <v>6008</v>
      </c>
      <c r="L327" s="103"/>
      <c r="M327" s="103"/>
      <c r="N327" s="103" t="s">
        <v>6021</v>
      </c>
      <c r="O327" s="103" t="s">
        <v>5821</v>
      </c>
      <c r="P327" s="103" t="s">
        <v>5855</v>
      </c>
      <c r="Q327" s="103"/>
      <c r="R327" s="103"/>
      <c r="S327" s="103" t="s">
        <v>5967</v>
      </c>
      <c r="T327" s="103">
        <v>435096</v>
      </c>
      <c r="U327" s="103" t="s">
        <v>5796</v>
      </c>
      <c r="V327" s="103" t="s">
        <v>5823</v>
      </c>
      <c r="W327" s="103" t="s">
        <v>310</v>
      </c>
    </row>
    <row r="328" spans="1:23" x14ac:dyDescent="0.45">
      <c r="A328" s="103">
        <f t="shared" si="15"/>
        <v>327</v>
      </c>
      <c r="B328" s="103" t="s">
        <v>6021</v>
      </c>
      <c r="C328" s="103" t="s">
        <v>5782</v>
      </c>
      <c r="D328" s="103"/>
      <c r="E328" s="103" t="s">
        <v>100</v>
      </c>
      <c r="F328" s="103" t="s">
        <v>80</v>
      </c>
      <c r="G328" s="103" t="s">
        <v>88</v>
      </c>
      <c r="H328" s="103" t="s">
        <v>6022</v>
      </c>
      <c r="I328" s="103" t="s">
        <v>116</v>
      </c>
      <c r="J328" s="103" t="s">
        <v>142</v>
      </c>
      <c r="K328" s="103" t="s">
        <v>6008</v>
      </c>
      <c r="L328" s="103"/>
      <c r="M328" s="103"/>
      <c r="N328" s="103" t="s">
        <v>6021</v>
      </c>
      <c r="O328" s="103" t="s">
        <v>5822</v>
      </c>
      <c r="P328" s="103" t="s">
        <v>5886</v>
      </c>
      <c r="Q328" s="103"/>
      <c r="R328" s="103"/>
      <c r="S328" s="103" t="s">
        <v>6028</v>
      </c>
      <c r="T328" s="103">
        <v>435096</v>
      </c>
      <c r="U328" s="103">
        <v>8.5</v>
      </c>
      <c r="V328" s="103" t="s">
        <v>5823</v>
      </c>
      <c r="W328" s="103" t="s">
        <v>310</v>
      </c>
    </row>
    <row r="329" spans="1:23" x14ac:dyDescent="0.45">
      <c r="A329" s="103">
        <f t="shared" ref="A329:A353" si="16">ROW()-1</f>
        <v>328</v>
      </c>
      <c r="B329" s="103" t="s">
        <v>6033</v>
      </c>
      <c r="C329" s="103" t="s">
        <v>5782</v>
      </c>
      <c r="D329" s="103"/>
      <c r="E329" s="103" t="s">
        <v>100</v>
      </c>
      <c r="F329" s="103" t="s">
        <v>77</v>
      </c>
      <c r="G329" s="103" t="s">
        <v>88</v>
      </c>
      <c r="H329" s="103" t="s">
        <v>6034</v>
      </c>
      <c r="I329" s="103" t="s">
        <v>143</v>
      </c>
      <c r="J329" s="103" t="s">
        <v>122</v>
      </c>
      <c r="K329" s="103" t="s">
        <v>5788</v>
      </c>
      <c r="L329" s="103"/>
      <c r="M329" s="103"/>
      <c r="N329" s="103" t="s">
        <v>6033</v>
      </c>
      <c r="O329" s="103" t="s">
        <v>47</v>
      </c>
      <c r="P329" s="103" t="s">
        <v>6037</v>
      </c>
      <c r="Q329" s="103"/>
      <c r="R329" s="103"/>
      <c r="S329" s="103" t="s">
        <v>5807</v>
      </c>
      <c r="T329" s="103">
        <v>490573</v>
      </c>
      <c r="U329" s="103">
        <v>8.5</v>
      </c>
      <c r="V329" s="103" t="s">
        <v>65</v>
      </c>
      <c r="W329" s="103" t="s">
        <v>310</v>
      </c>
    </row>
    <row r="330" spans="1:23" x14ac:dyDescent="0.45">
      <c r="A330" s="103">
        <f t="shared" si="16"/>
        <v>329</v>
      </c>
      <c r="B330" s="103" t="s">
        <v>6033</v>
      </c>
      <c r="C330" s="103" t="s">
        <v>5782</v>
      </c>
      <c r="D330" s="103"/>
      <c r="E330" s="103" t="s">
        <v>100</v>
      </c>
      <c r="F330" s="103" t="s">
        <v>77</v>
      </c>
      <c r="G330" s="103" t="s">
        <v>88</v>
      </c>
      <c r="H330" s="103" t="s">
        <v>6034</v>
      </c>
      <c r="I330" s="103" t="s">
        <v>143</v>
      </c>
      <c r="J330" s="103" t="s">
        <v>122</v>
      </c>
      <c r="K330" s="103" t="s">
        <v>5788</v>
      </c>
      <c r="L330" s="103"/>
      <c r="M330" s="103"/>
      <c r="N330" s="103" t="s">
        <v>6033</v>
      </c>
      <c r="O330" s="103" t="s">
        <v>5580</v>
      </c>
      <c r="P330" s="103" t="s">
        <v>5803</v>
      </c>
      <c r="Q330" s="103"/>
      <c r="R330" s="103"/>
      <c r="S330" s="103" t="s">
        <v>5803</v>
      </c>
      <c r="T330" s="103">
        <v>490573</v>
      </c>
      <c r="U330" s="103">
        <v>8.5</v>
      </c>
      <c r="V330" s="103" t="s">
        <v>65</v>
      </c>
      <c r="W330" s="103" t="s">
        <v>310</v>
      </c>
    </row>
    <row r="331" spans="1:23" x14ac:dyDescent="0.45">
      <c r="A331" s="103">
        <f t="shared" si="16"/>
        <v>330</v>
      </c>
      <c r="B331" s="103" t="s">
        <v>6033</v>
      </c>
      <c r="C331" s="103" t="s">
        <v>5782</v>
      </c>
      <c r="D331" s="103"/>
      <c r="E331" s="103" t="s">
        <v>100</v>
      </c>
      <c r="F331" s="103" t="s">
        <v>77</v>
      </c>
      <c r="G331" s="103" t="s">
        <v>88</v>
      </c>
      <c r="H331" s="103" t="s">
        <v>6034</v>
      </c>
      <c r="I331" s="103" t="s">
        <v>143</v>
      </c>
      <c r="J331" s="103" t="s">
        <v>142</v>
      </c>
      <c r="K331" s="103" t="s">
        <v>6038</v>
      </c>
      <c r="L331" s="103"/>
      <c r="M331" s="103"/>
      <c r="N331" s="103" t="s">
        <v>6033</v>
      </c>
      <c r="O331" s="103" t="s">
        <v>5812</v>
      </c>
      <c r="P331" s="103" t="s">
        <v>5904</v>
      </c>
      <c r="Q331" s="103"/>
      <c r="R331" s="103"/>
      <c r="S331" s="103">
        <v>11</v>
      </c>
      <c r="T331" s="103">
        <v>490573</v>
      </c>
      <c r="U331" s="103">
        <v>8.5</v>
      </c>
      <c r="V331" s="103" t="s">
        <v>65</v>
      </c>
      <c r="W331" s="103" t="s">
        <v>310</v>
      </c>
    </row>
    <row r="332" spans="1:23" x14ac:dyDescent="0.45">
      <c r="A332" s="103">
        <f t="shared" si="16"/>
        <v>331</v>
      </c>
      <c r="B332" s="103" t="s">
        <v>6033</v>
      </c>
      <c r="C332" s="103" t="s">
        <v>5782</v>
      </c>
      <c r="D332" s="103"/>
      <c r="E332" s="103" t="s">
        <v>100</v>
      </c>
      <c r="F332" s="103" t="s">
        <v>77</v>
      </c>
      <c r="G332" s="103" t="s">
        <v>88</v>
      </c>
      <c r="H332" s="103" t="s">
        <v>6034</v>
      </c>
      <c r="I332" s="103"/>
      <c r="J332" s="103" t="s">
        <v>142</v>
      </c>
      <c r="K332" s="103" t="s">
        <v>6038</v>
      </c>
      <c r="L332" s="103"/>
      <c r="M332" s="103"/>
      <c r="N332" s="103" t="s">
        <v>6033</v>
      </c>
      <c r="O332" s="103" t="s">
        <v>5581</v>
      </c>
      <c r="P332" s="103" t="s">
        <v>5791</v>
      </c>
      <c r="Q332" s="103"/>
      <c r="R332" s="103"/>
      <c r="S332" s="103" t="s">
        <v>5853</v>
      </c>
      <c r="T332" s="103">
        <v>490573</v>
      </c>
      <c r="U332" s="103" t="s">
        <v>5796</v>
      </c>
      <c r="V332" s="103" t="s">
        <v>65</v>
      </c>
      <c r="W332" s="103" t="s">
        <v>310</v>
      </c>
    </row>
    <row r="333" spans="1:23" x14ac:dyDescent="0.45">
      <c r="A333" s="103">
        <f t="shared" si="16"/>
        <v>332</v>
      </c>
      <c r="B333" s="103" t="s">
        <v>6033</v>
      </c>
      <c r="C333" s="103" t="s">
        <v>5782</v>
      </c>
      <c r="D333" s="103"/>
      <c r="E333" s="103" t="s">
        <v>100</v>
      </c>
      <c r="F333" s="103" t="s">
        <v>77</v>
      </c>
      <c r="G333" s="103" t="s">
        <v>88</v>
      </c>
      <c r="H333" s="103" t="s">
        <v>6034</v>
      </c>
      <c r="I333" s="103" t="s">
        <v>143</v>
      </c>
      <c r="J333" s="103" t="s">
        <v>142</v>
      </c>
      <c r="K333" s="103" t="s">
        <v>144</v>
      </c>
      <c r="L333" s="103"/>
      <c r="M333" s="103"/>
      <c r="N333" s="103" t="s">
        <v>6033</v>
      </c>
      <c r="O333" s="103" t="s">
        <v>5813</v>
      </c>
      <c r="P333" s="103">
        <v>13</v>
      </c>
      <c r="Q333" s="103"/>
      <c r="R333" s="103"/>
      <c r="S333" s="103" t="s">
        <v>6005</v>
      </c>
      <c r="T333" s="103">
        <v>490573</v>
      </c>
      <c r="U333" s="103" t="s">
        <v>5796</v>
      </c>
      <c r="V333" s="103" t="s">
        <v>65</v>
      </c>
      <c r="W333" s="103" t="s">
        <v>310</v>
      </c>
    </row>
    <row r="334" spans="1:23" x14ac:dyDescent="0.45">
      <c r="A334" s="103">
        <f t="shared" si="16"/>
        <v>333</v>
      </c>
      <c r="B334" s="103" t="s">
        <v>6033</v>
      </c>
      <c r="C334" s="103" t="s">
        <v>5782</v>
      </c>
      <c r="D334" s="103"/>
      <c r="E334" s="103" t="s">
        <v>100</v>
      </c>
      <c r="F334" s="103" t="s">
        <v>77</v>
      </c>
      <c r="G334" s="103" t="s">
        <v>88</v>
      </c>
      <c r="H334" s="103" t="s">
        <v>6034</v>
      </c>
      <c r="I334" s="103" t="s">
        <v>143</v>
      </c>
      <c r="J334" s="103" t="s">
        <v>142</v>
      </c>
      <c r="K334" s="103" t="s">
        <v>144</v>
      </c>
      <c r="L334" s="103"/>
      <c r="M334" s="103"/>
      <c r="N334" s="103"/>
      <c r="O334" s="103" t="s">
        <v>5814</v>
      </c>
      <c r="P334" s="103">
        <v>13</v>
      </c>
      <c r="Q334" s="103"/>
      <c r="R334" s="103"/>
      <c r="S334" s="103" t="s">
        <v>6005</v>
      </c>
      <c r="T334" s="103">
        <v>490573</v>
      </c>
      <c r="U334" s="103" t="s">
        <v>5796</v>
      </c>
      <c r="V334" s="103" t="s">
        <v>65</v>
      </c>
      <c r="W334" s="103" t="s">
        <v>310</v>
      </c>
    </row>
    <row r="335" spans="1:23" x14ac:dyDescent="0.45">
      <c r="A335" s="103">
        <f t="shared" si="16"/>
        <v>334</v>
      </c>
      <c r="B335" s="103" t="s">
        <v>6033</v>
      </c>
      <c r="C335" s="103" t="s">
        <v>5782</v>
      </c>
      <c r="D335" s="103"/>
      <c r="E335" s="103" t="s">
        <v>100</v>
      </c>
      <c r="F335" s="103" t="s">
        <v>77</v>
      </c>
      <c r="G335" s="103" t="s">
        <v>88</v>
      </c>
      <c r="H335" s="103" t="s">
        <v>6034</v>
      </c>
      <c r="I335" s="103" t="s">
        <v>173</v>
      </c>
      <c r="J335" s="103" t="s">
        <v>5608</v>
      </c>
      <c r="K335" s="103" t="s">
        <v>6039</v>
      </c>
      <c r="L335" s="103"/>
      <c r="M335" s="103"/>
      <c r="N335" s="103" t="s">
        <v>6033</v>
      </c>
      <c r="O335" s="103" t="s">
        <v>5816</v>
      </c>
      <c r="P335" s="103" t="s">
        <v>5883</v>
      </c>
      <c r="Q335" s="103"/>
      <c r="R335" s="103"/>
      <c r="S335" s="103">
        <v>10</v>
      </c>
      <c r="T335" s="103">
        <v>490573</v>
      </c>
      <c r="U335" s="103">
        <v>8.8000000000000007</v>
      </c>
      <c r="V335" s="103" t="s">
        <v>65</v>
      </c>
      <c r="W335" s="103" t="s">
        <v>310</v>
      </c>
    </row>
    <row r="336" spans="1:23" x14ac:dyDescent="0.45">
      <c r="A336" s="103">
        <f t="shared" si="16"/>
        <v>335</v>
      </c>
      <c r="B336" s="103" t="s">
        <v>6033</v>
      </c>
      <c r="C336" s="103" t="s">
        <v>5782</v>
      </c>
      <c r="D336" s="103"/>
      <c r="E336" s="103" t="s">
        <v>100</v>
      </c>
      <c r="F336" s="103" t="s">
        <v>77</v>
      </c>
      <c r="G336" s="103" t="s">
        <v>88</v>
      </c>
      <c r="H336" s="103" t="s">
        <v>6034</v>
      </c>
      <c r="I336" s="103" t="s">
        <v>173</v>
      </c>
      <c r="J336" s="103" t="s">
        <v>5608</v>
      </c>
      <c r="K336" s="103" t="s">
        <v>6039</v>
      </c>
      <c r="L336" s="103"/>
      <c r="M336" s="103"/>
      <c r="N336" s="103" t="s">
        <v>6033</v>
      </c>
      <c r="O336" s="103" t="s">
        <v>5817</v>
      </c>
      <c r="P336" s="103" t="s">
        <v>5854</v>
      </c>
      <c r="Q336" s="103"/>
      <c r="R336" s="103"/>
      <c r="S336" s="103" t="s">
        <v>6040</v>
      </c>
      <c r="T336" s="103">
        <v>490573</v>
      </c>
      <c r="U336" s="103">
        <v>8.8000000000000007</v>
      </c>
      <c r="V336" s="103" t="s">
        <v>65</v>
      </c>
      <c r="W336" s="103" t="s">
        <v>310</v>
      </c>
    </row>
    <row r="337" spans="1:23" x14ac:dyDescent="0.45">
      <c r="A337" s="103">
        <f t="shared" si="16"/>
        <v>336</v>
      </c>
      <c r="B337" s="103" t="s">
        <v>6033</v>
      </c>
      <c r="C337" s="103" t="s">
        <v>5782</v>
      </c>
      <c r="D337" s="103"/>
      <c r="E337" s="103" t="s">
        <v>100</v>
      </c>
      <c r="F337" s="103" t="s">
        <v>77</v>
      </c>
      <c r="G337" s="103" t="s">
        <v>88</v>
      </c>
      <c r="H337" s="103" t="s">
        <v>6034</v>
      </c>
      <c r="I337" s="103"/>
      <c r="J337" s="103"/>
      <c r="K337" s="103"/>
      <c r="L337" s="103"/>
      <c r="M337" s="103"/>
      <c r="N337" s="103" t="s">
        <v>6033</v>
      </c>
      <c r="O337" s="103" t="s">
        <v>5819</v>
      </c>
      <c r="P337" s="103"/>
      <c r="Q337" s="103"/>
      <c r="R337" s="103"/>
      <c r="S337" s="103"/>
      <c r="T337" s="103">
        <v>490573</v>
      </c>
      <c r="U337" s="103"/>
      <c r="V337" s="103" t="s">
        <v>65</v>
      </c>
      <c r="W337" s="103" t="s">
        <v>310</v>
      </c>
    </row>
    <row r="338" spans="1:23" x14ac:dyDescent="0.45">
      <c r="A338" s="103">
        <f t="shared" si="16"/>
        <v>337</v>
      </c>
      <c r="B338" s="103" t="s">
        <v>6033</v>
      </c>
      <c r="C338" s="103" t="s">
        <v>5782</v>
      </c>
      <c r="D338" s="103"/>
      <c r="E338" s="103" t="s">
        <v>100</v>
      </c>
      <c r="F338" s="103" t="s">
        <v>77</v>
      </c>
      <c r="G338" s="103" t="s">
        <v>88</v>
      </c>
      <c r="H338" s="103" t="s">
        <v>6034</v>
      </c>
      <c r="I338" s="103" t="s">
        <v>173</v>
      </c>
      <c r="J338" s="103" t="s">
        <v>5608</v>
      </c>
      <c r="K338" s="103" t="s">
        <v>6039</v>
      </c>
      <c r="L338" s="103"/>
      <c r="M338" s="103"/>
      <c r="N338" s="103" t="s">
        <v>6033</v>
      </c>
      <c r="O338" s="103" t="s">
        <v>5820</v>
      </c>
      <c r="P338" s="103" t="s">
        <v>5833</v>
      </c>
      <c r="Q338" s="103"/>
      <c r="R338" s="103"/>
      <c r="S338" s="103" t="s">
        <v>6015</v>
      </c>
      <c r="T338" s="103">
        <v>490573</v>
      </c>
      <c r="U338" s="103">
        <v>8.8000000000000007</v>
      </c>
      <c r="V338" s="103" t="s">
        <v>65</v>
      </c>
      <c r="W338" s="103" t="s">
        <v>310</v>
      </c>
    </row>
    <row r="339" spans="1:23" x14ac:dyDescent="0.45">
      <c r="A339" s="103">
        <f t="shared" si="16"/>
        <v>338</v>
      </c>
      <c r="B339" s="103" t="s">
        <v>6033</v>
      </c>
      <c r="C339" s="103" t="s">
        <v>5782</v>
      </c>
      <c r="D339" s="103"/>
      <c r="E339" s="103" t="s">
        <v>100</v>
      </c>
      <c r="F339" s="103" t="s">
        <v>77</v>
      </c>
      <c r="G339" s="103" t="s">
        <v>88</v>
      </c>
      <c r="H339" s="103" t="s">
        <v>6034</v>
      </c>
      <c r="I339" s="103" t="s">
        <v>173</v>
      </c>
      <c r="J339" s="103" t="s">
        <v>5608</v>
      </c>
      <c r="K339" s="103" t="s">
        <v>6039</v>
      </c>
      <c r="L339" s="103"/>
      <c r="M339" s="103"/>
      <c r="N339" s="103" t="s">
        <v>6033</v>
      </c>
      <c r="O339" s="103" t="s">
        <v>5821</v>
      </c>
      <c r="P339" s="103" t="s">
        <v>6012</v>
      </c>
      <c r="Q339" s="103"/>
      <c r="R339" s="103"/>
      <c r="S339" s="103" t="s">
        <v>6041</v>
      </c>
      <c r="T339" s="103">
        <v>490573</v>
      </c>
      <c r="U339" s="103">
        <v>8.8000000000000007</v>
      </c>
      <c r="V339" s="103" t="s">
        <v>65</v>
      </c>
      <c r="W339" s="103" t="s">
        <v>310</v>
      </c>
    </row>
    <row r="340" spans="1:23" x14ac:dyDescent="0.45">
      <c r="A340" s="103">
        <f t="shared" si="16"/>
        <v>339</v>
      </c>
      <c r="B340" s="103" t="s">
        <v>6033</v>
      </c>
      <c r="C340" s="103" t="s">
        <v>5782</v>
      </c>
      <c r="D340" s="103"/>
      <c r="E340" s="103" t="s">
        <v>100</v>
      </c>
      <c r="F340" s="103" t="s">
        <v>77</v>
      </c>
      <c r="G340" s="103" t="s">
        <v>88</v>
      </c>
      <c r="H340" s="103" t="s">
        <v>6034</v>
      </c>
      <c r="I340" s="103" t="s">
        <v>173</v>
      </c>
      <c r="J340" s="103" t="s">
        <v>142</v>
      </c>
      <c r="K340" s="103" t="s">
        <v>5898</v>
      </c>
      <c r="L340" s="103">
        <v>1004980841</v>
      </c>
      <c r="M340" s="103"/>
      <c r="N340" s="103" t="s">
        <v>6033</v>
      </c>
      <c r="O340" s="103" t="s">
        <v>5859</v>
      </c>
      <c r="P340" s="103" t="s">
        <v>5959</v>
      </c>
      <c r="Q340" s="103"/>
      <c r="R340" s="103"/>
      <c r="S340" s="103" t="s">
        <v>5959</v>
      </c>
      <c r="T340" s="103">
        <v>490573</v>
      </c>
      <c r="U340" s="103">
        <v>9</v>
      </c>
      <c r="V340" s="103" t="s">
        <v>65</v>
      </c>
      <c r="W340" s="103" t="s">
        <v>310</v>
      </c>
    </row>
    <row r="341" spans="1:23" x14ac:dyDescent="0.45">
      <c r="A341" s="103">
        <f t="shared" si="16"/>
        <v>340</v>
      </c>
      <c r="B341" s="103" t="s">
        <v>6033</v>
      </c>
      <c r="C341" s="103" t="s">
        <v>5782</v>
      </c>
      <c r="D341" s="103"/>
      <c r="E341" s="103" t="s">
        <v>100</v>
      </c>
      <c r="F341" s="103" t="s">
        <v>77</v>
      </c>
      <c r="G341" s="103" t="s">
        <v>88</v>
      </c>
      <c r="H341" s="103" t="s">
        <v>6034</v>
      </c>
      <c r="I341" s="103" t="s">
        <v>173</v>
      </c>
      <c r="J341" s="103" t="s">
        <v>142</v>
      </c>
      <c r="K341" s="103" t="s">
        <v>5898</v>
      </c>
      <c r="L341" s="103">
        <v>1004980839</v>
      </c>
      <c r="M341" s="103"/>
      <c r="N341" s="103" t="s">
        <v>6033</v>
      </c>
      <c r="O341" s="103" t="s">
        <v>5860</v>
      </c>
      <c r="P341" s="103" t="s">
        <v>5959</v>
      </c>
      <c r="Q341" s="103"/>
      <c r="R341" s="103"/>
      <c r="S341" s="103" t="s">
        <v>5959</v>
      </c>
      <c r="T341" s="103">
        <v>490573</v>
      </c>
      <c r="U341" s="103">
        <v>9</v>
      </c>
      <c r="V341" s="103" t="s">
        <v>65</v>
      </c>
      <c r="W341" s="103" t="s">
        <v>310</v>
      </c>
    </row>
    <row r="342" spans="1:23" x14ac:dyDescent="0.45">
      <c r="A342" s="103">
        <f t="shared" si="16"/>
        <v>341</v>
      </c>
      <c r="B342" s="103" t="s">
        <v>6033</v>
      </c>
      <c r="C342" s="103" t="s">
        <v>5782</v>
      </c>
      <c r="D342" s="103"/>
      <c r="E342" s="103" t="s">
        <v>100</v>
      </c>
      <c r="F342" s="103" t="s">
        <v>77</v>
      </c>
      <c r="G342" s="103" t="s">
        <v>88</v>
      </c>
      <c r="H342" s="103" t="s">
        <v>6034</v>
      </c>
      <c r="I342" s="103" t="s">
        <v>143</v>
      </c>
      <c r="J342" s="103" t="s">
        <v>122</v>
      </c>
      <c r="K342" s="103" t="s">
        <v>5788</v>
      </c>
      <c r="L342" s="103"/>
      <c r="M342" s="103"/>
      <c r="N342" s="103" t="s">
        <v>6033</v>
      </c>
      <c r="O342" s="103" t="s">
        <v>47</v>
      </c>
      <c r="P342" s="103" t="s">
        <v>6037</v>
      </c>
      <c r="Q342" s="103"/>
      <c r="R342" s="103"/>
      <c r="S342" s="103" t="s">
        <v>5807</v>
      </c>
      <c r="T342" s="103">
        <v>490573</v>
      </c>
      <c r="U342" s="103">
        <v>8.5</v>
      </c>
      <c r="V342" s="103" t="s">
        <v>5823</v>
      </c>
      <c r="W342" s="103" t="s">
        <v>310</v>
      </c>
    </row>
    <row r="343" spans="1:23" x14ac:dyDescent="0.45">
      <c r="A343" s="103">
        <f t="shared" si="16"/>
        <v>342</v>
      </c>
      <c r="B343" s="103" t="s">
        <v>6033</v>
      </c>
      <c r="C343" s="103" t="s">
        <v>5782</v>
      </c>
      <c r="D343" s="103"/>
      <c r="E343" s="103" t="s">
        <v>100</v>
      </c>
      <c r="F343" s="103" t="s">
        <v>77</v>
      </c>
      <c r="G343" s="103" t="s">
        <v>88</v>
      </c>
      <c r="H343" s="103" t="s">
        <v>6034</v>
      </c>
      <c r="I343" s="103" t="s">
        <v>143</v>
      </c>
      <c r="J343" s="103" t="s">
        <v>122</v>
      </c>
      <c r="K343" s="103" t="s">
        <v>5788</v>
      </c>
      <c r="L343" s="103"/>
      <c r="M343" s="103"/>
      <c r="N343" s="103" t="s">
        <v>6033</v>
      </c>
      <c r="O343" s="103" t="s">
        <v>5580</v>
      </c>
      <c r="P343" s="103" t="s">
        <v>5803</v>
      </c>
      <c r="Q343" s="103"/>
      <c r="R343" s="103"/>
      <c r="S343" s="103" t="s">
        <v>5803</v>
      </c>
      <c r="T343" s="103">
        <v>490573</v>
      </c>
      <c r="U343" s="103">
        <v>8.5</v>
      </c>
      <c r="V343" s="103" t="s">
        <v>5823</v>
      </c>
      <c r="W343" s="103" t="s">
        <v>310</v>
      </c>
    </row>
    <row r="344" spans="1:23" x14ac:dyDescent="0.45">
      <c r="A344" s="103">
        <f t="shared" si="16"/>
        <v>343</v>
      </c>
      <c r="B344" s="103" t="s">
        <v>6033</v>
      </c>
      <c r="C344" s="103" t="s">
        <v>5782</v>
      </c>
      <c r="D344" s="103"/>
      <c r="E344" s="103" t="s">
        <v>100</v>
      </c>
      <c r="F344" s="103" t="s">
        <v>77</v>
      </c>
      <c r="G344" s="103" t="s">
        <v>88</v>
      </c>
      <c r="H344" s="103" t="s">
        <v>6034</v>
      </c>
      <c r="I344" s="103" t="s">
        <v>143</v>
      </c>
      <c r="J344" s="103" t="s">
        <v>142</v>
      </c>
      <c r="K344" s="103" t="s">
        <v>6038</v>
      </c>
      <c r="L344" s="103"/>
      <c r="M344" s="103"/>
      <c r="N344" s="103" t="s">
        <v>6033</v>
      </c>
      <c r="O344" s="103" t="s">
        <v>5812</v>
      </c>
      <c r="P344" s="103" t="s">
        <v>5904</v>
      </c>
      <c r="Q344" s="103"/>
      <c r="R344" s="103"/>
      <c r="S344" s="103">
        <v>11</v>
      </c>
      <c r="T344" s="103">
        <v>490573</v>
      </c>
      <c r="U344" s="103">
        <v>8.5</v>
      </c>
      <c r="V344" s="103" t="s">
        <v>5823</v>
      </c>
      <c r="W344" s="103" t="s">
        <v>310</v>
      </c>
    </row>
    <row r="345" spans="1:23" x14ac:dyDescent="0.45">
      <c r="A345" s="103">
        <f t="shared" si="16"/>
        <v>344</v>
      </c>
      <c r="B345" s="103" t="s">
        <v>6033</v>
      </c>
      <c r="C345" s="103" t="s">
        <v>5782</v>
      </c>
      <c r="D345" s="103"/>
      <c r="E345" s="103" t="s">
        <v>100</v>
      </c>
      <c r="F345" s="103" t="s">
        <v>77</v>
      </c>
      <c r="G345" s="103" t="s">
        <v>88</v>
      </c>
      <c r="H345" s="103" t="s">
        <v>6034</v>
      </c>
      <c r="I345" s="103" t="s">
        <v>143</v>
      </c>
      <c r="J345" s="103" t="s">
        <v>142</v>
      </c>
      <c r="K345" s="103" t="s">
        <v>6038</v>
      </c>
      <c r="L345" s="103"/>
      <c r="M345" s="103"/>
      <c r="N345" s="103" t="s">
        <v>6033</v>
      </c>
      <c r="O345" s="103" t="s">
        <v>5581</v>
      </c>
      <c r="P345" s="103" t="s">
        <v>5791</v>
      </c>
      <c r="Q345" s="103"/>
      <c r="R345" s="103"/>
      <c r="S345" s="103" t="s">
        <v>5853</v>
      </c>
      <c r="T345" s="103">
        <v>490573</v>
      </c>
      <c r="U345" s="103" t="s">
        <v>5796</v>
      </c>
      <c r="V345" s="103" t="s">
        <v>5823</v>
      </c>
      <c r="W345" s="103" t="s">
        <v>310</v>
      </c>
    </row>
    <row r="346" spans="1:23" x14ac:dyDescent="0.45">
      <c r="A346" s="103">
        <f t="shared" si="16"/>
        <v>345</v>
      </c>
      <c r="B346" s="103" t="s">
        <v>6033</v>
      </c>
      <c r="C346" s="103" t="s">
        <v>5782</v>
      </c>
      <c r="D346" s="103"/>
      <c r="E346" s="103" t="s">
        <v>100</v>
      </c>
      <c r="F346" s="103" t="s">
        <v>77</v>
      </c>
      <c r="G346" s="103" t="s">
        <v>88</v>
      </c>
      <c r="H346" s="103" t="s">
        <v>6034</v>
      </c>
      <c r="I346" s="103" t="s">
        <v>143</v>
      </c>
      <c r="J346" s="103" t="s">
        <v>142</v>
      </c>
      <c r="K346" s="103" t="s">
        <v>144</v>
      </c>
      <c r="L346" s="103"/>
      <c r="M346" s="103"/>
      <c r="N346" s="103" t="s">
        <v>6033</v>
      </c>
      <c r="O346" s="103" t="s">
        <v>5813</v>
      </c>
      <c r="P346" s="103">
        <v>13</v>
      </c>
      <c r="Q346" s="103"/>
      <c r="R346" s="103"/>
      <c r="S346" s="103" t="s">
        <v>6005</v>
      </c>
      <c r="T346" s="103">
        <v>490573</v>
      </c>
      <c r="U346" s="103" t="s">
        <v>5796</v>
      </c>
      <c r="V346" s="103" t="s">
        <v>5823</v>
      </c>
      <c r="W346" s="103" t="s">
        <v>310</v>
      </c>
    </row>
    <row r="347" spans="1:23" x14ac:dyDescent="0.45">
      <c r="A347" s="103">
        <f t="shared" si="16"/>
        <v>346</v>
      </c>
      <c r="B347" s="103" t="s">
        <v>6033</v>
      </c>
      <c r="C347" s="103" t="s">
        <v>5782</v>
      </c>
      <c r="D347" s="103"/>
      <c r="E347" s="103" t="s">
        <v>100</v>
      </c>
      <c r="F347" s="103" t="s">
        <v>77</v>
      </c>
      <c r="G347" s="103" t="s">
        <v>88</v>
      </c>
      <c r="H347" s="103" t="s">
        <v>6034</v>
      </c>
      <c r="I347" s="103" t="s">
        <v>143</v>
      </c>
      <c r="J347" s="103" t="s">
        <v>142</v>
      </c>
      <c r="K347" s="103" t="s">
        <v>144</v>
      </c>
      <c r="L347" s="103"/>
      <c r="M347" s="103"/>
      <c r="N347" s="103" t="s">
        <v>6033</v>
      </c>
      <c r="O347" s="103" t="s">
        <v>5814</v>
      </c>
      <c r="P347" s="103" t="s">
        <v>6012</v>
      </c>
      <c r="Q347" s="103"/>
      <c r="R347" s="103"/>
      <c r="S347" s="103" t="s">
        <v>5807</v>
      </c>
      <c r="T347" s="103">
        <v>490573</v>
      </c>
      <c r="U347" s="103">
        <v>8.5</v>
      </c>
      <c r="V347" s="103" t="s">
        <v>5823</v>
      </c>
      <c r="W347" s="103" t="s">
        <v>310</v>
      </c>
    </row>
    <row r="348" spans="1:23" x14ac:dyDescent="0.45">
      <c r="A348" s="103">
        <f t="shared" si="16"/>
        <v>347</v>
      </c>
      <c r="B348" s="103" t="s">
        <v>6033</v>
      </c>
      <c r="C348" s="103" t="s">
        <v>5782</v>
      </c>
      <c r="D348" s="103"/>
      <c r="E348" s="103" t="s">
        <v>100</v>
      </c>
      <c r="F348" s="103" t="s">
        <v>77</v>
      </c>
      <c r="G348" s="103" t="s">
        <v>88</v>
      </c>
      <c r="H348" s="103" t="s">
        <v>6034</v>
      </c>
      <c r="I348" s="103" t="s">
        <v>173</v>
      </c>
      <c r="J348" s="103" t="s">
        <v>5608</v>
      </c>
      <c r="K348" s="103" t="s">
        <v>6039</v>
      </c>
      <c r="L348" s="103"/>
      <c r="M348" s="103"/>
      <c r="N348" s="103" t="s">
        <v>6033</v>
      </c>
      <c r="O348" s="103" t="s">
        <v>5816</v>
      </c>
      <c r="P348" s="103" t="s">
        <v>5883</v>
      </c>
      <c r="Q348" s="103"/>
      <c r="R348" s="103"/>
      <c r="S348" s="103">
        <v>10</v>
      </c>
      <c r="T348" s="103">
        <v>490573</v>
      </c>
      <c r="U348" s="103">
        <v>8.8000000000000007</v>
      </c>
      <c r="V348" s="103" t="s">
        <v>5823</v>
      </c>
      <c r="W348" s="103" t="s">
        <v>310</v>
      </c>
    </row>
    <row r="349" spans="1:23" x14ac:dyDescent="0.45">
      <c r="A349" s="103">
        <f t="shared" si="16"/>
        <v>348</v>
      </c>
      <c r="B349" s="103" t="s">
        <v>6033</v>
      </c>
      <c r="C349" s="103" t="s">
        <v>5782</v>
      </c>
      <c r="D349" s="103"/>
      <c r="E349" s="103" t="s">
        <v>100</v>
      </c>
      <c r="F349" s="103" t="s">
        <v>77</v>
      </c>
      <c r="G349" s="103" t="s">
        <v>88</v>
      </c>
      <c r="H349" s="103" t="s">
        <v>6034</v>
      </c>
      <c r="I349" s="103" t="s">
        <v>173</v>
      </c>
      <c r="J349" s="103" t="s">
        <v>5608</v>
      </c>
      <c r="K349" s="103" t="s">
        <v>6039</v>
      </c>
      <c r="L349" s="103"/>
      <c r="M349" s="103"/>
      <c r="N349" s="103" t="s">
        <v>6033</v>
      </c>
      <c r="O349" s="103" t="s">
        <v>5817</v>
      </c>
      <c r="P349" s="103" t="s">
        <v>5854</v>
      </c>
      <c r="Q349" s="103"/>
      <c r="R349" s="103"/>
      <c r="S349" s="103" t="s">
        <v>6040</v>
      </c>
      <c r="T349" s="103">
        <v>490573</v>
      </c>
      <c r="U349" s="103">
        <v>8.8000000000000007</v>
      </c>
      <c r="V349" s="103" t="s">
        <v>5823</v>
      </c>
      <c r="W349" s="103" t="s">
        <v>310</v>
      </c>
    </row>
    <row r="350" spans="1:23" x14ac:dyDescent="0.45">
      <c r="A350" s="103">
        <f t="shared" si="16"/>
        <v>349</v>
      </c>
      <c r="B350" s="103" t="s">
        <v>6033</v>
      </c>
      <c r="C350" s="103" t="s">
        <v>5782</v>
      </c>
      <c r="D350" s="103"/>
      <c r="E350" s="103" t="s">
        <v>100</v>
      </c>
      <c r="F350" s="103" t="s">
        <v>77</v>
      </c>
      <c r="G350" s="103" t="s">
        <v>88</v>
      </c>
      <c r="H350" s="103" t="s">
        <v>6034</v>
      </c>
      <c r="I350" s="103" t="s">
        <v>173</v>
      </c>
      <c r="J350" s="103" t="s">
        <v>5608</v>
      </c>
      <c r="K350" s="103" t="s">
        <v>6039</v>
      </c>
      <c r="L350" s="103"/>
      <c r="M350" s="103"/>
      <c r="N350" s="103" t="s">
        <v>6033</v>
      </c>
      <c r="O350" s="103" t="s">
        <v>5820</v>
      </c>
      <c r="P350" s="103" t="s">
        <v>5833</v>
      </c>
      <c r="Q350" s="103"/>
      <c r="R350" s="103"/>
      <c r="S350" s="103" t="s">
        <v>6015</v>
      </c>
      <c r="T350" s="103">
        <v>490573</v>
      </c>
      <c r="U350" s="103">
        <v>8.8000000000000007</v>
      </c>
      <c r="V350" s="103" t="s">
        <v>5823</v>
      </c>
      <c r="W350" s="103" t="s">
        <v>310</v>
      </c>
    </row>
    <row r="351" spans="1:23" x14ac:dyDescent="0.45">
      <c r="A351" s="103">
        <f t="shared" si="16"/>
        <v>350</v>
      </c>
      <c r="B351" s="103" t="s">
        <v>6033</v>
      </c>
      <c r="C351" s="103" t="s">
        <v>5782</v>
      </c>
      <c r="D351" s="103"/>
      <c r="E351" s="103" t="s">
        <v>100</v>
      </c>
      <c r="F351" s="103" t="s">
        <v>77</v>
      </c>
      <c r="G351" s="103" t="s">
        <v>88</v>
      </c>
      <c r="H351" s="103" t="s">
        <v>6034</v>
      </c>
      <c r="I351" s="103" t="s">
        <v>173</v>
      </c>
      <c r="J351" s="103" t="s">
        <v>5608</v>
      </c>
      <c r="K351" s="103" t="s">
        <v>6039</v>
      </c>
      <c r="L351" s="103"/>
      <c r="M351" s="103"/>
      <c r="N351" s="103" t="s">
        <v>6033</v>
      </c>
      <c r="O351" s="103" t="s">
        <v>5821</v>
      </c>
      <c r="P351" s="103" t="s">
        <v>6012</v>
      </c>
      <c r="Q351" s="103"/>
      <c r="R351" s="103"/>
      <c r="S351" s="103" t="s">
        <v>6041</v>
      </c>
      <c r="T351" s="103">
        <v>490573</v>
      </c>
      <c r="U351" s="103">
        <v>8.8000000000000007</v>
      </c>
      <c r="V351" s="103" t="s">
        <v>5823</v>
      </c>
      <c r="W351" s="103" t="s">
        <v>310</v>
      </c>
    </row>
    <row r="352" spans="1:23" x14ac:dyDescent="0.45">
      <c r="A352" s="103">
        <f t="shared" si="16"/>
        <v>351</v>
      </c>
      <c r="B352" s="103" t="s">
        <v>6033</v>
      </c>
      <c r="C352" s="103" t="s">
        <v>5782</v>
      </c>
      <c r="D352" s="103"/>
      <c r="E352" s="103" t="s">
        <v>100</v>
      </c>
      <c r="F352" s="103" t="s">
        <v>77</v>
      </c>
      <c r="G352" s="103" t="s">
        <v>88</v>
      </c>
      <c r="H352" s="103" t="s">
        <v>6034</v>
      </c>
      <c r="I352" s="103" t="s">
        <v>173</v>
      </c>
      <c r="J352" s="103" t="s">
        <v>122</v>
      </c>
      <c r="K352" s="103" t="s">
        <v>184</v>
      </c>
      <c r="L352" s="103"/>
      <c r="M352" s="103"/>
      <c r="N352" s="103" t="s">
        <v>6033</v>
      </c>
      <c r="O352" s="103" t="s">
        <v>5859</v>
      </c>
      <c r="P352" s="103" t="s">
        <v>5848</v>
      </c>
      <c r="Q352" s="103"/>
      <c r="R352" s="103"/>
      <c r="S352" s="103" t="s">
        <v>5903</v>
      </c>
      <c r="T352" s="103">
        <v>490573</v>
      </c>
      <c r="U352" s="103">
        <v>8.8000000000000007</v>
      </c>
      <c r="V352" s="103" t="s">
        <v>5823</v>
      </c>
      <c r="W352" s="103" t="s">
        <v>310</v>
      </c>
    </row>
    <row r="353" spans="1:23" x14ac:dyDescent="0.45">
      <c r="A353" s="103">
        <f t="shared" si="16"/>
        <v>352</v>
      </c>
      <c r="B353" s="103" t="s">
        <v>6033</v>
      </c>
      <c r="C353" s="103" t="s">
        <v>5782</v>
      </c>
      <c r="D353" s="103"/>
      <c r="E353" s="103" t="s">
        <v>100</v>
      </c>
      <c r="F353" s="103" t="s">
        <v>77</v>
      </c>
      <c r="G353" s="103" t="s">
        <v>88</v>
      </c>
      <c r="H353" s="103" t="s">
        <v>6034</v>
      </c>
      <c r="I353" s="103" t="s">
        <v>173</v>
      </c>
      <c r="J353" s="103" t="s">
        <v>6042</v>
      </c>
      <c r="K353" s="103" t="s">
        <v>6043</v>
      </c>
      <c r="L353" s="103"/>
      <c r="M353" s="103"/>
      <c r="N353" s="103" t="s">
        <v>6033</v>
      </c>
      <c r="O353" s="103" t="s">
        <v>5860</v>
      </c>
      <c r="P353" s="103">
        <v>3</v>
      </c>
      <c r="Q353" s="103"/>
      <c r="R353" s="103"/>
      <c r="S353" s="103">
        <v>4</v>
      </c>
      <c r="T353" s="103">
        <v>490573</v>
      </c>
      <c r="U353" s="103">
        <v>8.8000000000000007</v>
      </c>
      <c r="V353" s="103" t="s">
        <v>5823</v>
      </c>
      <c r="W353" s="103" t="s">
        <v>310</v>
      </c>
    </row>
    <row r="354" spans="1:23" x14ac:dyDescent="0.45">
      <c r="A354" s="103">
        <f t="shared" ref="A354:A392" si="17">ROW()-1</f>
        <v>353</v>
      </c>
      <c r="B354" s="103" t="s">
        <v>5893</v>
      </c>
      <c r="C354" s="103" t="s">
        <v>6044</v>
      </c>
      <c r="D354" s="103"/>
      <c r="E354" s="103" t="s">
        <v>100</v>
      </c>
      <c r="F354" s="103" t="s">
        <v>77</v>
      </c>
      <c r="G354" s="103" t="s">
        <v>74</v>
      </c>
      <c r="H354" s="103" t="s">
        <v>6045</v>
      </c>
      <c r="I354" s="103" t="s">
        <v>143</v>
      </c>
      <c r="J354" s="103" t="s">
        <v>122</v>
      </c>
      <c r="K354" s="103" t="s">
        <v>5788</v>
      </c>
      <c r="L354" s="103" t="s">
        <v>6052</v>
      </c>
      <c r="M354" s="103"/>
      <c r="N354" s="103" t="s">
        <v>5893</v>
      </c>
      <c r="O354" s="103" t="s">
        <v>47</v>
      </c>
      <c r="P354" s="103">
        <v>15</v>
      </c>
      <c r="Q354" s="103"/>
      <c r="R354" s="103"/>
      <c r="S354" s="103">
        <v>15</v>
      </c>
      <c r="T354" s="103">
        <v>255501</v>
      </c>
      <c r="U354" s="103">
        <v>8.5</v>
      </c>
      <c r="V354" s="103" t="s">
        <v>65</v>
      </c>
      <c r="W354" s="103" t="s">
        <v>310</v>
      </c>
    </row>
    <row r="355" spans="1:23" x14ac:dyDescent="0.45">
      <c r="A355" s="103">
        <f t="shared" si="17"/>
        <v>354</v>
      </c>
      <c r="B355" s="103" t="s">
        <v>5893</v>
      </c>
      <c r="C355" s="103" t="s">
        <v>6044</v>
      </c>
      <c r="D355" s="103"/>
      <c r="E355" s="103" t="s">
        <v>100</v>
      </c>
      <c r="F355" s="103" t="s">
        <v>77</v>
      </c>
      <c r="G355" s="103" t="s">
        <v>74</v>
      </c>
      <c r="H355" s="103" t="s">
        <v>6045</v>
      </c>
      <c r="I355" s="103" t="s">
        <v>143</v>
      </c>
      <c r="J355" s="103" t="s">
        <v>122</v>
      </c>
      <c r="K355" s="103" t="s">
        <v>5788</v>
      </c>
      <c r="L355" s="103" t="s">
        <v>6053</v>
      </c>
      <c r="M355" s="103"/>
      <c r="N355" s="103" t="s">
        <v>5893</v>
      </c>
      <c r="O355" s="103" t="s">
        <v>5580</v>
      </c>
      <c r="P355" s="103">
        <v>15</v>
      </c>
      <c r="Q355" s="103"/>
      <c r="R355" s="103"/>
      <c r="S355" s="103">
        <v>15</v>
      </c>
      <c r="T355" s="103">
        <v>255501</v>
      </c>
      <c r="U355" s="103">
        <v>8.5</v>
      </c>
      <c r="V355" s="103" t="s">
        <v>65</v>
      </c>
      <c r="W355" s="103" t="s">
        <v>310</v>
      </c>
    </row>
    <row r="356" spans="1:23" x14ac:dyDescent="0.45">
      <c r="A356" s="103">
        <f t="shared" si="17"/>
        <v>355</v>
      </c>
      <c r="B356" s="103" t="s">
        <v>5893</v>
      </c>
      <c r="C356" s="103" t="s">
        <v>6044</v>
      </c>
      <c r="D356" s="103"/>
      <c r="E356" s="103" t="s">
        <v>100</v>
      </c>
      <c r="F356" s="103" t="s">
        <v>77</v>
      </c>
      <c r="G356" s="103" t="s">
        <v>74</v>
      </c>
      <c r="H356" s="103" t="s">
        <v>6045</v>
      </c>
      <c r="I356" s="103" t="s">
        <v>143</v>
      </c>
      <c r="J356" s="103" t="s">
        <v>115</v>
      </c>
      <c r="K356" s="103" t="s">
        <v>5675</v>
      </c>
      <c r="L356" s="103"/>
      <c r="M356" s="103"/>
      <c r="N356" s="103" t="s">
        <v>5893</v>
      </c>
      <c r="O356" s="103" t="s">
        <v>5812</v>
      </c>
      <c r="P356" s="103" t="s">
        <v>5884</v>
      </c>
      <c r="Q356" s="103"/>
      <c r="R356" s="103"/>
      <c r="S356" s="103" t="s">
        <v>6048</v>
      </c>
      <c r="T356" s="103">
        <v>255501</v>
      </c>
      <c r="U356" s="103">
        <v>8.5</v>
      </c>
      <c r="V356" s="103" t="s">
        <v>65</v>
      </c>
      <c r="W356" s="103" t="s">
        <v>310</v>
      </c>
    </row>
    <row r="357" spans="1:23" x14ac:dyDescent="0.45">
      <c r="A357" s="103">
        <f t="shared" si="17"/>
        <v>356</v>
      </c>
      <c r="B357" s="103" t="s">
        <v>5893</v>
      </c>
      <c r="C357" s="103" t="s">
        <v>6044</v>
      </c>
      <c r="D357" s="103"/>
      <c r="E357" s="103" t="s">
        <v>100</v>
      </c>
      <c r="F357" s="103" t="s">
        <v>77</v>
      </c>
      <c r="G357" s="103" t="s">
        <v>74</v>
      </c>
      <c r="H357" s="103" t="s">
        <v>6045</v>
      </c>
      <c r="I357" s="103"/>
      <c r="J357" s="103" t="s">
        <v>115</v>
      </c>
      <c r="K357" s="103" t="s">
        <v>5675</v>
      </c>
      <c r="L357" s="103"/>
      <c r="M357" s="103"/>
      <c r="N357" s="103" t="s">
        <v>5893</v>
      </c>
      <c r="O357" s="103" t="s">
        <v>5581</v>
      </c>
      <c r="P357" s="103" t="s">
        <v>6049</v>
      </c>
      <c r="Q357" s="103"/>
      <c r="R357" s="103"/>
      <c r="S357" s="103" t="s">
        <v>5962</v>
      </c>
      <c r="T357" s="103">
        <v>255501</v>
      </c>
      <c r="U357" s="103" t="s">
        <v>5796</v>
      </c>
      <c r="V357" s="103" t="s">
        <v>65</v>
      </c>
      <c r="W357" s="103" t="s">
        <v>310</v>
      </c>
    </row>
    <row r="358" spans="1:23" x14ac:dyDescent="0.45">
      <c r="A358" s="103">
        <f t="shared" si="17"/>
        <v>357</v>
      </c>
      <c r="B358" s="103" t="s">
        <v>5893</v>
      </c>
      <c r="C358" s="103" t="s">
        <v>6044</v>
      </c>
      <c r="D358" s="103"/>
      <c r="E358" s="103" t="s">
        <v>100</v>
      </c>
      <c r="F358" s="103" t="s">
        <v>77</v>
      </c>
      <c r="G358" s="103" t="s">
        <v>74</v>
      </c>
      <c r="H358" s="103" t="s">
        <v>6045</v>
      </c>
      <c r="I358" s="103" t="s">
        <v>143</v>
      </c>
      <c r="J358" s="103" t="s">
        <v>115</v>
      </c>
      <c r="K358" s="103" t="s">
        <v>5675</v>
      </c>
      <c r="L358" s="103"/>
      <c r="M358" s="103"/>
      <c r="N358" s="103" t="s">
        <v>5893</v>
      </c>
      <c r="O358" s="103" t="s">
        <v>5813</v>
      </c>
      <c r="P358" s="103" t="s">
        <v>6050</v>
      </c>
      <c r="Q358" s="103"/>
      <c r="R358" s="103"/>
      <c r="S358" s="103" t="s">
        <v>6051</v>
      </c>
      <c r="T358" s="103">
        <v>255501</v>
      </c>
      <c r="U358" s="103" t="s">
        <v>5796</v>
      </c>
      <c r="V358" s="103" t="s">
        <v>65</v>
      </c>
      <c r="W358" s="103" t="s">
        <v>310</v>
      </c>
    </row>
    <row r="359" spans="1:23" x14ac:dyDescent="0.45">
      <c r="A359" s="103">
        <f t="shared" si="17"/>
        <v>358</v>
      </c>
      <c r="B359" s="103" t="s">
        <v>5893</v>
      </c>
      <c r="C359" s="103" t="s">
        <v>6044</v>
      </c>
      <c r="D359" s="103"/>
      <c r="E359" s="103" t="s">
        <v>100</v>
      </c>
      <c r="F359" s="103" t="s">
        <v>77</v>
      </c>
      <c r="G359" s="103" t="s">
        <v>74</v>
      </c>
      <c r="H359" s="103" t="s">
        <v>6045</v>
      </c>
      <c r="I359" s="103" t="s">
        <v>143</v>
      </c>
      <c r="J359" s="103" t="s">
        <v>115</v>
      </c>
      <c r="K359" s="103" t="s">
        <v>5675</v>
      </c>
      <c r="L359" s="103"/>
      <c r="M359" s="103"/>
      <c r="N359" s="103"/>
      <c r="O359" s="103" t="s">
        <v>5814</v>
      </c>
      <c r="P359" s="103">
        <v>18</v>
      </c>
      <c r="Q359" s="103"/>
      <c r="R359" s="103"/>
      <c r="S359" s="103" t="s">
        <v>5964</v>
      </c>
      <c r="T359" s="103">
        <v>255501</v>
      </c>
      <c r="U359" s="103">
        <v>8.5</v>
      </c>
      <c r="V359" s="103" t="s">
        <v>65</v>
      </c>
      <c r="W359" s="103" t="s">
        <v>310</v>
      </c>
    </row>
    <row r="360" spans="1:23" x14ac:dyDescent="0.45">
      <c r="A360" s="103">
        <f t="shared" si="17"/>
        <v>359</v>
      </c>
      <c r="B360" s="103" t="s">
        <v>5893</v>
      </c>
      <c r="C360" s="103" t="s">
        <v>6044</v>
      </c>
      <c r="D360" s="103"/>
      <c r="E360" s="103" t="s">
        <v>100</v>
      </c>
      <c r="F360" s="103" t="s">
        <v>77</v>
      </c>
      <c r="G360" s="103" t="s">
        <v>74</v>
      </c>
      <c r="H360" s="103" t="s">
        <v>6045</v>
      </c>
      <c r="I360" s="103"/>
      <c r="J360" s="103"/>
      <c r="K360" s="103"/>
      <c r="L360" s="103"/>
      <c r="M360" s="103"/>
      <c r="N360" s="103" t="s">
        <v>5893</v>
      </c>
      <c r="O360" s="103" t="s">
        <v>5819</v>
      </c>
      <c r="P360" s="103"/>
      <c r="Q360" s="103"/>
      <c r="R360" s="103"/>
      <c r="S360" s="103"/>
      <c r="T360" s="103">
        <v>255501</v>
      </c>
      <c r="U360" s="103"/>
      <c r="V360" s="103" t="s">
        <v>65</v>
      </c>
      <c r="W360" s="103" t="s">
        <v>310</v>
      </c>
    </row>
    <row r="361" spans="1:23" x14ac:dyDescent="0.45">
      <c r="A361" s="103">
        <f t="shared" si="17"/>
        <v>360</v>
      </c>
      <c r="B361" s="103" t="s">
        <v>5893</v>
      </c>
      <c r="C361" s="103" t="s">
        <v>6044</v>
      </c>
      <c r="D361" s="103"/>
      <c r="E361" s="103" t="s">
        <v>100</v>
      </c>
      <c r="F361" s="103" t="s">
        <v>77</v>
      </c>
      <c r="G361" s="103" t="s">
        <v>74</v>
      </c>
      <c r="H361" s="103" t="s">
        <v>6045</v>
      </c>
      <c r="I361" s="103" t="s">
        <v>143</v>
      </c>
      <c r="J361" s="103" t="s">
        <v>122</v>
      </c>
      <c r="K361" s="103" t="s">
        <v>5788</v>
      </c>
      <c r="L361" s="103"/>
      <c r="M361" s="103"/>
      <c r="N361" s="103" t="s">
        <v>5893</v>
      </c>
      <c r="O361" s="103" t="s">
        <v>47</v>
      </c>
      <c r="P361" s="103" t="s">
        <v>5889</v>
      </c>
      <c r="Q361" s="103"/>
      <c r="R361" s="103"/>
      <c r="S361" s="103" t="s">
        <v>5915</v>
      </c>
      <c r="T361" s="103">
        <v>255501</v>
      </c>
      <c r="U361" s="103">
        <v>8.5</v>
      </c>
      <c r="V361" s="103" t="s">
        <v>5823</v>
      </c>
      <c r="W361" s="103" t="s">
        <v>310</v>
      </c>
    </row>
    <row r="362" spans="1:23" x14ac:dyDescent="0.45">
      <c r="A362" s="103">
        <f t="shared" si="17"/>
        <v>361</v>
      </c>
      <c r="B362" s="103" t="s">
        <v>5893</v>
      </c>
      <c r="C362" s="103" t="s">
        <v>6044</v>
      </c>
      <c r="D362" s="103"/>
      <c r="E362" s="103" t="s">
        <v>100</v>
      </c>
      <c r="F362" s="103" t="s">
        <v>77</v>
      </c>
      <c r="G362" s="103" t="s">
        <v>74</v>
      </c>
      <c r="H362" s="103" t="s">
        <v>6045</v>
      </c>
      <c r="I362" s="103" t="s">
        <v>143</v>
      </c>
      <c r="J362" s="103" t="s">
        <v>122</v>
      </c>
      <c r="K362" s="103" t="s">
        <v>5788</v>
      </c>
      <c r="L362" s="103"/>
      <c r="M362" s="103"/>
      <c r="N362" s="103" t="s">
        <v>5893</v>
      </c>
      <c r="O362" s="103" t="s">
        <v>5580</v>
      </c>
      <c r="P362" s="103" t="s">
        <v>5795</v>
      </c>
      <c r="Q362" s="103"/>
      <c r="R362" s="103"/>
      <c r="S362" s="103" t="s">
        <v>5854</v>
      </c>
      <c r="T362" s="103">
        <v>255501</v>
      </c>
      <c r="U362" s="103">
        <v>8.5</v>
      </c>
      <c r="V362" s="103" t="s">
        <v>5823</v>
      </c>
      <c r="W362" s="103" t="s">
        <v>310</v>
      </c>
    </row>
    <row r="363" spans="1:23" x14ac:dyDescent="0.45">
      <c r="A363" s="103">
        <f t="shared" si="17"/>
        <v>362</v>
      </c>
      <c r="B363" s="103" t="s">
        <v>5893</v>
      </c>
      <c r="C363" s="103" t="s">
        <v>6044</v>
      </c>
      <c r="D363" s="103"/>
      <c r="E363" s="103" t="s">
        <v>100</v>
      </c>
      <c r="F363" s="103" t="s">
        <v>77</v>
      </c>
      <c r="G363" s="103" t="s">
        <v>74</v>
      </c>
      <c r="H363" s="103" t="s">
        <v>6045</v>
      </c>
      <c r="I363" s="103" t="s">
        <v>143</v>
      </c>
      <c r="J363" s="103" t="s">
        <v>115</v>
      </c>
      <c r="K363" s="103" t="s">
        <v>5675</v>
      </c>
      <c r="L363" s="103"/>
      <c r="M363" s="103"/>
      <c r="N363" s="103" t="s">
        <v>5893</v>
      </c>
      <c r="O363" s="103" t="s">
        <v>5812</v>
      </c>
      <c r="P363" s="103" t="s">
        <v>5884</v>
      </c>
      <c r="Q363" s="103"/>
      <c r="R363" s="103"/>
      <c r="S363" s="103" t="s">
        <v>6048</v>
      </c>
      <c r="T363" s="103">
        <v>255501</v>
      </c>
      <c r="U363" s="103">
        <v>8.5</v>
      </c>
      <c r="V363" s="103" t="s">
        <v>5823</v>
      </c>
      <c r="W363" s="103" t="s">
        <v>310</v>
      </c>
    </row>
    <row r="364" spans="1:23" x14ac:dyDescent="0.45">
      <c r="A364" s="103">
        <f t="shared" si="17"/>
        <v>363</v>
      </c>
      <c r="B364" s="103" t="s">
        <v>5893</v>
      </c>
      <c r="C364" s="103" t="s">
        <v>6044</v>
      </c>
      <c r="D364" s="103"/>
      <c r="E364" s="103" t="s">
        <v>100</v>
      </c>
      <c r="F364" s="103" t="s">
        <v>77</v>
      </c>
      <c r="G364" s="103" t="s">
        <v>74</v>
      </c>
      <c r="H364" s="103" t="s">
        <v>6045</v>
      </c>
      <c r="I364" s="103" t="s">
        <v>143</v>
      </c>
      <c r="J364" s="103" t="s">
        <v>115</v>
      </c>
      <c r="K364" s="103" t="s">
        <v>5675</v>
      </c>
      <c r="L364" s="103"/>
      <c r="M364" s="103"/>
      <c r="N364" s="103" t="s">
        <v>5893</v>
      </c>
      <c r="O364" s="103" t="s">
        <v>5581</v>
      </c>
      <c r="P364" s="103" t="s">
        <v>6049</v>
      </c>
      <c r="Q364" s="103"/>
      <c r="R364" s="103"/>
      <c r="S364" s="103" t="s">
        <v>5962</v>
      </c>
      <c r="T364" s="103">
        <v>255501</v>
      </c>
      <c r="U364" s="103" t="s">
        <v>5796</v>
      </c>
      <c r="V364" s="103" t="s">
        <v>5823</v>
      </c>
      <c r="W364" s="103" t="s">
        <v>310</v>
      </c>
    </row>
    <row r="365" spans="1:23" x14ac:dyDescent="0.45">
      <c r="A365" s="103">
        <f t="shared" si="17"/>
        <v>364</v>
      </c>
      <c r="B365" s="103" t="s">
        <v>5893</v>
      </c>
      <c r="C365" s="103" t="s">
        <v>6044</v>
      </c>
      <c r="D365" s="103"/>
      <c r="E365" s="103" t="s">
        <v>100</v>
      </c>
      <c r="F365" s="103" t="s">
        <v>77</v>
      </c>
      <c r="G365" s="103" t="s">
        <v>74</v>
      </c>
      <c r="H365" s="103" t="s">
        <v>6045</v>
      </c>
      <c r="I365" s="103" t="s">
        <v>143</v>
      </c>
      <c r="J365" s="103" t="s">
        <v>115</v>
      </c>
      <c r="K365" s="103" t="s">
        <v>5675</v>
      </c>
      <c r="L365" s="103"/>
      <c r="M365" s="103"/>
      <c r="N365" s="103" t="s">
        <v>5893</v>
      </c>
      <c r="O365" s="103" t="s">
        <v>5813</v>
      </c>
      <c r="P365" s="103" t="s">
        <v>6050</v>
      </c>
      <c r="Q365" s="103"/>
      <c r="R365" s="103"/>
      <c r="S365" s="103" t="s">
        <v>6051</v>
      </c>
      <c r="T365" s="103">
        <v>255501</v>
      </c>
      <c r="U365" s="103" t="s">
        <v>5796</v>
      </c>
      <c r="V365" s="103" t="s">
        <v>5823</v>
      </c>
      <c r="W365" s="103" t="s">
        <v>310</v>
      </c>
    </row>
    <row r="366" spans="1:23" x14ac:dyDescent="0.45">
      <c r="A366" s="103">
        <f t="shared" si="17"/>
        <v>365</v>
      </c>
      <c r="B366" s="103" t="s">
        <v>5893</v>
      </c>
      <c r="C366" s="103" t="s">
        <v>6044</v>
      </c>
      <c r="D366" s="103"/>
      <c r="E366" s="103" t="s">
        <v>100</v>
      </c>
      <c r="F366" s="103" t="s">
        <v>77</v>
      </c>
      <c r="G366" s="103" t="s">
        <v>74</v>
      </c>
      <c r="H366" s="103" t="s">
        <v>6045</v>
      </c>
      <c r="I366" s="103" t="s">
        <v>143</v>
      </c>
      <c r="J366" s="103" t="s">
        <v>115</v>
      </c>
      <c r="K366" s="103" t="s">
        <v>5675</v>
      </c>
      <c r="L366" s="103"/>
      <c r="M366" s="103"/>
      <c r="N366" s="103" t="s">
        <v>5893</v>
      </c>
      <c r="O366" s="103" t="s">
        <v>5814</v>
      </c>
      <c r="P366" s="103">
        <v>18</v>
      </c>
      <c r="Q366" s="103"/>
      <c r="R366" s="103"/>
      <c r="S366" s="103" t="s">
        <v>5964</v>
      </c>
      <c r="T366" s="103">
        <v>255501</v>
      </c>
      <c r="U366" s="103">
        <v>8.5</v>
      </c>
      <c r="V366" s="103" t="s">
        <v>5823</v>
      </c>
      <c r="W366" s="103" t="s">
        <v>310</v>
      </c>
    </row>
    <row r="367" spans="1:23" x14ac:dyDescent="0.45">
      <c r="A367" s="103">
        <f t="shared" si="17"/>
        <v>366</v>
      </c>
      <c r="B367" s="103" t="s">
        <v>5893</v>
      </c>
      <c r="C367" s="103" t="s">
        <v>3598</v>
      </c>
      <c r="D367" s="103" t="s">
        <v>330</v>
      </c>
      <c r="E367" s="103" t="s">
        <v>100</v>
      </c>
      <c r="F367" s="103" t="s">
        <v>83</v>
      </c>
      <c r="G367" s="103" t="s">
        <v>71</v>
      </c>
      <c r="H367" s="103" t="s">
        <v>6054</v>
      </c>
      <c r="I367" s="103" t="s">
        <v>200</v>
      </c>
      <c r="J367" s="103" t="s">
        <v>154</v>
      </c>
      <c r="K367" s="103" t="s">
        <v>6061</v>
      </c>
      <c r="L367" s="103">
        <v>1931115783</v>
      </c>
      <c r="M367" s="103"/>
      <c r="N367" s="103" t="s">
        <v>5893</v>
      </c>
      <c r="O367" s="103" t="s">
        <v>47</v>
      </c>
      <c r="P367" s="103" t="s">
        <v>6062</v>
      </c>
      <c r="Q367" s="103"/>
      <c r="R367" s="103"/>
      <c r="S367" s="103" t="s">
        <v>6062</v>
      </c>
      <c r="T367" s="103">
        <v>779230</v>
      </c>
      <c r="U367" s="103">
        <v>9</v>
      </c>
      <c r="V367" s="103" t="s">
        <v>65</v>
      </c>
      <c r="W367" s="103" t="s">
        <v>310</v>
      </c>
    </row>
    <row r="368" spans="1:23" x14ac:dyDescent="0.45">
      <c r="A368" s="103">
        <f t="shared" si="17"/>
        <v>367</v>
      </c>
      <c r="B368" s="103" t="s">
        <v>5893</v>
      </c>
      <c r="C368" s="103" t="s">
        <v>3598</v>
      </c>
      <c r="D368" s="103" t="s">
        <v>330</v>
      </c>
      <c r="E368" s="103" t="s">
        <v>100</v>
      </c>
      <c r="F368" s="103" t="s">
        <v>83</v>
      </c>
      <c r="G368" s="103" t="s">
        <v>71</v>
      </c>
      <c r="H368" s="103" t="s">
        <v>6054</v>
      </c>
      <c r="I368" s="103" t="s">
        <v>200</v>
      </c>
      <c r="J368" s="103" t="s">
        <v>154</v>
      </c>
      <c r="K368" s="103" t="s">
        <v>6061</v>
      </c>
      <c r="L368" s="103">
        <v>1930842372</v>
      </c>
      <c r="M368" s="103"/>
      <c r="N368" s="103" t="s">
        <v>5893</v>
      </c>
      <c r="O368" s="103" t="s">
        <v>5580</v>
      </c>
      <c r="P368" s="103" t="s">
        <v>6062</v>
      </c>
      <c r="Q368" s="103"/>
      <c r="R368" s="103"/>
      <c r="S368" s="103" t="s">
        <v>6062</v>
      </c>
      <c r="T368" s="103">
        <v>779230</v>
      </c>
      <c r="U368" s="103">
        <v>9</v>
      </c>
      <c r="V368" s="103" t="s">
        <v>65</v>
      </c>
      <c r="W368" s="103" t="s">
        <v>310</v>
      </c>
    </row>
    <row r="369" spans="1:23" x14ac:dyDescent="0.45">
      <c r="A369" s="103">
        <f t="shared" si="17"/>
        <v>368</v>
      </c>
      <c r="B369" s="103" t="s">
        <v>5893</v>
      </c>
      <c r="C369" s="103" t="s">
        <v>3598</v>
      </c>
      <c r="D369" s="103" t="s">
        <v>330</v>
      </c>
      <c r="E369" s="103" t="s">
        <v>100</v>
      </c>
      <c r="F369" s="103" t="s">
        <v>83</v>
      </c>
      <c r="G369" s="103" t="s">
        <v>71</v>
      </c>
      <c r="H369" s="103" t="s">
        <v>6054</v>
      </c>
      <c r="I369" s="103" t="s">
        <v>200</v>
      </c>
      <c r="J369" s="103" t="s">
        <v>164</v>
      </c>
      <c r="K369" s="103" t="s">
        <v>6059</v>
      </c>
      <c r="L369" s="103"/>
      <c r="M369" s="103"/>
      <c r="N369" s="103" t="s">
        <v>5893</v>
      </c>
      <c r="O369" s="103" t="s">
        <v>5812</v>
      </c>
      <c r="P369" s="103">
        <v>15</v>
      </c>
      <c r="Q369" s="103"/>
      <c r="R369" s="103"/>
      <c r="S369" s="103" t="s">
        <v>5807</v>
      </c>
      <c r="T369" s="103">
        <v>779230</v>
      </c>
      <c r="U369" s="103">
        <v>8.5</v>
      </c>
      <c r="V369" s="103" t="s">
        <v>65</v>
      </c>
      <c r="W369" s="103" t="s">
        <v>310</v>
      </c>
    </row>
    <row r="370" spans="1:23" x14ac:dyDescent="0.45">
      <c r="A370" s="103">
        <f t="shared" si="17"/>
        <v>369</v>
      </c>
      <c r="B370" s="103" t="s">
        <v>5893</v>
      </c>
      <c r="C370" s="103" t="s">
        <v>3598</v>
      </c>
      <c r="D370" s="103" t="s">
        <v>330</v>
      </c>
      <c r="E370" s="103" t="s">
        <v>100</v>
      </c>
      <c r="F370" s="103" t="s">
        <v>83</v>
      </c>
      <c r="G370" s="103" t="s">
        <v>71</v>
      </c>
      <c r="H370" s="103" t="s">
        <v>6054</v>
      </c>
      <c r="I370" s="103"/>
      <c r="J370" s="103" t="s">
        <v>164</v>
      </c>
      <c r="K370" s="103" t="s">
        <v>6059</v>
      </c>
      <c r="L370" s="103"/>
      <c r="M370" s="103"/>
      <c r="N370" s="103" t="s">
        <v>5893</v>
      </c>
      <c r="O370" s="103" t="s">
        <v>5581</v>
      </c>
      <c r="P370" s="103">
        <v>15</v>
      </c>
      <c r="Q370" s="103"/>
      <c r="R370" s="103"/>
      <c r="S370" s="103" t="s">
        <v>6060</v>
      </c>
      <c r="T370" s="103">
        <v>779230</v>
      </c>
      <c r="U370" s="103">
        <v>8.5</v>
      </c>
      <c r="V370" s="103" t="s">
        <v>65</v>
      </c>
      <c r="W370" s="103" t="s">
        <v>310</v>
      </c>
    </row>
    <row r="371" spans="1:23" x14ac:dyDescent="0.45">
      <c r="A371" s="103">
        <f t="shared" si="17"/>
        <v>370</v>
      </c>
      <c r="B371" s="103" t="s">
        <v>5893</v>
      </c>
      <c r="C371" s="103" t="s">
        <v>3598</v>
      </c>
      <c r="D371" s="103" t="s">
        <v>330</v>
      </c>
      <c r="E371" s="103" t="s">
        <v>100</v>
      </c>
      <c r="F371" s="103" t="s">
        <v>83</v>
      </c>
      <c r="G371" s="103" t="s">
        <v>71</v>
      </c>
      <c r="H371" s="103" t="s">
        <v>6054</v>
      </c>
      <c r="I371" s="103" t="s">
        <v>200</v>
      </c>
      <c r="J371" s="103" t="s">
        <v>164</v>
      </c>
      <c r="K371" s="103" t="s">
        <v>6059</v>
      </c>
      <c r="L371" s="103"/>
      <c r="M371" s="103"/>
      <c r="N371" s="103" t="s">
        <v>5893</v>
      </c>
      <c r="O371" s="103" t="s">
        <v>5813</v>
      </c>
      <c r="P371" s="103" t="s">
        <v>6011</v>
      </c>
      <c r="Q371" s="103"/>
      <c r="R371" s="103"/>
      <c r="S371" s="103">
        <v>14</v>
      </c>
      <c r="T371" s="103">
        <v>779230</v>
      </c>
      <c r="U371" s="103">
        <v>8.5</v>
      </c>
      <c r="V371" s="103" t="s">
        <v>65</v>
      </c>
      <c r="W371" s="103" t="s">
        <v>310</v>
      </c>
    </row>
    <row r="372" spans="1:23" x14ac:dyDescent="0.45">
      <c r="A372" s="103">
        <f t="shared" si="17"/>
        <v>371</v>
      </c>
      <c r="B372" s="103" t="s">
        <v>5893</v>
      </c>
      <c r="C372" s="103" t="s">
        <v>3598</v>
      </c>
      <c r="D372" s="103" t="s">
        <v>330</v>
      </c>
      <c r="E372" s="103" t="s">
        <v>100</v>
      </c>
      <c r="F372" s="103" t="s">
        <v>83</v>
      </c>
      <c r="G372" s="103" t="s">
        <v>71</v>
      </c>
      <c r="H372" s="103" t="s">
        <v>6054</v>
      </c>
      <c r="I372" s="103" t="s">
        <v>200</v>
      </c>
      <c r="J372" s="103" t="s">
        <v>164</v>
      </c>
      <c r="K372" s="103" t="s">
        <v>6059</v>
      </c>
      <c r="L372" s="103"/>
      <c r="M372" s="103"/>
      <c r="N372" s="103"/>
      <c r="O372" s="103" t="s">
        <v>5814</v>
      </c>
      <c r="P372" s="103">
        <v>14</v>
      </c>
      <c r="Q372" s="103"/>
      <c r="R372" s="103"/>
      <c r="S372" s="103" t="s">
        <v>6005</v>
      </c>
      <c r="T372" s="103">
        <v>779230</v>
      </c>
      <c r="U372" s="103">
        <v>8.5</v>
      </c>
      <c r="V372" s="103" t="s">
        <v>65</v>
      </c>
      <c r="W372" s="103" t="s">
        <v>310</v>
      </c>
    </row>
    <row r="373" spans="1:23" x14ac:dyDescent="0.45">
      <c r="A373" s="103">
        <f t="shared" si="17"/>
        <v>372</v>
      </c>
      <c r="B373" s="103" t="s">
        <v>5893</v>
      </c>
      <c r="C373" s="103" t="s">
        <v>3598</v>
      </c>
      <c r="D373" s="103" t="s">
        <v>330</v>
      </c>
      <c r="E373" s="103" t="s">
        <v>100</v>
      </c>
      <c r="F373" s="103" t="s">
        <v>83</v>
      </c>
      <c r="G373" s="103" t="s">
        <v>71</v>
      </c>
      <c r="H373" s="103" t="s">
        <v>6054</v>
      </c>
      <c r="I373" s="103"/>
      <c r="J373" s="103"/>
      <c r="K373" s="103"/>
      <c r="L373" s="103"/>
      <c r="M373" s="103"/>
      <c r="N373" s="103" t="s">
        <v>5893</v>
      </c>
      <c r="O373" s="103" t="s">
        <v>5819</v>
      </c>
      <c r="P373" s="103"/>
      <c r="Q373" s="103"/>
      <c r="R373" s="103"/>
      <c r="S373" s="103"/>
      <c r="T373" s="103">
        <v>779230</v>
      </c>
      <c r="U373" s="103"/>
      <c r="V373" s="103" t="s">
        <v>65</v>
      </c>
      <c r="W373" s="103" t="s">
        <v>310</v>
      </c>
    </row>
    <row r="374" spans="1:23" x14ac:dyDescent="0.45">
      <c r="A374" s="103">
        <f t="shared" si="17"/>
        <v>373</v>
      </c>
      <c r="B374" s="103" t="s">
        <v>5893</v>
      </c>
      <c r="C374" s="103" t="s">
        <v>3598</v>
      </c>
      <c r="D374" s="103" t="s">
        <v>330</v>
      </c>
      <c r="E374" s="103" t="s">
        <v>100</v>
      </c>
      <c r="F374" s="103" t="s">
        <v>83</v>
      </c>
      <c r="G374" s="103" t="s">
        <v>71</v>
      </c>
      <c r="H374" s="103" t="s">
        <v>6054</v>
      </c>
      <c r="I374" s="103" t="s">
        <v>200</v>
      </c>
      <c r="J374" s="103" t="s">
        <v>122</v>
      </c>
      <c r="K374" s="103" t="s">
        <v>152</v>
      </c>
      <c r="L374" s="103"/>
      <c r="M374" s="103"/>
      <c r="N374" s="103" t="s">
        <v>5893</v>
      </c>
      <c r="O374" s="103" t="s">
        <v>47</v>
      </c>
      <c r="P374" s="103" t="s">
        <v>6057</v>
      </c>
      <c r="Q374" s="103"/>
      <c r="R374" s="103"/>
      <c r="S374" s="103" t="s">
        <v>5903</v>
      </c>
      <c r="T374" s="103">
        <v>779230</v>
      </c>
      <c r="U374" s="103">
        <v>8.6999999999999993</v>
      </c>
      <c r="V374" s="103" t="s">
        <v>5823</v>
      </c>
      <c r="W374" s="103" t="s">
        <v>310</v>
      </c>
    </row>
    <row r="375" spans="1:23" x14ac:dyDescent="0.45">
      <c r="A375" s="103">
        <f t="shared" si="17"/>
        <v>374</v>
      </c>
      <c r="B375" s="103" t="s">
        <v>5893</v>
      </c>
      <c r="C375" s="103" t="s">
        <v>3598</v>
      </c>
      <c r="D375" s="103" t="s">
        <v>330</v>
      </c>
      <c r="E375" s="103" t="s">
        <v>100</v>
      </c>
      <c r="F375" s="103" t="s">
        <v>83</v>
      </c>
      <c r="G375" s="103" t="s">
        <v>71</v>
      </c>
      <c r="H375" s="103" t="s">
        <v>6054</v>
      </c>
      <c r="I375" s="103" t="s">
        <v>200</v>
      </c>
      <c r="J375" s="103" t="s">
        <v>164</v>
      </c>
      <c r="K375" s="103" t="s">
        <v>6058</v>
      </c>
      <c r="L375" s="103"/>
      <c r="M375" s="103"/>
      <c r="N375" s="103" t="s">
        <v>5893</v>
      </c>
      <c r="O375" s="103" t="s">
        <v>5580</v>
      </c>
      <c r="P375" s="103">
        <v>1</v>
      </c>
      <c r="Q375" s="103"/>
      <c r="R375" s="103"/>
      <c r="S375" s="103">
        <v>1</v>
      </c>
      <c r="T375" s="103">
        <v>779230</v>
      </c>
      <c r="U375" s="103">
        <v>8.8000000000000007</v>
      </c>
      <c r="V375" s="103" t="s">
        <v>5823</v>
      </c>
      <c r="W375" s="103" t="s">
        <v>310</v>
      </c>
    </row>
    <row r="376" spans="1:23" x14ac:dyDescent="0.45">
      <c r="A376" s="103">
        <f t="shared" si="17"/>
        <v>375</v>
      </c>
      <c r="B376" s="103" t="s">
        <v>5893</v>
      </c>
      <c r="C376" s="103" t="s">
        <v>3598</v>
      </c>
      <c r="D376" s="103" t="s">
        <v>330</v>
      </c>
      <c r="E376" s="103" t="s">
        <v>100</v>
      </c>
      <c r="F376" s="103" t="s">
        <v>83</v>
      </c>
      <c r="G376" s="103" t="s">
        <v>71</v>
      </c>
      <c r="H376" s="103" t="s">
        <v>6054</v>
      </c>
      <c r="I376" s="103" t="s">
        <v>200</v>
      </c>
      <c r="J376" s="103" t="s">
        <v>164</v>
      </c>
      <c r="K376" s="103" t="s">
        <v>6059</v>
      </c>
      <c r="L376" s="103"/>
      <c r="M376" s="103"/>
      <c r="N376" s="103" t="s">
        <v>5893</v>
      </c>
      <c r="O376" s="103" t="s">
        <v>5812</v>
      </c>
      <c r="P376" s="103">
        <v>15</v>
      </c>
      <c r="Q376" s="103"/>
      <c r="R376" s="103"/>
      <c r="S376" s="103" t="s">
        <v>5807</v>
      </c>
      <c r="T376" s="103">
        <v>779230</v>
      </c>
      <c r="U376" s="103">
        <v>8.5</v>
      </c>
      <c r="V376" s="103" t="s">
        <v>5823</v>
      </c>
      <c r="W376" s="103" t="s">
        <v>310</v>
      </c>
    </row>
    <row r="377" spans="1:23" x14ac:dyDescent="0.45">
      <c r="A377" s="103">
        <f t="shared" si="17"/>
        <v>376</v>
      </c>
      <c r="B377" s="103" t="s">
        <v>5893</v>
      </c>
      <c r="C377" s="103" t="s">
        <v>3598</v>
      </c>
      <c r="D377" s="103" t="s">
        <v>330</v>
      </c>
      <c r="E377" s="103" t="s">
        <v>100</v>
      </c>
      <c r="F377" s="103" t="s">
        <v>83</v>
      </c>
      <c r="G377" s="103" t="s">
        <v>71</v>
      </c>
      <c r="H377" s="103" t="s">
        <v>6054</v>
      </c>
      <c r="I377" s="103" t="s">
        <v>200</v>
      </c>
      <c r="J377" s="103" t="s">
        <v>164</v>
      </c>
      <c r="K377" s="103" t="s">
        <v>6059</v>
      </c>
      <c r="L377" s="103"/>
      <c r="M377" s="103"/>
      <c r="N377" s="103" t="s">
        <v>5893</v>
      </c>
      <c r="O377" s="103" t="s">
        <v>5581</v>
      </c>
      <c r="P377" s="103">
        <v>15</v>
      </c>
      <c r="Q377" s="103"/>
      <c r="R377" s="103"/>
      <c r="S377" s="103" t="s">
        <v>6060</v>
      </c>
      <c r="T377" s="103">
        <v>779230</v>
      </c>
      <c r="U377" s="103">
        <v>8.5</v>
      </c>
      <c r="V377" s="103" t="s">
        <v>5823</v>
      </c>
      <c r="W377" s="103" t="s">
        <v>310</v>
      </c>
    </row>
    <row r="378" spans="1:23" x14ac:dyDescent="0.45">
      <c r="A378" s="103">
        <f t="shared" si="17"/>
        <v>377</v>
      </c>
      <c r="B378" s="103" t="s">
        <v>5893</v>
      </c>
      <c r="C378" s="103" t="s">
        <v>3598</v>
      </c>
      <c r="D378" s="103" t="s">
        <v>330</v>
      </c>
      <c r="E378" s="103" t="s">
        <v>100</v>
      </c>
      <c r="F378" s="103" t="s">
        <v>83</v>
      </c>
      <c r="G378" s="103" t="s">
        <v>71</v>
      </c>
      <c r="H378" s="103" t="s">
        <v>6054</v>
      </c>
      <c r="I378" s="103" t="s">
        <v>200</v>
      </c>
      <c r="J378" s="103" t="s">
        <v>164</v>
      </c>
      <c r="K378" s="103" t="s">
        <v>6059</v>
      </c>
      <c r="L378" s="103"/>
      <c r="M378" s="103"/>
      <c r="N378" s="103" t="s">
        <v>5893</v>
      </c>
      <c r="O378" s="103" t="s">
        <v>5813</v>
      </c>
      <c r="P378" s="103" t="s">
        <v>6011</v>
      </c>
      <c r="Q378" s="103"/>
      <c r="R378" s="103"/>
      <c r="S378" s="103">
        <v>14</v>
      </c>
      <c r="T378" s="103">
        <v>779230</v>
      </c>
      <c r="U378" s="103">
        <v>8.5</v>
      </c>
      <c r="V378" s="103" t="s">
        <v>5823</v>
      </c>
      <c r="W378" s="103" t="s">
        <v>310</v>
      </c>
    </row>
    <row r="379" spans="1:23" x14ac:dyDescent="0.45">
      <c r="A379" s="103">
        <f t="shared" si="17"/>
        <v>378</v>
      </c>
      <c r="B379" s="103" t="s">
        <v>5893</v>
      </c>
      <c r="C379" s="103" t="s">
        <v>3598</v>
      </c>
      <c r="D379" s="103" t="s">
        <v>330</v>
      </c>
      <c r="E379" s="103" t="s">
        <v>100</v>
      </c>
      <c r="F379" s="103" t="s">
        <v>83</v>
      </c>
      <c r="G379" s="103" t="s">
        <v>71</v>
      </c>
      <c r="H379" s="103" t="s">
        <v>6054</v>
      </c>
      <c r="I379" s="103" t="s">
        <v>200</v>
      </c>
      <c r="J379" s="103" t="s">
        <v>164</v>
      </c>
      <c r="K379" s="103" t="s">
        <v>6059</v>
      </c>
      <c r="L379" s="103"/>
      <c r="M379" s="103"/>
      <c r="N379" s="103" t="s">
        <v>5893</v>
      </c>
      <c r="O379" s="103" t="s">
        <v>5814</v>
      </c>
      <c r="P379" s="103">
        <v>14</v>
      </c>
      <c r="Q379" s="103"/>
      <c r="R379" s="103"/>
      <c r="S379" s="103" t="s">
        <v>6005</v>
      </c>
      <c r="T379" s="103">
        <v>779230</v>
      </c>
      <c r="U379" s="103">
        <v>8.5</v>
      </c>
      <c r="V379" s="103" t="s">
        <v>5823</v>
      </c>
      <c r="W379" s="103" t="s">
        <v>310</v>
      </c>
    </row>
    <row r="380" spans="1:23" x14ac:dyDescent="0.45">
      <c r="A380" s="103">
        <f t="shared" si="17"/>
        <v>379</v>
      </c>
      <c r="B380" s="103" t="s">
        <v>5893</v>
      </c>
      <c r="C380" s="103" t="s">
        <v>5936</v>
      </c>
      <c r="D380" s="103"/>
      <c r="E380" s="103" t="s">
        <v>100</v>
      </c>
      <c r="F380" s="103"/>
      <c r="G380" s="103" t="s">
        <v>71</v>
      </c>
      <c r="H380" s="103" t="s">
        <v>6063</v>
      </c>
      <c r="I380" s="103" t="s">
        <v>200</v>
      </c>
      <c r="J380" s="103" t="s">
        <v>154</v>
      </c>
      <c r="K380" s="103" t="s">
        <v>6061</v>
      </c>
      <c r="L380" s="103">
        <v>1930670963</v>
      </c>
      <c r="M380" s="103"/>
      <c r="N380" s="103" t="s">
        <v>5893</v>
      </c>
      <c r="O380" s="103" t="s">
        <v>47</v>
      </c>
      <c r="P380" s="103">
        <v>14</v>
      </c>
      <c r="Q380" s="103"/>
      <c r="R380" s="103"/>
      <c r="S380" s="103">
        <v>14</v>
      </c>
      <c r="T380" s="103">
        <v>294889</v>
      </c>
      <c r="U380" s="103">
        <v>9</v>
      </c>
      <c r="V380" s="103" t="s">
        <v>65</v>
      </c>
      <c r="W380" s="103" t="s">
        <v>310</v>
      </c>
    </row>
    <row r="381" spans="1:23" x14ac:dyDescent="0.45">
      <c r="A381" s="103">
        <f t="shared" si="17"/>
        <v>380</v>
      </c>
      <c r="B381" s="103" t="s">
        <v>5893</v>
      </c>
      <c r="C381" s="103" t="s">
        <v>5936</v>
      </c>
      <c r="D381" s="103"/>
      <c r="E381" s="103" t="s">
        <v>100</v>
      </c>
      <c r="F381" s="103"/>
      <c r="G381" s="103" t="s">
        <v>71</v>
      </c>
      <c r="H381" s="103" t="s">
        <v>6063</v>
      </c>
      <c r="I381" s="103" t="s">
        <v>200</v>
      </c>
      <c r="J381" s="103" t="s">
        <v>154</v>
      </c>
      <c r="K381" s="103" t="s">
        <v>6061</v>
      </c>
      <c r="L381" s="103">
        <v>1931114916</v>
      </c>
      <c r="M381" s="103"/>
      <c r="N381" s="103" t="s">
        <v>5893</v>
      </c>
      <c r="O381" s="103" t="s">
        <v>5580</v>
      </c>
      <c r="P381" s="103">
        <v>14</v>
      </c>
      <c r="Q381" s="103"/>
      <c r="R381" s="103"/>
      <c r="S381" s="103">
        <v>14</v>
      </c>
      <c r="T381" s="103">
        <v>294889</v>
      </c>
      <c r="U381" s="103">
        <v>9</v>
      </c>
      <c r="V381" s="103" t="s">
        <v>65</v>
      </c>
      <c r="W381" s="103" t="s">
        <v>310</v>
      </c>
    </row>
    <row r="382" spans="1:23" x14ac:dyDescent="0.45">
      <c r="A382" s="103">
        <f t="shared" si="17"/>
        <v>381</v>
      </c>
      <c r="B382" s="103" t="s">
        <v>5893</v>
      </c>
      <c r="C382" s="103" t="s">
        <v>5936</v>
      </c>
      <c r="D382" s="103"/>
      <c r="E382" s="103" t="s">
        <v>100</v>
      </c>
      <c r="F382" s="103"/>
      <c r="G382" s="103" t="s">
        <v>71</v>
      </c>
      <c r="H382" s="103" t="s">
        <v>6063</v>
      </c>
      <c r="I382" s="103" t="s">
        <v>200</v>
      </c>
      <c r="J382" s="103" t="s">
        <v>105</v>
      </c>
      <c r="K382" s="103" t="s">
        <v>6068</v>
      </c>
      <c r="L382" s="103"/>
      <c r="M382" s="103"/>
      <c r="N382" s="103" t="s">
        <v>5893</v>
      </c>
      <c r="O382" s="103" t="s">
        <v>5812</v>
      </c>
      <c r="P382" s="103" t="s">
        <v>6057</v>
      </c>
      <c r="Q382" s="103"/>
      <c r="R382" s="103"/>
      <c r="S382" s="103" t="s">
        <v>5888</v>
      </c>
      <c r="T382" s="103">
        <v>294889</v>
      </c>
      <c r="U382" s="103">
        <v>8.5</v>
      </c>
      <c r="V382" s="103" t="s">
        <v>65</v>
      </c>
      <c r="W382" s="103" t="s">
        <v>310</v>
      </c>
    </row>
    <row r="383" spans="1:23" x14ac:dyDescent="0.45">
      <c r="A383" s="103">
        <f t="shared" si="17"/>
        <v>382</v>
      </c>
      <c r="B383" s="103" t="s">
        <v>5893</v>
      </c>
      <c r="C383" s="103" t="s">
        <v>5936</v>
      </c>
      <c r="D383" s="103"/>
      <c r="E383" s="103" t="s">
        <v>100</v>
      </c>
      <c r="F383" s="103"/>
      <c r="G383" s="103" t="s">
        <v>71</v>
      </c>
      <c r="H383" s="103" t="s">
        <v>6063</v>
      </c>
      <c r="I383" s="103"/>
      <c r="J383" s="103" t="s">
        <v>105</v>
      </c>
      <c r="K383" s="103" t="s">
        <v>6068</v>
      </c>
      <c r="L383" s="103"/>
      <c r="M383" s="103"/>
      <c r="N383" s="103" t="s">
        <v>5893</v>
      </c>
      <c r="O383" s="103" t="s">
        <v>5581</v>
      </c>
      <c r="P383" s="103" t="s">
        <v>5791</v>
      </c>
      <c r="Q383" s="103"/>
      <c r="R383" s="103"/>
      <c r="S383" s="103" t="s">
        <v>5855</v>
      </c>
      <c r="T383" s="103">
        <v>294889</v>
      </c>
      <c r="U383" s="103">
        <v>8.5</v>
      </c>
      <c r="V383" s="103" t="s">
        <v>65</v>
      </c>
      <c r="W383" s="103" t="s">
        <v>310</v>
      </c>
    </row>
    <row r="384" spans="1:23" x14ac:dyDescent="0.45">
      <c r="A384" s="103">
        <f t="shared" si="17"/>
        <v>383</v>
      </c>
      <c r="B384" s="103" t="s">
        <v>5893</v>
      </c>
      <c r="C384" s="103" t="s">
        <v>5936</v>
      </c>
      <c r="D384" s="103"/>
      <c r="E384" s="103" t="s">
        <v>100</v>
      </c>
      <c r="F384" s="103"/>
      <c r="G384" s="103" t="s">
        <v>71</v>
      </c>
      <c r="H384" s="103" t="s">
        <v>6063</v>
      </c>
      <c r="I384" s="103" t="s">
        <v>200</v>
      </c>
      <c r="J384" s="103" t="s">
        <v>105</v>
      </c>
      <c r="K384" s="103" t="s">
        <v>6068</v>
      </c>
      <c r="L384" s="103"/>
      <c r="M384" s="103"/>
      <c r="N384" s="103" t="s">
        <v>5893</v>
      </c>
      <c r="O384" s="103" t="s">
        <v>5813</v>
      </c>
      <c r="P384" s="103" t="s">
        <v>6028</v>
      </c>
      <c r="Q384" s="103"/>
      <c r="R384" s="103"/>
      <c r="S384" s="103" t="s">
        <v>5797</v>
      </c>
      <c r="T384" s="103">
        <v>294889</v>
      </c>
      <c r="U384" s="103">
        <v>8.5</v>
      </c>
      <c r="V384" s="103" t="s">
        <v>65</v>
      </c>
      <c r="W384" s="103" t="s">
        <v>310</v>
      </c>
    </row>
    <row r="385" spans="1:23" x14ac:dyDescent="0.45">
      <c r="A385" s="103">
        <f t="shared" si="17"/>
        <v>384</v>
      </c>
      <c r="B385" s="103" t="s">
        <v>5893</v>
      </c>
      <c r="C385" s="103" t="s">
        <v>5936</v>
      </c>
      <c r="D385" s="103"/>
      <c r="E385" s="103" t="s">
        <v>100</v>
      </c>
      <c r="F385" s="103"/>
      <c r="G385" s="103" t="s">
        <v>71</v>
      </c>
      <c r="H385" s="103" t="s">
        <v>6063</v>
      </c>
      <c r="I385" s="103" t="s">
        <v>200</v>
      </c>
      <c r="J385" s="103" t="s">
        <v>105</v>
      </c>
      <c r="K385" s="103" t="s">
        <v>6068</v>
      </c>
      <c r="L385" s="103"/>
      <c r="M385" s="103"/>
      <c r="N385" s="103"/>
      <c r="O385" s="103" t="s">
        <v>5814</v>
      </c>
      <c r="P385" s="103" t="s">
        <v>5794</v>
      </c>
      <c r="Q385" s="103"/>
      <c r="R385" s="103"/>
      <c r="S385" s="103" t="s">
        <v>5800</v>
      </c>
      <c r="T385" s="103">
        <v>294889</v>
      </c>
      <c r="U385" s="103">
        <v>8.5</v>
      </c>
      <c r="V385" s="103" t="s">
        <v>65</v>
      </c>
      <c r="W385" s="103" t="s">
        <v>310</v>
      </c>
    </row>
    <row r="386" spans="1:23" x14ac:dyDescent="0.45">
      <c r="A386" s="103">
        <f t="shared" si="17"/>
        <v>385</v>
      </c>
      <c r="B386" s="103" t="s">
        <v>5893</v>
      </c>
      <c r="C386" s="103" t="s">
        <v>5936</v>
      </c>
      <c r="D386" s="103"/>
      <c r="E386" s="103" t="s">
        <v>100</v>
      </c>
      <c r="F386" s="103"/>
      <c r="G386" s="103" t="s">
        <v>71</v>
      </c>
      <c r="H386" s="103" t="s">
        <v>6063</v>
      </c>
      <c r="I386" s="103"/>
      <c r="J386" s="103"/>
      <c r="K386" s="103"/>
      <c r="L386" s="103"/>
      <c r="M386" s="103"/>
      <c r="N386" s="103" t="s">
        <v>5893</v>
      </c>
      <c r="O386" s="103" t="s">
        <v>5819</v>
      </c>
      <c r="P386" s="103"/>
      <c r="Q386" s="103"/>
      <c r="R386" s="103"/>
      <c r="S386" s="103"/>
      <c r="T386" s="103">
        <v>294889</v>
      </c>
      <c r="U386" s="103"/>
      <c r="V386" s="103" t="s">
        <v>65</v>
      </c>
      <c r="W386" s="103" t="s">
        <v>310</v>
      </c>
    </row>
    <row r="387" spans="1:23" x14ac:dyDescent="0.45">
      <c r="A387" s="103">
        <f t="shared" si="17"/>
        <v>386</v>
      </c>
      <c r="B387" s="103" t="s">
        <v>5893</v>
      </c>
      <c r="C387" s="103" t="s">
        <v>5936</v>
      </c>
      <c r="D387" s="103"/>
      <c r="E387" s="103" t="s">
        <v>100</v>
      </c>
      <c r="F387" s="103"/>
      <c r="G387" s="103" t="s">
        <v>71</v>
      </c>
      <c r="H387" s="103" t="s">
        <v>6063</v>
      </c>
      <c r="I387" s="103" t="s">
        <v>200</v>
      </c>
      <c r="J387" s="103" t="s">
        <v>105</v>
      </c>
      <c r="K387" s="103" t="s">
        <v>6066</v>
      </c>
      <c r="L387" s="103"/>
      <c r="M387" s="103"/>
      <c r="N387" s="103" t="s">
        <v>5893</v>
      </c>
      <c r="O387" s="103" t="s">
        <v>47</v>
      </c>
      <c r="P387" s="103" t="s">
        <v>5872</v>
      </c>
      <c r="Q387" s="103"/>
      <c r="R387" s="103"/>
      <c r="S387" s="103" t="s">
        <v>6067</v>
      </c>
      <c r="T387" s="103">
        <v>294889</v>
      </c>
      <c r="U387" s="103">
        <v>8.5</v>
      </c>
      <c r="V387" s="103" t="s">
        <v>5823</v>
      </c>
      <c r="W387" s="103" t="s">
        <v>310</v>
      </c>
    </row>
    <row r="388" spans="1:23" x14ac:dyDescent="0.45">
      <c r="A388" s="103">
        <f t="shared" si="17"/>
        <v>387</v>
      </c>
      <c r="B388" s="103" t="s">
        <v>5893</v>
      </c>
      <c r="C388" s="103" t="s">
        <v>5936</v>
      </c>
      <c r="D388" s="103"/>
      <c r="E388" s="103" t="s">
        <v>100</v>
      </c>
      <c r="F388" s="103"/>
      <c r="G388" s="103" t="s">
        <v>71</v>
      </c>
      <c r="H388" s="103" t="s">
        <v>6063</v>
      </c>
      <c r="I388" s="103" t="s">
        <v>200</v>
      </c>
      <c r="J388" s="103" t="s">
        <v>105</v>
      </c>
      <c r="K388" s="103" t="s">
        <v>6066</v>
      </c>
      <c r="L388" s="103"/>
      <c r="M388" s="103"/>
      <c r="N388" s="103" t="s">
        <v>5893</v>
      </c>
      <c r="O388" s="103" t="s">
        <v>5580</v>
      </c>
      <c r="P388" s="103">
        <v>3</v>
      </c>
      <c r="Q388" s="103"/>
      <c r="R388" s="103"/>
      <c r="S388" s="103" t="s">
        <v>5948</v>
      </c>
      <c r="T388" s="103">
        <v>294889</v>
      </c>
      <c r="U388" s="103">
        <v>8.5</v>
      </c>
      <c r="V388" s="103" t="s">
        <v>5823</v>
      </c>
      <c r="W388" s="103" t="s">
        <v>310</v>
      </c>
    </row>
    <row r="389" spans="1:23" x14ac:dyDescent="0.45">
      <c r="A389" s="103">
        <f t="shared" si="17"/>
        <v>388</v>
      </c>
      <c r="B389" s="103" t="s">
        <v>5893</v>
      </c>
      <c r="C389" s="103" t="s">
        <v>5936</v>
      </c>
      <c r="D389" s="103"/>
      <c r="E389" s="103" t="s">
        <v>100</v>
      </c>
      <c r="F389" s="103"/>
      <c r="G389" s="103" t="s">
        <v>71</v>
      </c>
      <c r="H389" s="103" t="s">
        <v>6063</v>
      </c>
      <c r="I389" s="103" t="s">
        <v>200</v>
      </c>
      <c r="J389" s="103" t="s">
        <v>105</v>
      </c>
      <c r="K389" s="103" t="s">
        <v>6068</v>
      </c>
      <c r="L389" s="103"/>
      <c r="M389" s="103"/>
      <c r="N389" s="103" t="s">
        <v>5893</v>
      </c>
      <c r="O389" s="103" t="s">
        <v>5812</v>
      </c>
      <c r="P389" s="103" t="s">
        <v>6057</v>
      </c>
      <c r="Q389" s="103"/>
      <c r="R389" s="103"/>
      <c r="S389" s="103" t="s">
        <v>5888</v>
      </c>
      <c r="T389" s="103">
        <v>294889</v>
      </c>
      <c r="U389" s="103">
        <v>8.5</v>
      </c>
      <c r="V389" s="103" t="s">
        <v>5823</v>
      </c>
      <c r="W389" s="103" t="s">
        <v>310</v>
      </c>
    </row>
    <row r="390" spans="1:23" x14ac:dyDescent="0.45">
      <c r="A390" s="103">
        <f t="shared" si="17"/>
        <v>389</v>
      </c>
      <c r="B390" s="103" t="s">
        <v>5893</v>
      </c>
      <c r="C390" s="103" t="s">
        <v>5936</v>
      </c>
      <c r="D390" s="103"/>
      <c r="E390" s="103" t="s">
        <v>100</v>
      </c>
      <c r="F390" s="103"/>
      <c r="G390" s="103" t="s">
        <v>71</v>
      </c>
      <c r="H390" s="103" t="s">
        <v>6063</v>
      </c>
      <c r="I390" s="103" t="s">
        <v>200</v>
      </c>
      <c r="J390" s="103" t="s">
        <v>105</v>
      </c>
      <c r="K390" s="103" t="s">
        <v>6068</v>
      </c>
      <c r="L390" s="103"/>
      <c r="M390" s="103"/>
      <c r="N390" s="103" t="s">
        <v>5893</v>
      </c>
      <c r="O390" s="103" t="s">
        <v>5581</v>
      </c>
      <c r="P390" s="103" t="s">
        <v>5791</v>
      </c>
      <c r="Q390" s="103"/>
      <c r="R390" s="103"/>
      <c r="S390" s="103" t="s">
        <v>5855</v>
      </c>
      <c r="T390" s="103">
        <v>294889</v>
      </c>
      <c r="U390" s="103">
        <v>8.5</v>
      </c>
      <c r="V390" s="103" t="s">
        <v>5823</v>
      </c>
      <c r="W390" s="103" t="s">
        <v>310</v>
      </c>
    </row>
    <row r="391" spans="1:23" x14ac:dyDescent="0.45">
      <c r="A391" s="103">
        <f t="shared" si="17"/>
        <v>390</v>
      </c>
      <c r="B391" s="103" t="s">
        <v>5893</v>
      </c>
      <c r="C391" s="103" t="s">
        <v>5936</v>
      </c>
      <c r="D391" s="103"/>
      <c r="E391" s="103" t="s">
        <v>100</v>
      </c>
      <c r="F391" s="103"/>
      <c r="G391" s="103" t="s">
        <v>71</v>
      </c>
      <c r="H391" s="103" t="s">
        <v>6063</v>
      </c>
      <c r="I391" s="103" t="s">
        <v>200</v>
      </c>
      <c r="J391" s="103" t="s">
        <v>105</v>
      </c>
      <c r="K391" s="103" t="s">
        <v>6068</v>
      </c>
      <c r="L391" s="103"/>
      <c r="M391" s="103"/>
      <c r="N391" s="103" t="s">
        <v>5893</v>
      </c>
      <c r="O391" s="103" t="s">
        <v>5813</v>
      </c>
      <c r="P391" s="103" t="s">
        <v>6028</v>
      </c>
      <c r="Q391" s="103"/>
      <c r="R391" s="103"/>
      <c r="S391" s="103" t="s">
        <v>5797</v>
      </c>
      <c r="T391" s="103">
        <v>294889</v>
      </c>
      <c r="U391" s="103">
        <v>8.5</v>
      </c>
      <c r="V391" s="103" t="s">
        <v>5823</v>
      </c>
      <c r="W391" s="103" t="s">
        <v>310</v>
      </c>
    </row>
    <row r="392" spans="1:23" x14ac:dyDescent="0.45">
      <c r="A392" s="103">
        <f t="shared" si="17"/>
        <v>391</v>
      </c>
      <c r="B392" s="103" t="s">
        <v>5893</v>
      </c>
      <c r="C392" s="103" t="s">
        <v>5936</v>
      </c>
      <c r="D392" s="103"/>
      <c r="E392" s="103" t="s">
        <v>100</v>
      </c>
      <c r="F392" s="103"/>
      <c r="G392" s="103" t="s">
        <v>71</v>
      </c>
      <c r="H392" s="103" t="s">
        <v>6063</v>
      </c>
      <c r="I392" s="103" t="s">
        <v>200</v>
      </c>
      <c r="J392" s="103" t="s">
        <v>105</v>
      </c>
      <c r="K392" s="103" t="s">
        <v>6068</v>
      </c>
      <c r="L392" s="103"/>
      <c r="M392" s="103"/>
      <c r="N392" s="103" t="s">
        <v>5893</v>
      </c>
      <c r="O392" s="103" t="s">
        <v>5814</v>
      </c>
      <c r="P392" s="103" t="s">
        <v>5794</v>
      </c>
      <c r="Q392" s="103"/>
      <c r="R392" s="103"/>
      <c r="S392" s="103" t="s">
        <v>5800</v>
      </c>
      <c r="T392" s="103">
        <v>294889</v>
      </c>
      <c r="U392" s="103">
        <v>8.5</v>
      </c>
      <c r="V392" s="103" t="s">
        <v>5823</v>
      </c>
      <c r="W392" s="103" t="s">
        <v>310</v>
      </c>
    </row>
    <row r="393" spans="1:23" x14ac:dyDescent="0.45">
      <c r="A393" s="103">
        <f t="shared" ref="A393:A407" si="18">ROW()-1</f>
        <v>392</v>
      </c>
      <c r="B393" s="103" t="s">
        <v>6069</v>
      </c>
      <c r="C393" s="103" t="s">
        <v>2648</v>
      </c>
      <c r="D393" s="103" t="s">
        <v>425</v>
      </c>
      <c r="E393" s="103" t="s">
        <v>78</v>
      </c>
      <c r="F393" s="103" t="s">
        <v>77</v>
      </c>
      <c r="G393" s="103" t="s">
        <v>74</v>
      </c>
      <c r="H393" s="103" t="s">
        <v>6070</v>
      </c>
      <c r="I393" s="103" t="s">
        <v>143</v>
      </c>
      <c r="J393" s="103" t="s">
        <v>122</v>
      </c>
      <c r="K393" s="103" t="s">
        <v>194</v>
      </c>
      <c r="L393" s="103" t="s">
        <v>6081</v>
      </c>
      <c r="M393" s="103"/>
      <c r="N393" s="103" t="s">
        <v>6069</v>
      </c>
      <c r="O393" s="103" t="s">
        <v>5815</v>
      </c>
      <c r="P393" s="103"/>
      <c r="Q393" s="103"/>
      <c r="R393" s="103"/>
      <c r="S393" s="103">
        <v>16</v>
      </c>
      <c r="T393" s="103">
        <v>275454</v>
      </c>
      <c r="U393" s="103">
        <v>8.5</v>
      </c>
      <c r="V393" s="103" t="s">
        <v>65</v>
      </c>
      <c r="W393" s="103" t="s">
        <v>310</v>
      </c>
    </row>
    <row r="394" spans="1:23" x14ac:dyDescent="0.45">
      <c r="A394" s="103">
        <f t="shared" si="18"/>
        <v>393</v>
      </c>
      <c r="B394" s="103" t="s">
        <v>6069</v>
      </c>
      <c r="C394" s="103" t="s">
        <v>2648</v>
      </c>
      <c r="D394" s="103" t="s">
        <v>425</v>
      </c>
      <c r="E394" s="103" t="s">
        <v>78</v>
      </c>
      <c r="F394" s="103" t="s">
        <v>77</v>
      </c>
      <c r="G394" s="103" t="s">
        <v>74</v>
      </c>
      <c r="H394" s="103" t="s">
        <v>6070</v>
      </c>
      <c r="I394" s="103" t="s">
        <v>143</v>
      </c>
      <c r="J394" s="103" t="s">
        <v>122</v>
      </c>
      <c r="K394" s="103" t="s">
        <v>194</v>
      </c>
      <c r="L394" s="103" t="s">
        <v>6078</v>
      </c>
      <c r="M394" s="103"/>
      <c r="N394" s="103" t="s">
        <v>6069</v>
      </c>
      <c r="O394" s="103" t="s">
        <v>5816</v>
      </c>
      <c r="P394" s="103">
        <v>16</v>
      </c>
      <c r="Q394" s="103"/>
      <c r="R394" s="103"/>
      <c r="S394" s="103">
        <v>16</v>
      </c>
      <c r="T394" s="103">
        <v>275454</v>
      </c>
      <c r="U394" s="103" t="s">
        <v>5796</v>
      </c>
      <c r="V394" s="103" t="s">
        <v>65</v>
      </c>
      <c r="W394" s="103" t="s">
        <v>310</v>
      </c>
    </row>
    <row r="395" spans="1:23" x14ac:dyDescent="0.45">
      <c r="A395" s="103">
        <f t="shared" si="18"/>
        <v>394</v>
      </c>
      <c r="B395" s="103" t="s">
        <v>6069</v>
      </c>
      <c r="C395" s="103" t="s">
        <v>2648</v>
      </c>
      <c r="D395" s="103" t="s">
        <v>425</v>
      </c>
      <c r="E395" s="103" t="s">
        <v>78</v>
      </c>
      <c r="F395" s="103" t="s">
        <v>77</v>
      </c>
      <c r="G395" s="103" t="s">
        <v>74</v>
      </c>
      <c r="H395" s="103" t="s">
        <v>6070</v>
      </c>
      <c r="I395" s="103" t="s">
        <v>143</v>
      </c>
      <c r="J395" s="103" t="s">
        <v>122</v>
      </c>
      <c r="K395" s="103" t="s">
        <v>194</v>
      </c>
      <c r="L395" s="103" t="s">
        <v>6079</v>
      </c>
      <c r="M395" s="103"/>
      <c r="N395" s="103" t="s">
        <v>6069</v>
      </c>
      <c r="O395" s="103" t="s">
        <v>5817</v>
      </c>
      <c r="P395" s="103">
        <v>16</v>
      </c>
      <c r="Q395" s="103"/>
      <c r="R395" s="103"/>
      <c r="S395" s="103">
        <v>16</v>
      </c>
      <c r="T395" s="103">
        <v>275454</v>
      </c>
      <c r="U395" s="103" t="s">
        <v>5796</v>
      </c>
      <c r="V395" s="103" t="s">
        <v>65</v>
      </c>
      <c r="W395" s="103" t="s">
        <v>310</v>
      </c>
    </row>
    <row r="396" spans="1:23" x14ac:dyDescent="0.45">
      <c r="A396" s="103">
        <f t="shared" si="18"/>
        <v>395</v>
      </c>
      <c r="B396" s="103" t="s">
        <v>6069</v>
      </c>
      <c r="C396" s="103" t="s">
        <v>2648</v>
      </c>
      <c r="D396" s="103" t="s">
        <v>425</v>
      </c>
      <c r="E396" s="103" t="s">
        <v>78</v>
      </c>
      <c r="F396" s="103" t="s">
        <v>77</v>
      </c>
      <c r="G396" s="103" t="s">
        <v>74</v>
      </c>
      <c r="H396" s="103" t="s">
        <v>6070</v>
      </c>
      <c r="I396" s="103" t="s">
        <v>143</v>
      </c>
      <c r="J396" s="103" t="s">
        <v>122</v>
      </c>
      <c r="K396" s="103" t="s">
        <v>194</v>
      </c>
      <c r="L396" s="103" t="s">
        <v>6080</v>
      </c>
      <c r="M396" s="103"/>
      <c r="N396" s="103" t="s">
        <v>6069</v>
      </c>
      <c r="O396" s="103" t="s">
        <v>5818</v>
      </c>
      <c r="P396" s="103">
        <v>16</v>
      </c>
      <c r="Q396" s="103"/>
      <c r="R396" s="103"/>
      <c r="S396" s="103">
        <v>16</v>
      </c>
      <c r="T396" s="103">
        <v>275454</v>
      </c>
      <c r="U396" s="103">
        <v>8.5</v>
      </c>
      <c r="V396" s="103" t="s">
        <v>65</v>
      </c>
      <c r="W396" s="103" t="s">
        <v>310</v>
      </c>
    </row>
    <row r="397" spans="1:23" x14ac:dyDescent="0.45">
      <c r="A397" s="103">
        <f t="shared" si="18"/>
        <v>396</v>
      </c>
      <c r="B397" s="103" t="s">
        <v>6069</v>
      </c>
      <c r="C397" s="103" t="s">
        <v>2648</v>
      </c>
      <c r="D397" s="103" t="s">
        <v>425</v>
      </c>
      <c r="E397" s="103" t="s">
        <v>78</v>
      </c>
      <c r="F397" s="103" t="s">
        <v>77</v>
      </c>
      <c r="G397" s="103" t="s">
        <v>74</v>
      </c>
      <c r="H397" s="103" t="s">
        <v>6070</v>
      </c>
      <c r="I397" s="103" t="s">
        <v>143</v>
      </c>
      <c r="J397" s="103" t="s">
        <v>122</v>
      </c>
      <c r="K397" s="103" t="s">
        <v>194</v>
      </c>
      <c r="L397" s="103"/>
      <c r="M397" s="103"/>
      <c r="N397" s="103" t="s">
        <v>6069</v>
      </c>
      <c r="O397" s="103" t="s">
        <v>5820</v>
      </c>
      <c r="P397" s="103"/>
      <c r="Q397" s="103"/>
      <c r="R397" s="103"/>
      <c r="S397" s="103"/>
      <c r="T397" s="103">
        <v>275454</v>
      </c>
      <c r="U397" s="103" t="s">
        <v>5796</v>
      </c>
      <c r="V397" s="103" t="s">
        <v>65</v>
      </c>
      <c r="W397" s="103" t="s">
        <v>310</v>
      </c>
    </row>
    <row r="398" spans="1:23" x14ac:dyDescent="0.45">
      <c r="A398" s="103">
        <f t="shared" si="18"/>
        <v>397</v>
      </c>
      <c r="B398" s="103" t="s">
        <v>6069</v>
      </c>
      <c r="C398" s="103" t="s">
        <v>2648</v>
      </c>
      <c r="D398" s="103" t="s">
        <v>425</v>
      </c>
      <c r="E398" s="103" t="s">
        <v>78</v>
      </c>
      <c r="F398" s="103" t="s">
        <v>77</v>
      </c>
      <c r="G398" s="103" t="s">
        <v>74</v>
      </c>
      <c r="H398" s="103" t="s">
        <v>6070</v>
      </c>
      <c r="I398" s="103" t="s">
        <v>143</v>
      </c>
      <c r="J398" s="103" t="s">
        <v>105</v>
      </c>
      <c r="K398" s="103" t="s">
        <v>107</v>
      </c>
      <c r="L398" s="103"/>
      <c r="M398" s="103"/>
      <c r="N398" s="103" t="s">
        <v>6069</v>
      </c>
      <c r="O398" s="103" t="s">
        <v>5821</v>
      </c>
      <c r="P398" s="103"/>
      <c r="Q398" s="103"/>
      <c r="R398" s="103"/>
      <c r="S398" s="103"/>
      <c r="T398" s="103">
        <v>275454</v>
      </c>
      <c r="U398" s="103" t="s">
        <v>5796</v>
      </c>
      <c r="V398" s="103" t="s">
        <v>65</v>
      </c>
      <c r="W398" s="103" t="s">
        <v>310</v>
      </c>
    </row>
    <row r="399" spans="1:23" x14ac:dyDescent="0.45">
      <c r="A399" s="103">
        <f t="shared" si="18"/>
        <v>398</v>
      </c>
      <c r="B399" s="103" t="s">
        <v>6069</v>
      </c>
      <c r="C399" s="103" t="s">
        <v>2648</v>
      </c>
      <c r="D399" s="103" t="s">
        <v>425</v>
      </c>
      <c r="E399" s="103" t="s">
        <v>78</v>
      </c>
      <c r="F399" s="103" t="s">
        <v>77</v>
      </c>
      <c r="G399" s="103" t="s">
        <v>74</v>
      </c>
      <c r="H399" s="103" t="s">
        <v>6070</v>
      </c>
      <c r="I399" s="103" t="s">
        <v>143</v>
      </c>
      <c r="J399" s="103" t="s">
        <v>122</v>
      </c>
      <c r="K399" s="103" t="s">
        <v>194</v>
      </c>
      <c r="L399" s="103"/>
      <c r="M399" s="103"/>
      <c r="N399" s="103" t="s">
        <v>6069</v>
      </c>
      <c r="O399" s="103" t="s">
        <v>5822</v>
      </c>
      <c r="P399" s="103"/>
      <c r="Q399" s="103"/>
      <c r="R399" s="103"/>
      <c r="S399" s="103"/>
      <c r="T399" s="103">
        <v>275454</v>
      </c>
      <c r="U399" s="103">
        <v>8.5</v>
      </c>
      <c r="V399" s="103" t="s">
        <v>65</v>
      </c>
      <c r="W399" s="103" t="s">
        <v>310</v>
      </c>
    </row>
    <row r="400" spans="1:23" x14ac:dyDescent="0.45">
      <c r="A400" s="103">
        <f t="shared" si="18"/>
        <v>399</v>
      </c>
      <c r="B400" s="103" t="s">
        <v>6069</v>
      </c>
      <c r="C400" s="103" t="s">
        <v>2648</v>
      </c>
      <c r="D400" s="103" t="s">
        <v>425</v>
      </c>
      <c r="E400" s="103" t="s">
        <v>78</v>
      </c>
      <c r="F400" s="103" t="s">
        <v>77</v>
      </c>
      <c r="G400" s="103" t="s">
        <v>74</v>
      </c>
      <c r="H400" s="103" t="s">
        <v>6070</v>
      </c>
      <c r="I400" s="103" t="s">
        <v>143</v>
      </c>
      <c r="J400" s="103" t="s">
        <v>122</v>
      </c>
      <c r="K400" s="103" t="s">
        <v>194</v>
      </c>
      <c r="L400" s="103"/>
      <c r="M400" s="103"/>
      <c r="N400" s="103" t="s">
        <v>6069</v>
      </c>
      <c r="O400" s="103" t="s">
        <v>5815</v>
      </c>
      <c r="P400" s="103"/>
      <c r="Q400" s="103"/>
      <c r="R400" s="103"/>
      <c r="S400" s="103"/>
      <c r="T400" s="103">
        <v>275454</v>
      </c>
      <c r="U400" s="103">
        <v>8.5</v>
      </c>
      <c r="V400" s="103" t="s">
        <v>5823</v>
      </c>
      <c r="W400" s="103" t="s">
        <v>310</v>
      </c>
    </row>
    <row r="401" spans="1:23" x14ac:dyDescent="0.45">
      <c r="A401" s="103">
        <f t="shared" si="18"/>
        <v>400</v>
      </c>
      <c r="B401" s="103" t="s">
        <v>6069</v>
      </c>
      <c r="C401" s="103" t="s">
        <v>2648</v>
      </c>
      <c r="D401" s="103" t="s">
        <v>425</v>
      </c>
      <c r="E401" s="103" t="s">
        <v>78</v>
      </c>
      <c r="F401" s="103" t="s">
        <v>77</v>
      </c>
      <c r="G401" s="103" t="s">
        <v>74</v>
      </c>
      <c r="H401" s="103" t="s">
        <v>6070</v>
      </c>
      <c r="I401" s="103" t="s">
        <v>143</v>
      </c>
      <c r="J401" s="103" t="s">
        <v>122</v>
      </c>
      <c r="K401" s="103" t="s">
        <v>194</v>
      </c>
      <c r="L401" s="103"/>
      <c r="M401" s="103"/>
      <c r="N401" s="103" t="s">
        <v>6069</v>
      </c>
      <c r="O401" s="103" t="s">
        <v>5816</v>
      </c>
      <c r="P401" s="103"/>
      <c r="Q401" s="103"/>
      <c r="R401" s="103"/>
      <c r="S401" s="103"/>
      <c r="T401" s="103">
        <v>275454</v>
      </c>
      <c r="U401" s="103" t="s">
        <v>5796</v>
      </c>
      <c r="V401" s="103" t="s">
        <v>5823</v>
      </c>
      <c r="W401" s="103" t="s">
        <v>310</v>
      </c>
    </row>
    <row r="402" spans="1:23" x14ac:dyDescent="0.45">
      <c r="A402" s="103">
        <f t="shared" si="18"/>
        <v>401</v>
      </c>
      <c r="B402" s="103" t="s">
        <v>6069</v>
      </c>
      <c r="C402" s="103" t="s">
        <v>2648</v>
      </c>
      <c r="D402" s="103" t="s">
        <v>425</v>
      </c>
      <c r="E402" s="103" t="s">
        <v>78</v>
      </c>
      <c r="F402" s="103" t="s">
        <v>77</v>
      </c>
      <c r="G402" s="103" t="s">
        <v>74</v>
      </c>
      <c r="H402" s="103" t="s">
        <v>6070</v>
      </c>
      <c r="I402" s="103" t="s">
        <v>143</v>
      </c>
      <c r="J402" s="103" t="s">
        <v>122</v>
      </c>
      <c r="K402" s="103" t="s">
        <v>194</v>
      </c>
      <c r="L402" s="103"/>
      <c r="M402" s="103"/>
      <c r="N402" s="103" t="s">
        <v>6069</v>
      </c>
      <c r="O402" s="103" t="s">
        <v>5817</v>
      </c>
      <c r="P402" s="103"/>
      <c r="Q402" s="103"/>
      <c r="R402" s="103"/>
      <c r="S402" s="103"/>
      <c r="T402" s="103">
        <v>275454</v>
      </c>
      <c r="U402" s="103" t="s">
        <v>5796</v>
      </c>
      <c r="V402" s="103" t="s">
        <v>5823</v>
      </c>
      <c r="W402" s="103" t="s">
        <v>310</v>
      </c>
    </row>
    <row r="403" spans="1:23" x14ac:dyDescent="0.45">
      <c r="A403" s="103">
        <f t="shared" si="18"/>
        <v>402</v>
      </c>
      <c r="B403" s="103" t="s">
        <v>6069</v>
      </c>
      <c r="C403" s="103" t="s">
        <v>2648</v>
      </c>
      <c r="D403" s="103" t="s">
        <v>425</v>
      </c>
      <c r="E403" s="103" t="s">
        <v>78</v>
      </c>
      <c r="F403" s="103" t="s">
        <v>77</v>
      </c>
      <c r="G403" s="103" t="s">
        <v>74</v>
      </c>
      <c r="H403" s="103" t="s">
        <v>6070</v>
      </c>
      <c r="I403" s="103" t="s">
        <v>143</v>
      </c>
      <c r="J403" s="103" t="s">
        <v>122</v>
      </c>
      <c r="K403" s="103" t="s">
        <v>194</v>
      </c>
      <c r="L403" s="103"/>
      <c r="M403" s="103"/>
      <c r="N403" s="103" t="s">
        <v>6069</v>
      </c>
      <c r="O403" s="103" t="s">
        <v>5815</v>
      </c>
      <c r="P403" s="103"/>
      <c r="Q403" s="103"/>
      <c r="R403" s="103"/>
      <c r="S403" s="103"/>
      <c r="T403" s="103">
        <v>275454</v>
      </c>
      <c r="U403" s="103">
        <v>8.5</v>
      </c>
      <c r="V403" s="103" t="s">
        <v>5823</v>
      </c>
      <c r="W403" s="103" t="s">
        <v>310</v>
      </c>
    </row>
    <row r="404" spans="1:23" x14ac:dyDescent="0.45">
      <c r="A404" s="103">
        <f t="shared" si="18"/>
        <v>403</v>
      </c>
      <c r="B404" s="103" t="s">
        <v>6069</v>
      </c>
      <c r="C404" s="103" t="s">
        <v>2648</v>
      </c>
      <c r="D404" s="103" t="s">
        <v>425</v>
      </c>
      <c r="E404" s="103" t="s">
        <v>78</v>
      </c>
      <c r="F404" s="103" t="s">
        <v>77</v>
      </c>
      <c r="G404" s="103" t="s">
        <v>74</v>
      </c>
      <c r="H404" s="103" t="s">
        <v>6070</v>
      </c>
      <c r="I404" s="103" t="s">
        <v>143</v>
      </c>
      <c r="J404" s="103" t="s">
        <v>122</v>
      </c>
      <c r="K404" s="103" t="s">
        <v>194</v>
      </c>
      <c r="L404" s="103"/>
      <c r="M404" s="103"/>
      <c r="N404" s="103" t="s">
        <v>6069</v>
      </c>
      <c r="O404" s="103" t="s">
        <v>5819</v>
      </c>
      <c r="P404" s="103"/>
      <c r="Q404" s="103"/>
      <c r="R404" s="103"/>
      <c r="S404" s="103"/>
      <c r="T404" s="103">
        <v>275454</v>
      </c>
      <c r="U404" s="103">
        <v>8.5</v>
      </c>
      <c r="V404" s="103" t="s">
        <v>5823</v>
      </c>
      <c r="W404" s="103" t="s">
        <v>310</v>
      </c>
    </row>
    <row r="405" spans="1:23" x14ac:dyDescent="0.45">
      <c r="A405" s="103">
        <f t="shared" si="18"/>
        <v>404</v>
      </c>
      <c r="B405" s="103" t="s">
        <v>6069</v>
      </c>
      <c r="C405" s="103" t="s">
        <v>2648</v>
      </c>
      <c r="D405" s="103" t="s">
        <v>425</v>
      </c>
      <c r="E405" s="103" t="s">
        <v>78</v>
      </c>
      <c r="F405" s="103" t="s">
        <v>77</v>
      </c>
      <c r="G405" s="103" t="s">
        <v>74</v>
      </c>
      <c r="H405" s="103" t="s">
        <v>6070</v>
      </c>
      <c r="I405" s="103" t="s">
        <v>143</v>
      </c>
      <c r="J405" s="103" t="s">
        <v>122</v>
      </c>
      <c r="K405" s="103" t="s">
        <v>194</v>
      </c>
      <c r="L405" s="103"/>
      <c r="M405" s="103"/>
      <c r="N405" s="103" t="s">
        <v>6069</v>
      </c>
      <c r="O405" s="103" t="s">
        <v>5820</v>
      </c>
      <c r="P405" s="103"/>
      <c r="Q405" s="103"/>
      <c r="R405" s="103"/>
      <c r="S405" s="103"/>
      <c r="T405" s="103">
        <v>275454</v>
      </c>
      <c r="U405" s="103" t="s">
        <v>5796</v>
      </c>
      <c r="V405" s="103" t="s">
        <v>5823</v>
      </c>
      <c r="W405" s="103" t="s">
        <v>310</v>
      </c>
    </row>
    <row r="406" spans="1:23" x14ac:dyDescent="0.45">
      <c r="A406" s="103">
        <f t="shared" si="18"/>
        <v>405</v>
      </c>
      <c r="B406" s="103" t="s">
        <v>6069</v>
      </c>
      <c r="C406" s="103" t="s">
        <v>2648</v>
      </c>
      <c r="D406" s="103" t="s">
        <v>425</v>
      </c>
      <c r="E406" s="103" t="s">
        <v>78</v>
      </c>
      <c r="F406" s="103" t="s">
        <v>77</v>
      </c>
      <c r="G406" s="103" t="s">
        <v>74</v>
      </c>
      <c r="H406" s="103" t="s">
        <v>6070</v>
      </c>
      <c r="I406" s="103" t="s">
        <v>143</v>
      </c>
      <c r="J406" s="103" t="s">
        <v>105</v>
      </c>
      <c r="K406" s="103" t="s">
        <v>107</v>
      </c>
      <c r="L406" s="103"/>
      <c r="M406" s="103"/>
      <c r="N406" s="103" t="s">
        <v>6069</v>
      </c>
      <c r="O406" s="103" t="s">
        <v>5821</v>
      </c>
      <c r="P406" s="103"/>
      <c r="Q406" s="103"/>
      <c r="R406" s="103"/>
      <c r="S406" s="103"/>
      <c r="T406" s="103">
        <v>275454</v>
      </c>
      <c r="U406" s="103" t="s">
        <v>5796</v>
      </c>
      <c r="V406" s="103" t="s">
        <v>5823</v>
      </c>
      <c r="W406" s="103" t="s">
        <v>310</v>
      </c>
    </row>
    <row r="407" spans="1:23" x14ac:dyDescent="0.45">
      <c r="A407" s="103">
        <f t="shared" si="18"/>
        <v>406</v>
      </c>
      <c r="B407" s="103" t="s">
        <v>6069</v>
      </c>
      <c r="C407" s="103" t="s">
        <v>2648</v>
      </c>
      <c r="D407" s="103" t="s">
        <v>425</v>
      </c>
      <c r="E407" s="103" t="s">
        <v>78</v>
      </c>
      <c r="F407" s="103" t="s">
        <v>77</v>
      </c>
      <c r="G407" s="103" t="s">
        <v>74</v>
      </c>
      <c r="H407" s="103" t="s">
        <v>6070</v>
      </c>
      <c r="I407" s="103" t="s">
        <v>143</v>
      </c>
      <c r="J407" s="103" t="s">
        <v>122</v>
      </c>
      <c r="K407" s="103" t="s">
        <v>194</v>
      </c>
      <c r="L407" s="103"/>
      <c r="M407" s="103"/>
      <c r="N407" s="103" t="s">
        <v>6069</v>
      </c>
      <c r="O407" s="103" t="s">
        <v>5822</v>
      </c>
      <c r="P407" s="103"/>
      <c r="Q407" s="103"/>
      <c r="R407" s="103"/>
      <c r="S407" s="103"/>
      <c r="T407" s="103">
        <v>275454</v>
      </c>
      <c r="U407" s="103">
        <v>8.5</v>
      </c>
      <c r="V407" s="103" t="s">
        <v>5823</v>
      </c>
      <c r="W407" s="103" t="s">
        <v>310</v>
      </c>
    </row>
    <row r="408" spans="1:23" x14ac:dyDescent="0.45">
      <c r="A408" s="103">
        <f t="shared" ref="A408:A434" si="19">ROW()-1</f>
        <v>407</v>
      </c>
      <c r="B408" s="103" t="s">
        <v>5893</v>
      </c>
      <c r="C408" s="103" t="s">
        <v>3598</v>
      </c>
      <c r="D408" s="103" t="s">
        <v>330</v>
      </c>
      <c r="E408" s="103" t="s">
        <v>100</v>
      </c>
      <c r="F408" s="103"/>
      <c r="G408" s="103" t="s">
        <v>71</v>
      </c>
      <c r="H408" s="103" t="s">
        <v>6082</v>
      </c>
      <c r="I408" s="103" t="s">
        <v>6084</v>
      </c>
      <c r="J408" s="103" t="s">
        <v>105</v>
      </c>
      <c r="K408" s="103" t="s">
        <v>5653</v>
      </c>
      <c r="L408" s="103"/>
      <c r="M408" s="103"/>
      <c r="N408" s="103" t="s">
        <v>5893</v>
      </c>
      <c r="O408" s="103" t="s">
        <v>47</v>
      </c>
      <c r="P408" s="103" t="s">
        <v>6085</v>
      </c>
      <c r="Q408" s="103"/>
      <c r="R408" s="103"/>
      <c r="S408" s="103" t="s">
        <v>6086</v>
      </c>
      <c r="T408" s="103">
        <v>514270</v>
      </c>
      <c r="U408" s="103">
        <v>8.8000000000000007</v>
      </c>
      <c r="V408" s="103" t="s">
        <v>65</v>
      </c>
      <c r="W408" s="103" t="s">
        <v>310</v>
      </c>
    </row>
    <row r="409" spans="1:23" x14ac:dyDescent="0.45">
      <c r="A409" s="103">
        <f t="shared" si="19"/>
        <v>408</v>
      </c>
      <c r="B409" s="103" t="s">
        <v>5893</v>
      </c>
      <c r="C409" s="103" t="s">
        <v>3598</v>
      </c>
      <c r="D409" s="103" t="s">
        <v>330</v>
      </c>
      <c r="E409" s="103" t="s">
        <v>100</v>
      </c>
      <c r="F409" s="103"/>
      <c r="G409" s="103" t="s">
        <v>71</v>
      </c>
      <c r="H409" s="103" t="s">
        <v>6082</v>
      </c>
      <c r="I409" s="103" t="s">
        <v>6084</v>
      </c>
      <c r="J409" s="103" t="s">
        <v>105</v>
      </c>
      <c r="K409" s="103" t="s">
        <v>5653</v>
      </c>
      <c r="L409" s="103"/>
      <c r="M409" s="103"/>
      <c r="N409" s="103" t="s">
        <v>5893</v>
      </c>
      <c r="O409" s="103" t="s">
        <v>5580</v>
      </c>
      <c r="P409" s="103" t="s">
        <v>6087</v>
      </c>
      <c r="Q409" s="103"/>
      <c r="R409" s="103"/>
      <c r="S409" s="103" t="s">
        <v>6086</v>
      </c>
      <c r="T409" s="103">
        <v>514270</v>
      </c>
      <c r="U409" s="103">
        <v>8.8000000000000007</v>
      </c>
      <c r="V409" s="103" t="s">
        <v>65</v>
      </c>
      <c r="W409" s="103" t="s">
        <v>310</v>
      </c>
    </row>
    <row r="410" spans="1:23" x14ac:dyDescent="0.45">
      <c r="A410" s="103">
        <f t="shared" si="19"/>
        <v>409</v>
      </c>
      <c r="B410" s="103" t="s">
        <v>5893</v>
      </c>
      <c r="C410" s="103" t="s">
        <v>3598</v>
      </c>
      <c r="D410" s="103" t="s">
        <v>330</v>
      </c>
      <c r="E410" s="103" t="s">
        <v>100</v>
      </c>
      <c r="F410" s="103"/>
      <c r="G410" s="103" t="s">
        <v>71</v>
      </c>
      <c r="H410" s="103" t="s">
        <v>6082</v>
      </c>
      <c r="I410" s="103" t="s">
        <v>200</v>
      </c>
      <c r="J410" s="103" t="s">
        <v>105</v>
      </c>
      <c r="K410" s="103" t="s">
        <v>5674</v>
      </c>
      <c r="L410" s="103"/>
      <c r="M410" s="103"/>
      <c r="N410" s="103" t="s">
        <v>5893</v>
      </c>
      <c r="O410" s="103" t="s">
        <v>5812</v>
      </c>
      <c r="P410" s="103" t="s">
        <v>5943</v>
      </c>
      <c r="Q410" s="103"/>
      <c r="R410" s="103"/>
      <c r="S410" s="103" t="s">
        <v>5917</v>
      </c>
      <c r="T410" s="103">
        <v>514270</v>
      </c>
      <c r="U410" s="103">
        <v>8.5</v>
      </c>
      <c r="V410" s="103" t="s">
        <v>65</v>
      </c>
      <c r="W410" s="103" t="s">
        <v>310</v>
      </c>
    </row>
    <row r="411" spans="1:23" x14ac:dyDescent="0.45">
      <c r="A411" s="103">
        <f t="shared" si="19"/>
        <v>410</v>
      </c>
      <c r="B411" s="103" t="s">
        <v>5893</v>
      </c>
      <c r="C411" s="103" t="s">
        <v>3598</v>
      </c>
      <c r="D411" s="103" t="s">
        <v>330</v>
      </c>
      <c r="E411" s="103" t="s">
        <v>100</v>
      </c>
      <c r="F411" s="103"/>
      <c r="G411" s="103" t="s">
        <v>71</v>
      </c>
      <c r="H411" s="103" t="s">
        <v>6082</v>
      </c>
      <c r="I411" s="103"/>
      <c r="J411" s="103" t="s">
        <v>105</v>
      </c>
      <c r="K411" s="103" t="s">
        <v>5674</v>
      </c>
      <c r="L411" s="103"/>
      <c r="M411" s="103"/>
      <c r="N411" s="103" t="s">
        <v>5893</v>
      </c>
      <c r="O411" s="103" t="s">
        <v>5581</v>
      </c>
      <c r="P411" s="103" t="s">
        <v>5797</v>
      </c>
      <c r="Q411" s="103"/>
      <c r="R411" s="103"/>
      <c r="S411" s="103" t="s">
        <v>5900</v>
      </c>
      <c r="T411" s="103">
        <v>514270</v>
      </c>
      <c r="U411" s="103">
        <v>8.5</v>
      </c>
      <c r="V411" s="103" t="s">
        <v>65</v>
      </c>
      <c r="W411" s="103" t="s">
        <v>310</v>
      </c>
    </row>
    <row r="412" spans="1:23" x14ac:dyDescent="0.45">
      <c r="A412" s="103">
        <f t="shared" si="19"/>
        <v>411</v>
      </c>
      <c r="B412" s="103" t="s">
        <v>5893</v>
      </c>
      <c r="C412" s="103" t="s">
        <v>3598</v>
      </c>
      <c r="D412" s="103" t="s">
        <v>330</v>
      </c>
      <c r="E412" s="103" t="s">
        <v>100</v>
      </c>
      <c r="F412" s="103"/>
      <c r="G412" s="103" t="s">
        <v>71</v>
      </c>
      <c r="H412" s="103" t="s">
        <v>6082</v>
      </c>
      <c r="I412" s="103" t="s">
        <v>200</v>
      </c>
      <c r="J412" s="103" t="s">
        <v>105</v>
      </c>
      <c r="K412" s="103" t="s">
        <v>5674</v>
      </c>
      <c r="L412" s="103"/>
      <c r="M412" s="103"/>
      <c r="N412" s="103" t="s">
        <v>5893</v>
      </c>
      <c r="O412" s="103" t="s">
        <v>5813</v>
      </c>
      <c r="P412" s="103" t="s">
        <v>6088</v>
      </c>
      <c r="Q412" s="103"/>
      <c r="R412" s="103"/>
      <c r="S412" s="103" t="s">
        <v>6089</v>
      </c>
      <c r="T412" s="103">
        <v>514270</v>
      </c>
      <c r="U412" s="103">
        <v>8.5</v>
      </c>
      <c r="V412" s="103" t="s">
        <v>65</v>
      </c>
      <c r="W412" s="103" t="s">
        <v>310</v>
      </c>
    </row>
    <row r="413" spans="1:23" x14ac:dyDescent="0.45">
      <c r="A413" s="103">
        <f t="shared" si="19"/>
        <v>412</v>
      </c>
      <c r="B413" s="103" t="s">
        <v>5893</v>
      </c>
      <c r="C413" s="103" t="s">
        <v>3598</v>
      </c>
      <c r="D413" s="103" t="s">
        <v>330</v>
      </c>
      <c r="E413" s="103" t="s">
        <v>100</v>
      </c>
      <c r="F413" s="103"/>
      <c r="G413" s="103" t="s">
        <v>71</v>
      </c>
      <c r="H413" s="103" t="s">
        <v>6082</v>
      </c>
      <c r="I413" s="103" t="s">
        <v>200</v>
      </c>
      <c r="J413" s="103" t="s">
        <v>154</v>
      </c>
      <c r="K413" s="103" t="s">
        <v>5949</v>
      </c>
      <c r="L413" s="103">
        <v>1931379122</v>
      </c>
      <c r="M413" s="103"/>
      <c r="N413" s="103"/>
      <c r="O413" s="103" t="s">
        <v>5814</v>
      </c>
      <c r="P413" s="103" t="s">
        <v>6051</v>
      </c>
      <c r="Q413" s="103"/>
      <c r="R413" s="103"/>
      <c r="S413" s="103" t="s">
        <v>6051</v>
      </c>
      <c r="T413" s="103">
        <v>514270</v>
      </c>
      <c r="U413" s="103">
        <v>8.5</v>
      </c>
      <c r="V413" s="103" t="s">
        <v>65</v>
      </c>
      <c r="W413" s="103" t="s">
        <v>310</v>
      </c>
    </row>
    <row r="414" spans="1:23" x14ac:dyDescent="0.45">
      <c r="A414" s="103">
        <f t="shared" si="19"/>
        <v>413</v>
      </c>
      <c r="B414" s="103" t="s">
        <v>5893</v>
      </c>
      <c r="C414" s="103" t="s">
        <v>3598</v>
      </c>
      <c r="D414" s="103" t="s">
        <v>330</v>
      </c>
      <c r="E414" s="103" t="s">
        <v>100</v>
      </c>
      <c r="F414" s="103"/>
      <c r="G414" s="103" t="s">
        <v>71</v>
      </c>
      <c r="H414" s="103" t="s">
        <v>6082</v>
      </c>
      <c r="I414" s="103"/>
      <c r="J414" s="103"/>
      <c r="K414" s="103"/>
      <c r="L414" s="103"/>
      <c r="M414" s="103"/>
      <c r="N414" s="103" t="s">
        <v>5893</v>
      </c>
      <c r="O414" s="103" t="s">
        <v>5819</v>
      </c>
      <c r="P414" s="103"/>
      <c r="Q414" s="103"/>
      <c r="R414" s="103"/>
      <c r="S414" s="103"/>
      <c r="T414" s="103">
        <v>514270</v>
      </c>
      <c r="U414" s="103"/>
      <c r="V414" s="103" t="s">
        <v>65</v>
      </c>
      <c r="W414" s="103" t="s">
        <v>310</v>
      </c>
    </row>
    <row r="415" spans="1:23" x14ac:dyDescent="0.45">
      <c r="A415" s="103">
        <f t="shared" si="19"/>
        <v>414</v>
      </c>
      <c r="B415" s="103" t="s">
        <v>5893</v>
      </c>
      <c r="C415" s="103" t="s">
        <v>1018</v>
      </c>
      <c r="D415" s="103" t="s">
        <v>330</v>
      </c>
      <c r="E415" s="103" t="s">
        <v>100</v>
      </c>
      <c r="F415" s="103"/>
      <c r="G415" s="103" t="s">
        <v>71</v>
      </c>
      <c r="H415" s="103" t="s">
        <v>6091</v>
      </c>
      <c r="I415" s="103" t="s">
        <v>143</v>
      </c>
      <c r="J415" s="103" t="s">
        <v>136</v>
      </c>
      <c r="K415" s="103" t="s">
        <v>220</v>
      </c>
      <c r="L415" s="103"/>
      <c r="M415" s="103"/>
      <c r="N415" s="103" t="s">
        <v>5893</v>
      </c>
      <c r="O415" s="103" t="s">
        <v>47</v>
      </c>
      <c r="P415" s="103" t="s">
        <v>5947</v>
      </c>
      <c r="Q415" s="103"/>
      <c r="R415" s="103"/>
      <c r="S415" s="103" t="s">
        <v>5989</v>
      </c>
      <c r="T415" s="103">
        <v>776792</v>
      </c>
      <c r="U415" s="103">
        <v>8.3000000000000007</v>
      </c>
      <c r="V415" s="103" t="s">
        <v>65</v>
      </c>
      <c r="W415" s="103" t="s">
        <v>310</v>
      </c>
    </row>
    <row r="416" spans="1:23" x14ac:dyDescent="0.45">
      <c r="A416" s="103">
        <f t="shared" si="19"/>
        <v>415</v>
      </c>
      <c r="B416" s="103" t="s">
        <v>5893</v>
      </c>
      <c r="C416" s="103" t="s">
        <v>1018</v>
      </c>
      <c r="D416" s="103" t="s">
        <v>330</v>
      </c>
      <c r="E416" s="103" t="s">
        <v>100</v>
      </c>
      <c r="F416" s="103"/>
      <c r="G416" s="103" t="s">
        <v>71</v>
      </c>
      <c r="H416" s="103" t="s">
        <v>6091</v>
      </c>
      <c r="I416" s="103" t="s">
        <v>143</v>
      </c>
      <c r="J416" s="103" t="s">
        <v>136</v>
      </c>
      <c r="K416" s="103" t="s">
        <v>220</v>
      </c>
      <c r="L416" s="103"/>
      <c r="M416" s="103"/>
      <c r="N416" s="103" t="s">
        <v>5893</v>
      </c>
      <c r="O416" s="103" t="s">
        <v>5580</v>
      </c>
      <c r="P416" s="103">
        <v>8</v>
      </c>
      <c r="Q416" s="103"/>
      <c r="R416" s="103"/>
      <c r="S416" s="103" t="s">
        <v>6027</v>
      </c>
      <c r="T416" s="103">
        <v>776792</v>
      </c>
      <c r="U416" s="103">
        <v>8.3000000000000007</v>
      </c>
      <c r="V416" s="103" t="s">
        <v>65</v>
      </c>
      <c r="W416" s="103" t="s">
        <v>310</v>
      </c>
    </row>
    <row r="417" spans="1:23" x14ac:dyDescent="0.45">
      <c r="A417" s="103">
        <f t="shared" si="19"/>
        <v>416</v>
      </c>
      <c r="B417" s="103" t="s">
        <v>5893</v>
      </c>
      <c r="C417" s="103" t="s">
        <v>1018</v>
      </c>
      <c r="D417" s="103" t="s">
        <v>330</v>
      </c>
      <c r="E417" s="103" t="s">
        <v>100</v>
      </c>
      <c r="F417" s="103"/>
      <c r="G417" s="103" t="s">
        <v>71</v>
      </c>
      <c r="H417" s="103" t="s">
        <v>6091</v>
      </c>
      <c r="I417" s="103" t="s">
        <v>143</v>
      </c>
      <c r="J417" s="103" t="s">
        <v>122</v>
      </c>
      <c r="K417" s="103" t="s">
        <v>189</v>
      </c>
      <c r="L417" s="103" t="s">
        <v>6095</v>
      </c>
      <c r="M417" s="103"/>
      <c r="N417" s="103" t="s">
        <v>5893</v>
      </c>
      <c r="O417" s="103" t="s">
        <v>5812</v>
      </c>
      <c r="P417" s="103" t="s">
        <v>6094</v>
      </c>
      <c r="Q417" s="103"/>
      <c r="R417" s="103"/>
      <c r="S417" s="103" t="s">
        <v>6094</v>
      </c>
      <c r="T417" s="103">
        <v>776792</v>
      </c>
      <c r="U417" s="103">
        <v>8.5</v>
      </c>
      <c r="V417" s="103" t="s">
        <v>65</v>
      </c>
      <c r="W417" s="103" t="s">
        <v>310</v>
      </c>
    </row>
    <row r="418" spans="1:23" x14ac:dyDescent="0.45">
      <c r="A418" s="103">
        <f t="shared" si="19"/>
        <v>417</v>
      </c>
      <c r="B418" s="103" t="s">
        <v>5893</v>
      </c>
      <c r="C418" s="103" t="s">
        <v>1018</v>
      </c>
      <c r="D418" s="103" t="s">
        <v>330</v>
      </c>
      <c r="E418" s="103" t="s">
        <v>100</v>
      </c>
      <c r="F418" s="103"/>
      <c r="G418" s="103" t="s">
        <v>71</v>
      </c>
      <c r="H418" s="103" t="s">
        <v>6091</v>
      </c>
      <c r="I418" s="103"/>
      <c r="J418" s="103" t="s">
        <v>122</v>
      </c>
      <c r="K418" s="103" t="s">
        <v>189</v>
      </c>
      <c r="L418" s="103" t="s">
        <v>6096</v>
      </c>
      <c r="M418" s="103"/>
      <c r="N418" s="103" t="s">
        <v>5893</v>
      </c>
      <c r="O418" s="103" t="s">
        <v>5581</v>
      </c>
      <c r="P418" s="103" t="s">
        <v>6094</v>
      </c>
      <c r="Q418" s="103"/>
      <c r="R418" s="103"/>
      <c r="S418" s="103" t="s">
        <v>6094</v>
      </c>
      <c r="T418" s="103">
        <v>776792</v>
      </c>
      <c r="U418" s="103">
        <v>8.5</v>
      </c>
      <c r="V418" s="103" t="s">
        <v>65</v>
      </c>
      <c r="W418" s="103" t="s">
        <v>310</v>
      </c>
    </row>
    <row r="419" spans="1:23" x14ac:dyDescent="0.45">
      <c r="A419" s="103">
        <f t="shared" si="19"/>
        <v>418</v>
      </c>
      <c r="B419" s="103" t="s">
        <v>5893</v>
      </c>
      <c r="C419" s="103" t="s">
        <v>1018</v>
      </c>
      <c r="D419" s="103" t="s">
        <v>330</v>
      </c>
      <c r="E419" s="103" t="s">
        <v>100</v>
      </c>
      <c r="F419" s="103"/>
      <c r="G419" s="103" t="s">
        <v>71</v>
      </c>
      <c r="H419" s="103" t="s">
        <v>6091</v>
      </c>
      <c r="I419" s="103" t="s">
        <v>143</v>
      </c>
      <c r="J419" s="103" t="s">
        <v>122</v>
      </c>
      <c r="K419" s="103" t="s">
        <v>189</v>
      </c>
      <c r="L419" s="103" t="s">
        <v>6097</v>
      </c>
      <c r="M419" s="103"/>
      <c r="N419" s="103" t="s">
        <v>5893</v>
      </c>
      <c r="O419" s="103" t="s">
        <v>5813</v>
      </c>
      <c r="P419" s="103" t="s">
        <v>6094</v>
      </c>
      <c r="Q419" s="103"/>
      <c r="R419" s="103"/>
      <c r="S419" s="103" t="s">
        <v>6094</v>
      </c>
      <c r="T419" s="103">
        <v>776792</v>
      </c>
      <c r="U419" s="103">
        <v>8.5</v>
      </c>
      <c r="V419" s="103" t="s">
        <v>65</v>
      </c>
      <c r="W419" s="103" t="s">
        <v>310</v>
      </c>
    </row>
    <row r="420" spans="1:23" x14ac:dyDescent="0.45">
      <c r="A420" s="103">
        <f t="shared" si="19"/>
        <v>419</v>
      </c>
      <c r="B420" s="103" t="s">
        <v>5893</v>
      </c>
      <c r="C420" s="103" t="s">
        <v>1018</v>
      </c>
      <c r="D420" s="103" t="s">
        <v>330</v>
      </c>
      <c r="E420" s="103" t="s">
        <v>100</v>
      </c>
      <c r="F420" s="103"/>
      <c r="G420" s="103" t="s">
        <v>71</v>
      </c>
      <c r="H420" s="103" t="s">
        <v>6091</v>
      </c>
      <c r="I420" s="103" t="s">
        <v>143</v>
      </c>
      <c r="J420" s="103" t="s">
        <v>122</v>
      </c>
      <c r="K420" s="103" t="s">
        <v>189</v>
      </c>
      <c r="L420" s="103" t="s">
        <v>6098</v>
      </c>
      <c r="M420" s="103"/>
      <c r="N420" s="103"/>
      <c r="O420" s="103" t="s">
        <v>5814</v>
      </c>
      <c r="P420" s="103" t="s">
        <v>6094</v>
      </c>
      <c r="Q420" s="103"/>
      <c r="R420" s="103"/>
      <c r="S420" s="103" t="s">
        <v>6094</v>
      </c>
      <c r="T420" s="103">
        <v>776792</v>
      </c>
      <c r="U420" s="103">
        <v>8.5</v>
      </c>
      <c r="V420" s="103" t="s">
        <v>65</v>
      </c>
      <c r="W420" s="103" t="s">
        <v>310</v>
      </c>
    </row>
    <row r="421" spans="1:23" x14ac:dyDescent="0.45">
      <c r="A421" s="103">
        <f t="shared" si="19"/>
        <v>420</v>
      </c>
      <c r="B421" s="103" t="s">
        <v>5893</v>
      </c>
      <c r="C421" s="103" t="s">
        <v>1018</v>
      </c>
      <c r="D421" s="103" t="s">
        <v>330</v>
      </c>
      <c r="E421" s="103" t="s">
        <v>100</v>
      </c>
      <c r="F421" s="103"/>
      <c r="G421" s="103" t="s">
        <v>71</v>
      </c>
      <c r="H421" s="103" t="s">
        <v>6091</v>
      </c>
      <c r="I421" s="103"/>
      <c r="J421" s="103"/>
      <c r="K421" s="103"/>
      <c r="L421" s="103"/>
      <c r="M421" s="103"/>
      <c r="N421" s="103" t="s">
        <v>5893</v>
      </c>
      <c r="O421" s="103" t="s">
        <v>5819</v>
      </c>
      <c r="P421" s="103"/>
      <c r="Q421" s="103"/>
      <c r="R421" s="103"/>
      <c r="S421" s="103"/>
      <c r="T421" s="103">
        <v>776792</v>
      </c>
      <c r="U421" s="103"/>
      <c r="V421" s="103" t="s">
        <v>65</v>
      </c>
      <c r="W421" s="103" t="s">
        <v>310</v>
      </c>
    </row>
    <row r="422" spans="1:23" x14ac:dyDescent="0.45">
      <c r="A422" s="103">
        <f t="shared" si="19"/>
        <v>421</v>
      </c>
      <c r="B422" s="103" t="s">
        <v>6099</v>
      </c>
      <c r="C422" s="103" t="s">
        <v>2224</v>
      </c>
      <c r="D422" s="103" t="s">
        <v>330</v>
      </c>
      <c r="E422" s="103" t="s">
        <v>100</v>
      </c>
      <c r="F422" s="103" t="s">
        <v>86</v>
      </c>
      <c r="G422" s="103" t="s">
        <v>88</v>
      </c>
      <c r="H422" s="103" t="s">
        <v>6100</v>
      </c>
      <c r="I422" s="103" t="s">
        <v>143</v>
      </c>
      <c r="J422" s="103" t="s">
        <v>122</v>
      </c>
      <c r="K422" s="103" t="s">
        <v>6103</v>
      </c>
      <c r="L422" s="103"/>
      <c r="M422" s="103"/>
      <c r="N422" s="103" t="s">
        <v>6099</v>
      </c>
      <c r="O422" s="103" t="s">
        <v>47</v>
      </c>
      <c r="P422" s="103" t="s">
        <v>6012</v>
      </c>
      <c r="Q422" s="103"/>
      <c r="R422" s="103"/>
      <c r="S422" s="103" t="s">
        <v>6004</v>
      </c>
      <c r="T422" s="103">
        <v>644118</v>
      </c>
      <c r="U422" s="103">
        <v>8.5</v>
      </c>
      <c r="V422" s="103" t="s">
        <v>65</v>
      </c>
      <c r="W422" s="103" t="s">
        <v>310</v>
      </c>
    </row>
    <row r="423" spans="1:23" x14ac:dyDescent="0.45">
      <c r="A423" s="103">
        <f t="shared" si="19"/>
        <v>422</v>
      </c>
      <c r="B423" s="103" t="s">
        <v>6099</v>
      </c>
      <c r="C423" s="103" t="s">
        <v>2224</v>
      </c>
      <c r="D423" s="103" t="s">
        <v>330</v>
      </c>
      <c r="E423" s="103" t="s">
        <v>100</v>
      </c>
      <c r="F423" s="103" t="s">
        <v>86</v>
      </c>
      <c r="G423" s="103" t="s">
        <v>88</v>
      </c>
      <c r="H423" s="103" t="s">
        <v>6100</v>
      </c>
      <c r="I423" s="103" t="s">
        <v>143</v>
      </c>
      <c r="J423" s="103" t="s">
        <v>122</v>
      </c>
      <c r="K423" s="103" t="s">
        <v>6103</v>
      </c>
      <c r="L423" s="103"/>
      <c r="M423" s="103"/>
      <c r="N423" s="103" t="s">
        <v>6099</v>
      </c>
      <c r="O423" s="103" t="s">
        <v>5580</v>
      </c>
      <c r="P423" s="103" t="s">
        <v>5845</v>
      </c>
      <c r="Q423" s="103"/>
      <c r="R423" s="103"/>
      <c r="S423" s="103" t="s">
        <v>6004</v>
      </c>
      <c r="T423" s="103">
        <v>644118</v>
      </c>
      <c r="U423" s="103">
        <v>8.5</v>
      </c>
      <c r="V423" s="103" t="s">
        <v>65</v>
      </c>
      <c r="W423" s="103" t="s">
        <v>310</v>
      </c>
    </row>
    <row r="424" spans="1:23" x14ac:dyDescent="0.45">
      <c r="A424" s="103">
        <f t="shared" si="19"/>
        <v>423</v>
      </c>
      <c r="B424" s="103" t="s">
        <v>6099</v>
      </c>
      <c r="C424" s="103" t="s">
        <v>2224</v>
      </c>
      <c r="D424" s="103" t="s">
        <v>330</v>
      </c>
      <c r="E424" s="103" t="s">
        <v>100</v>
      </c>
      <c r="F424" s="103" t="s">
        <v>86</v>
      </c>
      <c r="G424" s="103" t="s">
        <v>88</v>
      </c>
      <c r="H424" s="103" t="s">
        <v>6100</v>
      </c>
      <c r="I424" s="103" t="s">
        <v>143</v>
      </c>
      <c r="J424" s="103" t="s">
        <v>122</v>
      </c>
      <c r="K424" s="103" t="s">
        <v>189</v>
      </c>
      <c r="L424" s="103" t="s">
        <v>6104</v>
      </c>
      <c r="M424" s="103"/>
      <c r="N424" s="103" t="s">
        <v>6099</v>
      </c>
      <c r="O424" s="103" t="s">
        <v>5812</v>
      </c>
      <c r="P424" s="103" t="s">
        <v>6094</v>
      </c>
      <c r="Q424" s="103"/>
      <c r="R424" s="103"/>
      <c r="S424" s="103" t="s">
        <v>6094</v>
      </c>
      <c r="T424" s="103">
        <v>644118</v>
      </c>
      <c r="U424" s="103">
        <v>8.5</v>
      </c>
      <c r="V424" s="103" t="s">
        <v>65</v>
      </c>
      <c r="W424" s="103" t="s">
        <v>310</v>
      </c>
    </row>
    <row r="425" spans="1:23" x14ac:dyDescent="0.45">
      <c r="A425" s="103">
        <f t="shared" si="19"/>
        <v>424</v>
      </c>
      <c r="B425" s="103" t="s">
        <v>6099</v>
      </c>
      <c r="C425" s="103" t="s">
        <v>2224</v>
      </c>
      <c r="D425" s="103" t="s">
        <v>330</v>
      </c>
      <c r="E425" s="103" t="s">
        <v>100</v>
      </c>
      <c r="F425" s="103" t="s">
        <v>86</v>
      </c>
      <c r="G425" s="103" t="s">
        <v>88</v>
      </c>
      <c r="H425" s="103" t="s">
        <v>6100</v>
      </c>
      <c r="I425" s="103"/>
      <c r="J425" s="103" t="s">
        <v>122</v>
      </c>
      <c r="K425" s="103" t="s">
        <v>189</v>
      </c>
      <c r="L425" s="103" t="s">
        <v>6105</v>
      </c>
      <c r="M425" s="103"/>
      <c r="N425" s="103" t="s">
        <v>6099</v>
      </c>
      <c r="O425" s="103" t="s">
        <v>5581</v>
      </c>
      <c r="P425" s="103" t="s">
        <v>6094</v>
      </c>
      <c r="Q425" s="103"/>
      <c r="R425" s="103"/>
      <c r="S425" s="103" t="s">
        <v>6094</v>
      </c>
      <c r="T425" s="103">
        <v>644118</v>
      </c>
      <c r="U425" s="103">
        <v>8.5</v>
      </c>
      <c r="V425" s="103" t="s">
        <v>65</v>
      </c>
      <c r="W425" s="103" t="s">
        <v>310</v>
      </c>
    </row>
    <row r="426" spans="1:23" x14ac:dyDescent="0.45">
      <c r="A426" s="103">
        <f t="shared" si="19"/>
        <v>425</v>
      </c>
      <c r="B426" s="103" t="s">
        <v>6099</v>
      </c>
      <c r="C426" s="103" t="s">
        <v>2224</v>
      </c>
      <c r="D426" s="103" t="s">
        <v>330</v>
      </c>
      <c r="E426" s="103" t="s">
        <v>100</v>
      </c>
      <c r="F426" s="103" t="s">
        <v>86</v>
      </c>
      <c r="G426" s="103" t="s">
        <v>88</v>
      </c>
      <c r="H426" s="103" t="s">
        <v>6100</v>
      </c>
      <c r="I426" s="103" t="s">
        <v>143</v>
      </c>
      <c r="J426" s="103" t="s">
        <v>122</v>
      </c>
      <c r="K426" s="103" t="s">
        <v>189</v>
      </c>
      <c r="L426" s="103" t="s">
        <v>6106</v>
      </c>
      <c r="M426" s="103"/>
      <c r="N426" s="103" t="s">
        <v>6099</v>
      </c>
      <c r="O426" s="103" t="s">
        <v>5813</v>
      </c>
      <c r="P426" s="103" t="s">
        <v>6094</v>
      </c>
      <c r="Q426" s="103"/>
      <c r="R426" s="103"/>
      <c r="S426" s="103" t="s">
        <v>6094</v>
      </c>
      <c r="T426" s="103">
        <v>644118</v>
      </c>
      <c r="U426" s="103">
        <v>8.5</v>
      </c>
      <c r="V426" s="103" t="s">
        <v>65</v>
      </c>
      <c r="W426" s="103" t="s">
        <v>310</v>
      </c>
    </row>
    <row r="427" spans="1:23" x14ac:dyDescent="0.45">
      <c r="A427" s="103">
        <f t="shared" si="19"/>
        <v>426</v>
      </c>
      <c r="B427" s="103" t="s">
        <v>6099</v>
      </c>
      <c r="C427" s="103" t="s">
        <v>2224</v>
      </c>
      <c r="D427" s="103" t="s">
        <v>330</v>
      </c>
      <c r="E427" s="103" t="s">
        <v>100</v>
      </c>
      <c r="F427" s="103" t="s">
        <v>86</v>
      </c>
      <c r="G427" s="103" t="s">
        <v>88</v>
      </c>
      <c r="H427" s="103" t="s">
        <v>6100</v>
      </c>
      <c r="I427" s="103" t="s">
        <v>143</v>
      </c>
      <c r="J427" s="103" t="s">
        <v>122</v>
      </c>
      <c r="K427" s="103" t="s">
        <v>189</v>
      </c>
      <c r="L427" s="103" t="s">
        <v>6107</v>
      </c>
      <c r="M427" s="103"/>
      <c r="N427" s="103"/>
      <c r="O427" s="103" t="s">
        <v>5814</v>
      </c>
      <c r="P427" s="103" t="s">
        <v>6094</v>
      </c>
      <c r="Q427" s="103"/>
      <c r="R427" s="103"/>
      <c r="S427" s="103" t="s">
        <v>6094</v>
      </c>
      <c r="T427" s="103">
        <v>644118</v>
      </c>
      <c r="U427" s="103">
        <v>8.5</v>
      </c>
      <c r="V427" s="103" t="s">
        <v>65</v>
      </c>
      <c r="W427" s="103" t="s">
        <v>310</v>
      </c>
    </row>
    <row r="428" spans="1:23" x14ac:dyDescent="0.45">
      <c r="A428" s="103">
        <f t="shared" si="19"/>
        <v>427</v>
      </c>
      <c r="B428" s="103" t="s">
        <v>6099</v>
      </c>
      <c r="C428" s="103" t="s">
        <v>2224</v>
      </c>
      <c r="D428" s="103" t="s">
        <v>330</v>
      </c>
      <c r="E428" s="103" t="s">
        <v>100</v>
      </c>
      <c r="F428" s="103" t="s">
        <v>86</v>
      </c>
      <c r="G428" s="103" t="s">
        <v>88</v>
      </c>
      <c r="H428" s="103" t="s">
        <v>6100</v>
      </c>
      <c r="I428" s="103" t="s">
        <v>173</v>
      </c>
      <c r="J428" s="103" t="s">
        <v>122</v>
      </c>
      <c r="K428" s="103" t="s">
        <v>184</v>
      </c>
      <c r="L428" s="103"/>
      <c r="M428" s="103"/>
      <c r="N428" s="103" t="s">
        <v>6099</v>
      </c>
      <c r="O428" s="103" t="s">
        <v>5816</v>
      </c>
      <c r="P428" s="103" t="s">
        <v>6087</v>
      </c>
      <c r="Q428" s="103"/>
      <c r="R428" s="103"/>
      <c r="S428" s="103" t="s">
        <v>6086</v>
      </c>
      <c r="T428" s="103">
        <v>644118</v>
      </c>
      <c r="U428" s="103">
        <v>8.8000000000000007</v>
      </c>
      <c r="V428" s="103" t="s">
        <v>65</v>
      </c>
      <c r="W428" s="103" t="s">
        <v>310</v>
      </c>
    </row>
    <row r="429" spans="1:23" x14ac:dyDescent="0.45">
      <c r="A429" s="103">
        <f t="shared" si="19"/>
        <v>428</v>
      </c>
      <c r="B429" s="103" t="s">
        <v>6099</v>
      </c>
      <c r="C429" s="103" t="s">
        <v>2224</v>
      </c>
      <c r="D429" s="103" t="s">
        <v>330</v>
      </c>
      <c r="E429" s="103" t="s">
        <v>100</v>
      </c>
      <c r="F429" s="103" t="s">
        <v>86</v>
      </c>
      <c r="G429" s="103" t="s">
        <v>88</v>
      </c>
      <c r="H429" s="103" t="s">
        <v>6100</v>
      </c>
      <c r="I429" s="103" t="s">
        <v>173</v>
      </c>
      <c r="J429" s="103" t="s">
        <v>122</v>
      </c>
      <c r="K429" s="103" t="s">
        <v>184</v>
      </c>
      <c r="L429" s="103"/>
      <c r="M429" s="103"/>
      <c r="N429" s="103" t="s">
        <v>6099</v>
      </c>
      <c r="O429" s="103" t="s">
        <v>5817</v>
      </c>
      <c r="P429" s="103" t="s">
        <v>6085</v>
      </c>
      <c r="Q429" s="103"/>
      <c r="R429" s="103"/>
      <c r="S429" s="103" t="s">
        <v>5789</v>
      </c>
      <c r="T429" s="103">
        <v>644118</v>
      </c>
      <c r="U429" s="103">
        <v>8.6999999999999993</v>
      </c>
      <c r="V429" s="103" t="s">
        <v>65</v>
      </c>
      <c r="W429" s="103" t="s">
        <v>310</v>
      </c>
    </row>
    <row r="430" spans="1:23" x14ac:dyDescent="0.45">
      <c r="A430" s="103">
        <f t="shared" si="19"/>
        <v>429</v>
      </c>
      <c r="B430" s="103" t="s">
        <v>6099</v>
      </c>
      <c r="C430" s="103" t="s">
        <v>2224</v>
      </c>
      <c r="D430" s="103" t="s">
        <v>330</v>
      </c>
      <c r="E430" s="103" t="s">
        <v>100</v>
      </c>
      <c r="F430" s="103" t="s">
        <v>86</v>
      </c>
      <c r="G430" s="103" t="s">
        <v>88</v>
      </c>
      <c r="H430" s="103" t="s">
        <v>6100</v>
      </c>
      <c r="I430" s="103"/>
      <c r="J430" s="103"/>
      <c r="K430" s="103"/>
      <c r="L430" s="103"/>
      <c r="M430" s="103"/>
      <c r="N430" s="103" t="s">
        <v>6099</v>
      </c>
      <c r="O430" s="103" t="s">
        <v>5819</v>
      </c>
      <c r="P430" s="103"/>
      <c r="Q430" s="103"/>
      <c r="R430" s="103"/>
      <c r="S430" s="103"/>
      <c r="T430" s="103">
        <v>644118</v>
      </c>
      <c r="U430" s="103"/>
      <c r="V430" s="103" t="s">
        <v>65</v>
      </c>
      <c r="W430" s="103" t="s">
        <v>310</v>
      </c>
    </row>
    <row r="431" spans="1:23" x14ac:dyDescent="0.45">
      <c r="A431" s="103">
        <f t="shared" si="19"/>
        <v>430</v>
      </c>
      <c r="B431" s="103" t="s">
        <v>6099</v>
      </c>
      <c r="C431" s="103" t="s">
        <v>2224</v>
      </c>
      <c r="D431" s="103" t="s">
        <v>330</v>
      </c>
      <c r="E431" s="103" t="s">
        <v>100</v>
      </c>
      <c r="F431" s="103" t="s">
        <v>86</v>
      </c>
      <c r="G431" s="103" t="s">
        <v>88</v>
      </c>
      <c r="H431" s="103" t="s">
        <v>6100</v>
      </c>
      <c r="I431" s="103" t="s">
        <v>173</v>
      </c>
      <c r="J431" s="103" t="s">
        <v>122</v>
      </c>
      <c r="K431" s="103" t="s">
        <v>186</v>
      </c>
      <c r="L431" s="103"/>
      <c r="M431" s="103"/>
      <c r="N431" s="103" t="s">
        <v>6099</v>
      </c>
      <c r="O431" s="103" t="s">
        <v>5820</v>
      </c>
      <c r="P431" s="103" t="s">
        <v>6027</v>
      </c>
      <c r="Q431" s="103"/>
      <c r="R431" s="103"/>
      <c r="S431" s="103">
        <v>6</v>
      </c>
      <c r="T431" s="103">
        <v>644118</v>
      </c>
      <c r="U431" s="103">
        <v>8.8000000000000007</v>
      </c>
      <c r="V431" s="103" t="s">
        <v>65</v>
      </c>
      <c r="W431" s="103" t="s">
        <v>310</v>
      </c>
    </row>
    <row r="432" spans="1:23" x14ac:dyDescent="0.45">
      <c r="A432" s="103">
        <f t="shared" si="19"/>
        <v>431</v>
      </c>
      <c r="B432" s="103" t="s">
        <v>6099</v>
      </c>
      <c r="C432" s="103" t="s">
        <v>2224</v>
      </c>
      <c r="D432" s="103" t="s">
        <v>330</v>
      </c>
      <c r="E432" s="103" t="s">
        <v>100</v>
      </c>
      <c r="F432" s="103" t="s">
        <v>86</v>
      </c>
      <c r="G432" s="103" t="s">
        <v>88</v>
      </c>
      <c r="H432" s="103" t="s">
        <v>6100</v>
      </c>
      <c r="I432" s="103" t="s">
        <v>173</v>
      </c>
      <c r="J432" s="103" t="s">
        <v>122</v>
      </c>
      <c r="K432" s="103" t="s">
        <v>184</v>
      </c>
      <c r="L432" s="103"/>
      <c r="M432" s="103"/>
      <c r="N432" s="103" t="s">
        <v>6099</v>
      </c>
      <c r="O432" s="103" t="s">
        <v>5821</v>
      </c>
      <c r="P432" s="103" t="s">
        <v>5794</v>
      </c>
      <c r="Q432" s="103"/>
      <c r="R432" s="103"/>
      <c r="S432" s="103" t="s">
        <v>5947</v>
      </c>
      <c r="T432" s="103">
        <v>644118</v>
      </c>
      <c r="U432" s="103">
        <v>8.6999999999999993</v>
      </c>
      <c r="V432" s="103" t="s">
        <v>65</v>
      </c>
      <c r="W432" s="103" t="s">
        <v>310</v>
      </c>
    </row>
    <row r="433" spans="1:23" x14ac:dyDescent="0.45">
      <c r="A433" s="103">
        <f t="shared" si="19"/>
        <v>432</v>
      </c>
      <c r="B433" s="103" t="s">
        <v>6099</v>
      </c>
      <c r="C433" s="103" t="s">
        <v>2224</v>
      </c>
      <c r="D433" s="103" t="s">
        <v>330</v>
      </c>
      <c r="E433" s="103" t="s">
        <v>100</v>
      </c>
      <c r="F433" s="103" t="s">
        <v>86</v>
      </c>
      <c r="G433" s="103" t="s">
        <v>88</v>
      </c>
      <c r="H433" s="103" t="s">
        <v>6100</v>
      </c>
      <c r="I433" s="103" t="s">
        <v>173</v>
      </c>
      <c r="J433" s="103" t="s">
        <v>122</v>
      </c>
      <c r="K433" s="103" t="s">
        <v>186</v>
      </c>
      <c r="L433" s="103"/>
      <c r="M433" s="103"/>
      <c r="N433" s="103" t="s">
        <v>6099</v>
      </c>
      <c r="O433" s="103" t="s">
        <v>5859</v>
      </c>
      <c r="P433" s="103" t="s">
        <v>5852</v>
      </c>
      <c r="Q433" s="103"/>
      <c r="R433" s="103"/>
      <c r="S433" s="103" t="s">
        <v>5853</v>
      </c>
      <c r="T433" s="103">
        <v>644118</v>
      </c>
      <c r="U433" s="103">
        <v>8.8000000000000007</v>
      </c>
      <c r="V433" s="103" t="s">
        <v>65</v>
      </c>
      <c r="W433" s="103" t="s">
        <v>310</v>
      </c>
    </row>
    <row r="434" spans="1:23" x14ac:dyDescent="0.45">
      <c r="A434" s="103">
        <f t="shared" si="19"/>
        <v>433</v>
      </c>
      <c r="B434" s="103" t="s">
        <v>6099</v>
      </c>
      <c r="C434" s="103" t="s">
        <v>2224</v>
      </c>
      <c r="D434" s="103" t="s">
        <v>330</v>
      </c>
      <c r="E434" s="103" t="s">
        <v>100</v>
      </c>
      <c r="F434" s="103" t="s">
        <v>86</v>
      </c>
      <c r="G434" s="103" t="s">
        <v>88</v>
      </c>
      <c r="H434" s="103" t="s">
        <v>6100</v>
      </c>
      <c r="I434" s="103" t="s">
        <v>173</v>
      </c>
      <c r="J434" s="103" t="s">
        <v>122</v>
      </c>
      <c r="K434" s="103" t="s">
        <v>186</v>
      </c>
      <c r="L434" s="103"/>
      <c r="M434" s="103"/>
      <c r="N434" s="103" t="s">
        <v>6099</v>
      </c>
      <c r="O434" s="103" t="s">
        <v>5860</v>
      </c>
      <c r="P434" s="103" t="s">
        <v>5883</v>
      </c>
      <c r="Q434" s="103"/>
      <c r="R434" s="103"/>
      <c r="S434" s="103" t="s">
        <v>5857</v>
      </c>
      <c r="T434" s="103">
        <v>644118</v>
      </c>
      <c r="U434" s="103">
        <v>8.8000000000000007</v>
      </c>
      <c r="V434" s="103" t="s">
        <v>65</v>
      </c>
      <c r="W434" s="103" t="s">
        <v>310</v>
      </c>
    </row>
    <row r="435" spans="1:23" x14ac:dyDescent="0.45">
      <c r="A435" s="103">
        <f t="shared" ref="A435:A450" si="20">ROW()-1</f>
        <v>434</v>
      </c>
      <c r="B435" s="103" t="s">
        <v>6099</v>
      </c>
      <c r="C435" s="103" t="s">
        <v>434</v>
      </c>
      <c r="D435" s="103" t="s">
        <v>330</v>
      </c>
      <c r="E435" s="103" t="s">
        <v>73</v>
      </c>
      <c r="F435" s="103" t="s">
        <v>72</v>
      </c>
      <c r="G435" s="103" t="s">
        <v>71</v>
      </c>
      <c r="H435" s="103" t="s">
        <v>6108</v>
      </c>
      <c r="I435" s="103" t="s">
        <v>272</v>
      </c>
      <c r="J435" s="103" t="s">
        <v>122</v>
      </c>
      <c r="K435" s="103" t="s">
        <v>186</v>
      </c>
      <c r="L435" s="103" t="s">
        <v>6111</v>
      </c>
      <c r="M435" s="103"/>
      <c r="N435" s="103" t="s">
        <v>6099</v>
      </c>
      <c r="O435" s="103" t="s">
        <v>47</v>
      </c>
      <c r="P435" s="103" t="s">
        <v>5920</v>
      </c>
      <c r="Q435" s="103"/>
      <c r="R435" s="103"/>
      <c r="S435" s="103" t="s">
        <v>5920</v>
      </c>
      <c r="T435" s="103">
        <v>659056</v>
      </c>
      <c r="U435" s="103">
        <v>7.3</v>
      </c>
      <c r="V435" s="103" t="s">
        <v>65</v>
      </c>
      <c r="W435" s="103" t="s">
        <v>310</v>
      </c>
    </row>
    <row r="436" spans="1:23" x14ac:dyDescent="0.45">
      <c r="A436" s="103">
        <f t="shared" si="20"/>
        <v>435</v>
      </c>
      <c r="B436" s="103" t="s">
        <v>6099</v>
      </c>
      <c r="C436" s="103" t="s">
        <v>434</v>
      </c>
      <c r="D436" s="103" t="s">
        <v>330</v>
      </c>
      <c r="E436" s="103" t="s">
        <v>73</v>
      </c>
      <c r="F436" s="103" t="s">
        <v>72</v>
      </c>
      <c r="G436" s="103" t="s">
        <v>71</v>
      </c>
      <c r="H436" s="103" t="s">
        <v>6108</v>
      </c>
      <c r="I436" s="103" t="s">
        <v>272</v>
      </c>
      <c r="J436" s="103" t="s">
        <v>122</v>
      </c>
      <c r="K436" s="103" t="s">
        <v>186</v>
      </c>
      <c r="L436" s="103" t="s">
        <v>6112</v>
      </c>
      <c r="M436" s="103"/>
      <c r="N436" s="103" t="s">
        <v>6099</v>
      </c>
      <c r="O436" s="103" t="s">
        <v>5580</v>
      </c>
      <c r="P436" s="103" t="s">
        <v>5920</v>
      </c>
      <c r="Q436" s="103"/>
      <c r="R436" s="103"/>
      <c r="S436" s="103" t="s">
        <v>5920</v>
      </c>
      <c r="T436" s="103">
        <v>659056</v>
      </c>
      <c r="U436" s="103">
        <v>7.3</v>
      </c>
      <c r="V436" s="103" t="s">
        <v>65</v>
      </c>
      <c r="W436" s="103" t="s">
        <v>310</v>
      </c>
    </row>
    <row r="437" spans="1:23" x14ac:dyDescent="0.45">
      <c r="A437" s="103">
        <f t="shared" si="20"/>
        <v>436</v>
      </c>
      <c r="B437" s="103" t="s">
        <v>6099</v>
      </c>
      <c r="C437" s="103" t="s">
        <v>434</v>
      </c>
      <c r="D437" s="103" t="s">
        <v>330</v>
      </c>
      <c r="E437" s="103" t="s">
        <v>73</v>
      </c>
      <c r="F437" s="103" t="s">
        <v>72</v>
      </c>
      <c r="G437" s="103" t="s">
        <v>71</v>
      </c>
      <c r="H437" s="103" t="s">
        <v>6108</v>
      </c>
      <c r="I437" s="103" t="s">
        <v>272</v>
      </c>
      <c r="J437" s="103" t="s">
        <v>164</v>
      </c>
      <c r="K437" s="103" t="s">
        <v>5697</v>
      </c>
      <c r="L437" s="103"/>
      <c r="M437" s="103"/>
      <c r="N437" s="103" t="s">
        <v>6099</v>
      </c>
      <c r="O437" s="103" t="s">
        <v>5812</v>
      </c>
      <c r="P437" s="103" t="s">
        <v>5855</v>
      </c>
      <c r="Q437" s="103"/>
      <c r="R437" s="103"/>
      <c r="S437" s="103" t="s">
        <v>5791</v>
      </c>
      <c r="T437" s="103">
        <v>659056</v>
      </c>
      <c r="U437" s="103">
        <v>6.3</v>
      </c>
      <c r="V437" s="103" t="s">
        <v>65</v>
      </c>
      <c r="W437" s="103" t="s">
        <v>310</v>
      </c>
    </row>
    <row r="438" spans="1:23" x14ac:dyDescent="0.45">
      <c r="A438" s="103">
        <f t="shared" si="20"/>
        <v>437</v>
      </c>
      <c r="B438" s="103" t="s">
        <v>6099</v>
      </c>
      <c r="C438" s="103" t="s">
        <v>434</v>
      </c>
      <c r="D438" s="103" t="s">
        <v>330</v>
      </c>
      <c r="E438" s="103" t="s">
        <v>73</v>
      </c>
      <c r="F438" s="103" t="s">
        <v>72</v>
      </c>
      <c r="G438" s="103" t="s">
        <v>71</v>
      </c>
      <c r="H438" s="103" t="s">
        <v>6108</v>
      </c>
      <c r="I438" s="103"/>
      <c r="J438" s="103" t="s">
        <v>164</v>
      </c>
      <c r="K438" s="103" t="s">
        <v>5697</v>
      </c>
      <c r="L438" s="103"/>
      <c r="M438" s="103"/>
      <c r="N438" s="103" t="s">
        <v>6099</v>
      </c>
      <c r="O438" s="103" t="s">
        <v>5581</v>
      </c>
      <c r="P438" s="103" t="s">
        <v>5901</v>
      </c>
      <c r="Q438" s="103"/>
      <c r="R438" s="103"/>
      <c r="S438" s="103" t="s">
        <v>5901</v>
      </c>
      <c r="T438" s="103">
        <v>659056</v>
      </c>
      <c r="U438" s="103" t="s">
        <v>5796</v>
      </c>
      <c r="V438" s="103" t="s">
        <v>65</v>
      </c>
      <c r="W438" s="103" t="s">
        <v>310</v>
      </c>
    </row>
    <row r="439" spans="1:23" x14ac:dyDescent="0.45">
      <c r="A439" s="103">
        <f t="shared" si="20"/>
        <v>438</v>
      </c>
      <c r="B439" s="103" t="s">
        <v>6099</v>
      </c>
      <c r="C439" s="103" t="s">
        <v>434</v>
      </c>
      <c r="D439" s="103" t="s">
        <v>330</v>
      </c>
      <c r="E439" s="103" t="s">
        <v>73</v>
      </c>
      <c r="F439" s="103" t="s">
        <v>72</v>
      </c>
      <c r="G439" s="103" t="s">
        <v>71</v>
      </c>
      <c r="H439" s="103" t="s">
        <v>6108</v>
      </c>
      <c r="I439" s="103" t="s">
        <v>272</v>
      </c>
      <c r="J439" s="103" t="s">
        <v>164</v>
      </c>
      <c r="K439" s="103" t="s">
        <v>5697</v>
      </c>
      <c r="L439" s="103"/>
      <c r="M439" s="103"/>
      <c r="N439" s="103" t="s">
        <v>6099</v>
      </c>
      <c r="O439" s="103" t="s">
        <v>5813</v>
      </c>
      <c r="P439" s="103" t="s">
        <v>6028</v>
      </c>
      <c r="Q439" s="103"/>
      <c r="R439" s="103"/>
      <c r="S439" s="103" t="s">
        <v>5903</v>
      </c>
      <c r="T439" s="103">
        <v>659056</v>
      </c>
      <c r="U439" s="103" t="s">
        <v>5796</v>
      </c>
      <c r="V439" s="103" t="s">
        <v>65</v>
      </c>
      <c r="W439" s="103" t="s">
        <v>310</v>
      </c>
    </row>
    <row r="440" spans="1:23" x14ac:dyDescent="0.45">
      <c r="A440" s="103">
        <f t="shared" si="20"/>
        <v>439</v>
      </c>
      <c r="B440" s="103" t="s">
        <v>6099</v>
      </c>
      <c r="C440" s="103" t="s">
        <v>434</v>
      </c>
      <c r="D440" s="103" t="s">
        <v>330</v>
      </c>
      <c r="E440" s="103" t="s">
        <v>73</v>
      </c>
      <c r="F440" s="103" t="s">
        <v>72</v>
      </c>
      <c r="G440" s="103" t="s">
        <v>71</v>
      </c>
      <c r="H440" s="103" t="s">
        <v>6108</v>
      </c>
      <c r="I440" s="103" t="s">
        <v>272</v>
      </c>
      <c r="J440" s="103" t="s">
        <v>164</v>
      </c>
      <c r="K440" s="103" t="s">
        <v>5697</v>
      </c>
      <c r="L440" s="103"/>
      <c r="M440" s="103"/>
      <c r="N440" s="103"/>
      <c r="O440" s="103" t="s">
        <v>5814</v>
      </c>
      <c r="P440" s="103" t="s">
        <v>5855</v>
      </c>
      <c r="Q440" s="103"/>
      <c r="R440" s="103"/>
      <c r="S440" s="103" t="s">
        <v>5794</v>
      </c>
      <c r="T440" s="103">
        <v>659056</v>
      </c>
      <c r="U440" s="103">
        <v>6.1</v>
      </c>
      <c r="V440" s="103" t="s">
        <v>65</v>
      </c>
      <c r="W440" s="103" t="s">
        <v>310</v>
      </c>
    </row>
    <row r="441" spans="1:23" x14ac:dyDescent="0.45">
      <c r="A441" s="103">
        <f t="shared" si="20"/>
        <v>440</v>
      </c>
      <c r="B441" s="103" t="s">
        <v>6099</v>
      </c>
      <c r="C441" s="103" t="s">
        <v>434</v>
      </c>
      <c r="D441" s="103" t="s">
        <v>330</v>
      </c>
      <c r="E441" s="103" t="s">
        <v>73</v>
      </c>
      <c r="F441" s="103" t="s">
        <v>72</v>
      </c>
      <c r="G441" s="103" t="s">
        <v>71</v>
      </c>
      <c r="H441" s="103" t="s">
        <v>6108</v>
      </c>
      <c r="I441" s="103"/>
      <c r="J441" s="103"/>
      <c r="K441" s="103"/>
      <c r="L441" s="103"/>
      <c r="M441" s="103"/>
      <c r="N441" s="103" t="s">
        <v>6099</v>
      </c>
      <c r="O441" s="103" t="s">
        <v>5819</v>
      </c>
      <c r="P441" s="103"/>
      <c r="Q441" s="103"/>
      <c r="R441" s="103"/>
      <c r="S441" s="103"/>
      <c r="T441" s="103">
        <v>659056</v>
      </c>
      <c r="U441" s="103"/>
      <c r="V441" s="103" t="s">
        <v>65</v>
      </c>
      <c r="W441" s="103" t="s">
        <v>310</v>
      </c>
    </row>
    <row r="442" spans="1:23" x14ac:dyDescent="0.45">
      <c r="A442" s="103">
        <f t="shared" si="20"/>
        <v>441</v>
      </c>
      <c r="B442" s="103" t="s">
        <v>6113</v>
      </c>
      <c r="C442" s="103" t="s">
        <v>6114</v>
      </c>
      <c r="D442" s="103"/>
      <c r="E442" s="103" t="s">
        <v>100</v>
      </c>
      <c r="F442" s="103" t="s">
        <v>77</v>
      </c>
      <c r="G442" s="103" t="s">
        <v>74</v>
      </c>
      <c r="H442" s="103" t="s">
        <v>6116</v>
      </c>
      <c r="I442" s="103" t="s">
        <v>143</v>
      </c>
      <c r="J442" s="103" t="s">
        <v>122</v>
      </c>
      <c r="K442" s="103" t="s">
        <v>5788</v>
      </c>
      <c r="L442" s="103"/>
      <c r="M442" s="103"/>
      <c r="N442" s="103" t="s">
        <v>6113</v>
      </c>
      <c r="O442" s="103" t="s">
        <v>47</v>
      </c>
      <c r="P442" s="103" t="s">
        <v>5904</v>
      </c>
      <c r="Q442" s="103"/>
      <c r="R442" s="103"/>
      <c r="S442" s="103" t="s">
        <v>6087</v>
      </c>
      <c r="T442" s="103">
        <v>330349</v>
      </c>
      <c r="U442" s="103">
        <v>8.5</v>
      </c>
      <c r="V442" s="103" t="s">
        <v>65</v>
      </c>
      <c r="W442" s="103" t="s">
        <v>5776</v>
      </c>
    </row>
    <row r="443" spans="1:23" x14ac:dyDescent="0.45">
      <c r="A443" s="103">
        <f t="shared" si="20"/>
        <v>442</v>
      </c>
      <c r="B443" s="103" t="s">
        <v>6113</v>
      </c>
      <c r="C443" s="103" t="s">
        <v>6114</v>
      </c>
      <c r="D443" s="103"/>
      <c r="E443" s="103" t="s">
        <v>100</v>
      </c>
      <c r="F443" s="103" t="s">
        <v>77</v>
      </c>
      <c r="G443" s="103" t="s">
        <v>74</v>
      </c>
      <c r="H443" s="103" t="s">
        <v>6116</v>
      </c>
      <c r="I443" s="103" t="s">
        <v>143</v>
      </c>
      <c r="J443" s="103" t="s">
        <v>122</v>
      </c>
      <c r="K443" s="103" t="s">
        <v>5788</v>
      </c>
      <c r="L443" s="103"/>
      <c r="M443" s="103"/>
      <c r="N443" s="103" t="s">
        <v>6113</v>
      </c>
      <c r="O443" s="103" t="s">
        <v>5580</v>
      </c>
      <c r="P443" s="103" t="s">
        <v>5853</v>
      </c>
      <c r="Q443" s="103"/>
      <c r="R443" s="103"/>
      <c r="S443" s="103" t="s">
        <v>5883</v>
      </c>
      <c r="T443" s="103">
        <v>330349</v>
      </c>
      <c r="U443" s="103">
        <v>8.4</v>
      </c>
      <c r="V443" s="103" t="s">
        <v>65</v>
      </c>
      <c r="W443" s="103" t="s">
        <v>5776</v>
      </c>
    </row>
    <row r="444" spans="1:23" x14ac:dyDescent="0.45">
      <c r="A444" s="103">
        <f t="shared" si="20"/>
        <v>443</v>
      </c>
      <c r="B444" s="103" t="s">
        <v>6113</v>
      </c>
      <c r="C444" s="103" t="s">
        <v>6114</v>
      </c>
      <c r="D444" s="103"/>
      <c r="E444" s="103" t="s">
        <v>100</v>
      </c>
      <c r="F444" s="103" t="s">
        <v>77</v>
      </c>
      <c r="G444" s="103" t="s">
        <v>74</v>
      </c>
      <c r="H444" s="103" t="s">
        <v>6116</v>
      </c>
      <c r="I444" s="103" t="s">
        <v>143</v>
      </c>
      <c r="J444" s="103" t="s">
        <v>6119</v>
      </c>
      <c r="K444" s="103" t="s">
        <v>6120</v>
      </c>
      <c r="L444" s="103"/>
      <c r="M444" s="103"/>
      <c r="N444" s="103" t="s">
        <v>6113</v>
      </c>
      <c r="O444" s="103" t="s">
        <v>5812</v>
      </c>
      <c r="P444" s="103" t="s">
        <v>5832</v>
      </c>
      <c r="Q444" s="103"/>
      <c r="R444" s="103"/>
      <c r="S444" s="103" t="s">
        <v>6121</v>
      </c>
      <c r="T444" s="103">
        <v>330349</v>
      </c>
      <c r="U444" s="103">
        <v>8.4</v>
      </c>
      <c r="V444" s="103" t="s">
        <v>65</v>
      </c>
      <c r="W444" s="103" t="s">
        <v>5776</v>
      </c>
    </row>
    <row r="445" spans="1:23" x14ac:dyDescent="0.45">
      <c r="A445" s="103">
        <f t="shared" si="20"/>
        <v>444</v>
      </c>
      <c r="B445" s="103" t="s">
        <v>6113</v>
      </c>
      <c r="C445" s="103" t="s">
        <v>6114</v>
      </c>
      <c r="D445" s="103"/>
      <c r="E445" s="103" t="s">
        <v>100</v>
      </c>
      <c r="F445" s="103" t="s">
        <v>77</v>
      </c>
      <c r="G445" s="103" t="s">
        <v>74</v>
      </c>
      <c r="H445" s="103" t="s">
        <v>6116</v>
      </c>
      <c r="I445" s="103"/>
      <c r="J445" s="103" t="s">
        <v>6119</v>
      </c>
      <c r="K445" s="103" t="s">
        <v>6120</v>
      </c>
      <c r="L445" s="103"/>
      <c r="M445" s="103"/>
      <c r="N445" s="103" t="s">
        <v>6113</v>
      </c>
      <c r="O445" s="103" t="s">
        <v>5581</v>
      </c>
      <c r="P445" s="103" t="s">
        <v>6122</v>
      </c>
      <c r="Q445" s="103"/>
      <c r="R445" s="103"/>
      <c r="S445" s="103" t="s">
        <v>5843</v>
      </c>
      <c r="T445" s="103">
        <v>330349</v>
      </c>
      <c r="U445" s="103" t="s">
        <v>5796</v>
      </c>
      <c r="V445" s="103" t="s">
        <v>65</v>
      </c>
      <c r="W445" s="103" t="s">
        <v>5776</v>
      </c>
    </row>
    <row r="446" spans="1:23" x14ac:dyDescent="0.45">
      <c r="A446" s="103">
        <f t="shared" si="20"/>
        <v>445</v>
      </c>
      <c r="B446" s="103" t="s">
        <v>6113</v>
      </c>
      <c r="C446" s="103" t="s">
        <v>6114</v>
      </c>
      <c r="D446" s="103"/>
      <c r="E446" s="103" t="s">
        <v>100</v>
      </c>
      <c r="F446" s="103" t="s">
        <v>77</v>
      </c>
      <c r="G446" s="103" t="s">
        <v>74</v>
      </c>
      <c r="H446" s="103" t="s">
        <v>6116</v>
      </c>
      <c r="I446" s="103" t="s">
        <v>143</v>
      </c>
      <c r="J446" s="103" t="s">
        <v>6119</v>
      </c>
      <c r="K446" s="103" t="s">
        <v>6120</v>
      </c>
      <c r="L446" s="103"/>
      <c r="M446" s="103"/>
      <c r="N446" s="103" t="s">
        <v>6113</v>
      </c>
      <c r="O446" s="103" t="s">
        <v>5813</v>
      </c>
      <c r="P446" s="103">
        <v>11</v>
      </c>
      <c r="Q446" s="103"/>
      <c r="R446" s="103"/>
      <c r="S446" s="103" t="s">
        <v>6123</v>
      </c>
      <c r="T446" s="103">
        <v>330349</v>
      </c>
      <c r="U446" s="103" t="s">
        <v>5796</v>
      </c>
      <c r="V446" s="103" t="s">
        <v>65</v>
      </c>
      <c r="W446" s="103" t="s">
        <v>5776</v>
      </c>
    </row>
    <row r="447" spans="1:23" x14ac:dyDescent="0.45">
      <c r="A447" s="103">
        <f t="shared" si="20"/>
        <v>446</v>
      </c>
      <c r="B447" s="103" t="s">
        <v>6113</v>
      </c>
      <c r="C447" s="103" t="s">
        <v>6114</v>
      </c>
      <c r="D447" s="103"/>
      <c r="E447" s="103" t="s">
        <v>100</v>
      </c>
      <c r="F447" s="103" t="s">
        <v>77</v>
      </c>
      <c r="G447" s="103" t="s">
        <v>74</v>
      </c>
      <c r="H447" s="103" t="s">
        <v>6116</v>
      </c>
      <c r="I447" s="103" t="s">
        <v>143</v>
      </c>
      <c r="J447" s="103" t="s">
        <v>122</v>
      </c>
      <c r="K447" s="103" t="s">
        <v>194</v>
      </c>
      <c r="L447" s="103" t="s">
        <v>6124</v>
      </c>
      <c r="M447" s="103"/>
      <c r="N447" s="103" t="s">
        <v>6113</v>
      </c>
      <c r="O447" s="103" t="s">
        <v>5815</v>
      </c>
      <c r="P447" s="103"/>
      <c r="Q447" s="103"/>
      <c r="R447" s="103"/>
      <c r="S447" s="103">
        <v>16</v>
      </c>
      <c r="T447" s="103">
        <v>330349</v>
      </c>
      <c r="U447" s="103">
        <v>8.5</v>
      </c>
      <c r="V447" s="103" t="s">
        <v>65</v>
      </c>
      <c r="W447" s="103" t="s">
        <v>5776</v>
      </c>
    </row>
    <row r="448" spans="1:23" x14ac:dyDescent="0.45">
      <c r="A448" s="103">
        <f t="shared" si="20"/>
        <v>447</v>
      </c>
      <c r="B448" s="103" t="s">
        <v>6113</v>
      </c>
      <c r="C448" s="103" t="s">
        <v>6114</v>
      </c>
      <c r="D448" s="103"/>
      <c r="E448" s="103" t="s">
        <v>100</v>
      </c>
      <c r="F448" s="103" t="s">
        <v>77</v>
      </c>
      <c r="G448" s="103" t="s">
        <v>74</v>
      </c>
      <c r="H448" s="103" t="s">
        <v>6116</v>
      </c>
      <c r="I448" s="103" t="s">
        <v>143</v>
      </c>
      <c r="J448" s="103" t="s">
        <v>105</v>
      </c>
      <c r="K448" s="103" t="s">
        <v>125</v>
      </c>
      <c r="L448" s="103"/>
      <c r="M448" s="103"/>
      <c r="N448" s="103" t="s">
        <v>6113</v>
      </c>
      <c r="O448" s="103" t="s">
        <v>5816</v>
      </c>
      <c r="P448" s="103" t="s">
        <v>5833</v>
      </c>
      <c r="Q448" s="103"/>
      <c r="R448" s="103"/>
      <c r="S448" s="103" t="s">
        <v>5844</v>
      </c>
      <c r="T448" s="103">
        <v>330349</v>
      </c>
      <c r="U448" s="103" t="s">
        <v>5796</v>
      </c>
      <c r="V448" s="103" t="s">
        <v>65</v>
      </c>
      <c r="W448" s="103" t="s">
        <v>5776</v>
      </c>
    </row>
    <row r="449" spans="1:23" x14ac:dyDescent="0.45">
      <c r="A449" s="103">
        <f t="shared" si="20"/>
        <v>448</v>
      </c>
      <c r="B449" s="103" t="s">
        <v>6113</v>
      </c>
      <c r="C449" s="103" t="s">
        <v>6114</v>
      </c>
      <c r="D449" s="103"/>
      <c r="E449" s="103" t="s">
        <v>100</v>
      </c>
      <c r="F449" s="103" t="s">
        <v>77</v>
      </c>
      <c r="G449" s="103" t="s">
        <v>74</v>
      </c>
      <c r="H449" s="103" t="s">
        <v>6116</v>
      </c>
      <c r="I449" s="103" t="s">
        <v>143</v>
      </c>
      <c r="J449" s="103" t="s">
        <v>122</v>
      </c>
      <c r="K449" s="103" t="s">
        <v>194</v>
      </c>
      <c r="L449" s="103" t="s">
        <v>6125</v>
      </c>
      <c r="M449" s="103"/>
      <c r="N449" s="103" t="s">
        <v>6113</v>
      </c>
      <c r="O449" s="103" t="s">
        <v>5817</v>
      </c>
      <c r="P449" s="103">
        <v>16</v>
      </c>
      <c r="Q449" s="103"/>
      <c r="R449" s="103"/>
      <c r="S449" s="103">
        <v>16</v>
      </c>
      <c r="T449" s="103">
        <v>330349</v>
      </c>
      <c r="U449" s="103">
        <v>8.5</v>
      </c>
      <c r="V449" s="103" t="s">
        <v>65</v>
      </c>
      <c r="W449" s="103" t="s">
        <v>5776</v>
      </c>
    </row>
    <row r="450" spans="1:23" x14ac:dyDescent="0.45">
      <c r="A450" s="103">
        <f t="shared" si="20"/>
        <v>449</v>
      </c>
      <c r="B450" s="103" t="s">
        <v>6113</v>
      </c>
      <c r="C450" s="103" t="s">
        <v>6114</v>
      </c>
      <c r="D450" s="103"/>
      <c r="E450" s="103" t="s">
        <v>100</v>
      </c>
      <c r="F450" s="103" t="s">
        <v>77</v>
      </c>
      <c r="G450" s="103" t="s">
        <v>74</v>
      </c>
      <c r="H450" s="103" t="s">
        <v>6116</v>
      </c>
      <c r="I450" s="103" t="s">
        <v>143</v>
      </c>
      <c r="J450" s="103" t="s">
        <v>122</v>
      </c>
      <c r="K450" s="103" t="s">
        <v>194</v>
      </c>
      <c r="L450" s="103" t="s">
        <v>6126</v>
      </c>
      <c r="M450" s="103"/>
      <c r="N450" s="103" t="s">
        <v>6113</v>
      </c>
      <c r="O450" s="103" t="s">
        <v>5818</v>
      </c>
      <c r="P450" s="103">
        <v>16</v>
      </c>
      <c r="Q450" s="103"/>
      <c r="R450" s="103"/>
      <c r="S450" s="103">
        <v>16</v>
      </c>
      <c r="T450" s="103">
        <v>330349</v>
      </c>
      <c r="U450" s="103">
        <v>8.5</v>
      </c>
      <c r="V450" s="103" t="s">
        <v>65</v>
      </c>
      <c r="W450" s="103" t="s">
        <v>5776</v>
      </c>
    </row>
    <row r="451" spans="1:23" x14ac:dyDescent="0.45">
      <c r="A451" s="103">
        <f t="shared" ref="A451:A470" si="21">ROW()-1</f>
        <v>450</v>
      </c>
      <c r="B451" s="103" t="s">
        <v>6113</v>
      </c>
      <c r="C451" s="103" t="s">
        <v>5876</v>
      </c>
      <c r="D451" s="103"/>
      <c r="E451" s="103" t="s">
        <v>100</v>
      </c>
      <c r="F451" s="103" t="s">
        <v>77</v>
      </c>
      <c r="G451" s="103" t="s">
        <v>88</v>
      </c>
      <c r="H451" s="103" t="s">
        <v>6128</v>
      </c>
      <c r="I451" s="103" t="s">
        <v>143</v>
      </c>
      <c r="J451" s="103" t="s">
        <v>217</v>
      </c>
      <c r="K451" s="103" t="s">
        <v>5881</v>
      </c>
      <c r="L451" s="103"/>
      <c r="M451" s="103"/>
      <c r="N451" s="103" t="s">
        <v>6113</v>
      </c>
      <c r="O451" s="103" t="s">
        <v>47</v>
      </c>
      <c r="P451" s="103" t="s">
        <v>6131</v>
      </c>
      <c r="Q451" s="103"/>
      <c r="R451" s="103"/>
      <c r="S451" s="103" t="s">
        <v>6011</v>
      </c>
      <c r="T451" s="103">
        <v>537896</v>
      </c>
      <c r="U451" s="103">
        <v>8.4</v>
      </c>
      <c r="V451" s="103" t="s">
        <v>65</v>
      </c>
      <c r="W451" s="103" t="s">
        <v>310</v>
      </c>
    </row>
    <row r="452" spans="1:23" x14ac:dyDescent="0.45">
      <c r="A452" s="103">
        <f t="shared" si="21"/>
        <v>451</v>
      </c>
      <c r="B452" s="103" t="s">
        <v>6113</v>
      </c>
      <c r="C452" s="103" t="s">
        <v>5876</v>
      </c>
      <c r="D452" s="103"/>
      <c r="E452" s="103" t="s">
        <v>100</v>
      </c>
      <c r="F452" s="103" t="s">
        <v>77</v>
      </c>
      <c r="G452" s="103" t="s">
        <v>88</v>
      </c>
      <c r="H452" s="103" t="s">
        <v>6128</v>
      </c>
      <c r="I452" s="103" t="s">
        <v>143</v>
      </c>
      <c r="J452" s="103" t="s">
        <v>217</v>
      </c>
      <c r="K452" s="103" t="s">
        <v>5881</v>
      </c>
      <c r="L452" s="103"/>
      <c r="M452" s="103"/>
      <c r="N452" s="103" t="s">
        <v>6113</v>
      </c>
      <c r="O452" s="103" t="s">
        <v>5580</v>
      </c>
      <c r="P452" s="103">
        <v>14</v>
      </c>
      <c r="Q452" s="103"/>
      <c r="R452" s="103"/>
      <c r="S452" s="103" t="s">
        <v>5985</v>
      </c>
      <c r="T452" s="103">
        <v>537896</v>
      </c>
      <c r="U452" s="103">
        <v>8.4</v>
      </c>
      <c r="V452" s="103" t="s">
        <v>65</v>
      </c>
      <c r="W452" s="103" t="s">
        <v>310</v>
      </c>
    </row>
    <row r="453" spans="1:23" x14ac:dyDescent="0.45">
      <c r="A453" s="103">
        <f t="shared" si="21"/>
        <v>452</v>
      </c>
      <c r="B453" s="103" t="s">
        <v>6113</v>
      </c>
      <c r="C453" s="103" t="s">
        <v>5876</v>
      </c>
      <c r="D453" s="103"/>
      <c r="E453" s="103" t="s">
        <v>100</v>
      </c>
      <c r="F453" s="103" t="s">
        <v>77</v>
      </c>
      <c r="G453" s="103" t="s">
        <v>88</v>
      </c>
      <c r="H453" s="103" t="s">
        <v>6128</v>
      </c>
      <c r="I453" s="103" t="s">
        <v>143</v>
      </c>
      <c r="J453" s="103" t="s">
        <v>217</v>
      </c>
      <c r="K453" s="103" t="s">
        <v>5882</v>
      </c>
      <c r="L453" s="103"/>
      <c r="M453" s="103"/>
      <c r="N453" s="103" t="s">
        <v>6113</v>
      </c>
      <c r="O453" s="103" t="s">
        <v>5812</v>
      </c>
      <c r="P453" s="103" t="s">
        <v>5884</v>
      </c>
      <c r="Q453" s="103"/>
      <c r="R453" s="103"/>
      <c r="S453" s="103">
        <v>19</v>
      </c>
      <c r="T453" s="103">
        <v>537896</v>
      </c>
      <c r="U453" s="103">
        <v>8.5</v>
      </c>
      <c r="V453" s="103" t="s">
        <v>65</v>
      </c>
      <c r="W453" s="103" t="s">
        <v>310</v>
      </c>
    </row>
    <row r="454" spans="1:23" x14ac:dyDescent="0.45">
      <c r="A454" s="103">
        <f t="shared" si="21"/>
        <v>453</v>
      </c>
      <c r="B454" s="103" t="s">
        <v>6113</v>
      </c>
      <c r="C454" s="103" t="s">
        <v>5876</v>
      </c>
      <c r="D454" s="103"/>
      <c r="E454" s="103" t="s">
        <v>100</v>
      </c>
      <c r="F454" s="103" t="s">
        <v>77</v>
      </c>
      <c r="G454" s="103" t="s">
        <v>88</v>
      </c>
      <c r="H454" s="103" t="s">
        <v>6128</v>
      </c>
      <c r="I454" s="103"/>
      <c r="J454" s="103" t="s">
        <v>217</v>
      </c>
      <c r="K454" s="103" t="s">
        <v>5882</v>
      </c>
      <c r="L454" s="103"/>
      <c r="M454" s="103"/>
      <c r="N454" s="103" t="s">
        <v>6113</v>
      </c>
      <c r="O454" s="103" t="s">
        <v>5581</v>
      </c>
      <c r="P454" s="103">
        <v>19</v>
      </c>
      <c r="Q454" s="103"/>
      <c r="R454" s="103"/>
      <c r="S454" s="103" t="s">
        <v>6132</v>
      </c>
      <c r="T454" s="103">
        <v>537896</v>
      </c>
      <c r="U454" s="103" t="s">
        <v>5796</v>
      </c>
      <c r="V454" s="103" t="s">
        <v>65</v>
      </c>
      <c r="W454" s="103" t="s">
        <v>310</v>
      </c>
    </row>
    <row r="455" spans="1:23" x14ac:dyDescent="0.45">
      <c r="A455" s="103">
        <f t="shared" si="21"/>
        <v>454</v>
      </c>
      <c r="B455" s="103" t="s">
        <v>6113</v>
      </c>
      <c r="C455" s="103" t="s">
        <v>5876</v>
      </c>
      <c r="D455" s="103"/>
      <c r="E455" s="103" t="s">
        <v>100</v>
      </c>
      <c r="F455" s="103" t="s">
        <v>77</v>
      </c>
      <c r="G455" s="103" t="s">
        <v>88</v>
      </c>
      <c r="H455" s="103" t="s">
        <v>6128</v>
      </c>
      <c r="I455" s="103" t="s">
        <v>143</v>
      </c>
      <c r="J455" s="103" t="s">
        <v>217</v>
      </c>
      <c r="K455" s="103" t="s">
        <v>5882</v>
      </c>
      <c r="L455" s="103"/>
      <c r="M455" s="103"/>
      <c r="N455" s="103" t="s">
        <v>6113</v>
      </c>
      <c r="O455" s="103" t="s">
        <v>5813</v>
      </c>
      <c r="P455" s="103" t="s">
        <v>6133</v>
      </c>
      <c r="Q455" s="103"/>
      <c r="R455" s="103"/>
      <c r="S455" s="103">
        <v>18</v>
      </c>
      <c r="T455" s="103">
        <v>537896</v>
      </c>
      <c r="U455" s="103" t="s">
        <v>5796</v>
      </c>
      <c r="V455" s="103" t="s">
        <v>65</v>
      </c>
      <c r="W455" s="103" t="s">
        <v>310</v>
      </c>
    </row>
    <row r="456" spans="1:23" x14ac:dyDescent="0.45">
      <c r="A456" s="103">
        <f t="shared" si="21"/>
        <v>455</v>
      </c>
      <c r="B456" s="103" t="s">
        <v>6113</v>
      </c>
      <c r="C456" s="103" t="s">
        <v>5876</v>
      </c>
      <c r="D456" s="103"/>
      <c r="E456" s="103" t="s">
        <v>100</v>
      </c>
      <c r="F456" s="103" t="s">
        <v>77</v>
      </c>
      <c r="G456" s="103" t="s">
        <v>88</v>
      </c>
      <c r="H456" s="103" t="s">
        <v>6128</v>
      </c>
      <c r="I456" s="103" t="s">
        <v>143</v>
      </c>
      <c r="J456" s="103" t="s">
        <v>217</v>
      </c>
      <c r="K456" s="103" t="s">
        <v>5882</v>
      </c>
      <c r="L456" s="103"/>
      <c r="M456" s="103"/>
      <c r="N456" s="103"/>
      <c r="O456" s="103" t="s">
        <v>5814</v>
      </c>
      <c r="P456" s="103">
        <v>18</v>
      </c>
      <c r="Q456" s="103"/>
      <c r="R456" s="103"/>
      <c r="S456" s="103" t="s">
        <v>6048</v>
      </c>
      <c r="T456" s="103">
        <v>537896</v>
      </c>
      <c r="U456" s="103">
        <v>8.5</v>
      </c>
      <c r="V456" s="103" t="s">
        <v>65</v>
      </c>
      <c r="W456" s="103" t="s">
        <v>310</v>
      </c>
    </row>
    <row r="457" spans="1:23" x14ac:dyDescent="0.45">
      <c r="A457" s="103">
        <f t="shared" si="21"/>
        <v>456</v>
      </c>
      <c r="B457" s="103" t="s">
        <v>6113</v>
      </c>
      <c r="C457" s="103" t="s">
        <v>5876</v>
      </c>
      <c r="D457" s="103"/>
      <c r="E457" s="103" t="s">
        <v>100</v>
      </c>
      <c r="F457" s="103" t="s">
        <v>77</v>
      </c>
      <c r="G457" s="103" t="s">
        <v>88</v>
      </c>
      <c r="H457" s="103" t="s">
        <v>6128</v>
      </c>
      <c r="I457" s="103" t="s">
        <v>143</v>
      </c>
      <c r="J457" s="103" t="s">
        <v>105</v>
      </c>
      <c r="K457" s="103" t="s">
        <v>6134</v>
      </c>
      <c r="L457" s="103"/>
      <c r="M457" s="103"/>
      <c r="N457" s="103" t="s">
        <v>6113</v>
      </c>
      <c r="O457" s="103" t="s">
        <v>5815</v>
      </c>
      <c r="P457" s="103"/>
      <c r="Q457" s="103"/>
      <c r="R457" s="103"/>
      <c r="S457" s="103" t="s">
        <v>5902</v>
      </c>
      <c r="T457" s="103">
        <v>537896</v>
      </c>
      <c r="U457" s="103">
        <v>8.4</v>
      </c>
      <c r="V457" s="103" t="s">
        <v>65</v>
      </c>
      <c r="W457" s="103" t="s">
        <v>310</v>
      </c>
    </row>
    <row r="458" spans="1:23" x14ac:dyDescent="0.45">
      <c r="A458" s="103">
        <f t="shared" si="21"/>
        <v>457</v>
      </c>
      <c r="B458" s="103" t="s">
        <v>6113</v>
      </c>
      <c r="C458" s="103" t="s">
        <v>5876</v>
      </c>
      <c r="D458" s="103"/>
      <c r="E458" s="103" t="s">
        <v>100</v>
      </c>
      <c r="F458" s="103" t="s">
        <v>77</v>
      </c>
      <c r="G458" s="103" t="s">
        <v>88</v>
      </c>
      <c r="H458" s="103" t="s">
        <v>6128</v>
      </c>
      <c r="I458" s="103" t="s">
        <v>143</v>
      </c>
      <c r="J458" s="103" t="s">
        <v>105</v>
      </c>
      <c r="K458" s="103" t="s">
        <v>6134</v>
      </c>
      <c r="L458" s="103"/>
      <c r="M458" s="103"/>
      <c r="N458" s="103" t="s">
        <v>6113</v>
      </c>
      <c r="O458" s="103" t="s">
        <v>5816</v>
      </c>
      <c r="P458" s="103">
        <v>9</v>
      </c>
      <c r="Q458" s="103"/>
      <c r="R458" s="103"/>
      <c r="S458" s="103" t="s">
        <v>5915</v>
      </c>
      <c r="T458" s="103">
        <v>537896</v>
      </c>
      <c r="U458" s="103" t="s">
        <v>5796</v>
      </c>
      <c r="V458" s="103" t="s">
        <v>65</v>
      </c>
      <c r="W458" s="103" t="s">
        <v>310</v>
      </c>
    </row>
    <row r="459" spans="1:23" x14ac:dyDescent="0.45">
      <c r="A459" s="103">
        <f t="shared" si="21"/>
        <v>458</v>
      </c>
      <c r="B459" s="103" t="s">
        <v>6113</v>
      </c>
      <c r="C459" s="103" t="s">
        <v>5876</v>
      </c>
      <c r="D459" s="103"/>
      <c r="E459" s="103" t="s">
        <v>100</v>
      </c>
      <c r="F459" s="103" t="s">
        <v>77</v>
      </c>
      <c r="G459" s="103" t="s">
        <v>88</v>
      </c>
      <c r="H459" s="103" t="s">
        <v>6128</v>
      </c>
      <c r="I459" s="103" t="s">
        <v>143</v>
      </c>
      <c r="J459" s="103" t="s">
        <v>105</v>
      </c>
      <c r="K459" s="103" t="s">
        <v>6134</v>
      </c>
      <c r="L459" s="103"/>
      <c r="M459" s="103"/>
      <c r="N459" s="103" t="s">
        <v>6113</v>
      </c>
      <c r="O459" s="103" t="s">
        <v>5817</v>
      </c>
      <c r="P459" s="103" t="s">
        <v>5797</v>
      </c>
      <c r="Q459" s="103"/>
      <c r="R459" s="103"/>
      <c r="S459" s="103" t="s">
        <v>5871</v>
      </c>
      <c r="T459" s="103">
        <v>537896</v>
      </c>
      <c r="U459" s="103" t="s">
        <v>5796</v>
      </c>
      <c r="V459" s="103" t="s">
        <v>65</v>
      </c>
      <c r="W459" s="103" t="s">
        <v>310</v>
      </c>
    </row>
    <row r="460" spans="1:23" x14ac:dyDescent="0.45">
      <c r="A460" s="103">
        <f t="shared" si="21"/>
        <v>459</v>
      </c>
      <c r="B460" s="103" t="s">
        <v>6113</v>
      </c>
      <c r="C460" s="103" t="s">
        <v>5876</v>
      </c>
      <c r="D460" s="103"/>
      <c r="E460" s="103" t="s">
        <v>100</v>
      </c>
      <c r="F460" s="103" t="s">
        <v>77</v>
      </c>
      <c r="G460" s="103" t="s">
        <v>88</v>
      </c>
      <c r="H460" s="103" t="s">
        <v>6128</v>
      </c>
      <c r="I460" s="103" t="s">
        <v>143</v>
      </c>
      <c r="J460" s="103" t="s">
        <v>105</v>
      </c>
      <c r="K460" s="103" t="s">
        <v>6134</v>
      </c>
      <c r="L460" s="103"/>
      <c r="M460" s="103"/>
      <c r="N460" s="103" t="s">
        <v>6113</v>
      </c>
      <c r="O460" s="103" t="s">
        <v>5818</v>
      </c>
      <c r="P460" s="103" t="s">
        <v>5946</v>
      </c>
      <c r="Q460" s="103"/>
      <c r="R460" s="103"/>
      <c r="S460" s="103" t="s">
        <v>5854</v>
      </c>
      <c r="T460" s="103">
        <v>537896</v>
      </c>
      <c r="U460" s="103">
        <v>8.4</v>
      </c>
      <c r="V460" s="103" t="s">
        <v>65</v>
      </c>
      <c r="W460" s="103" t="s">
        <v>310</v>
      </c>
    </row>
    <row r="461" spans="1:23" x14ac:dyDescent="0.45">
      <c r="A461" s="103">
        <f t="shared" si="21"/>
        <v>460</v>
      </c>
      <c r="B461" s="103" t="s">
        <v>6113</v>
      </c>
      <c r="C461" s="103" t="s">
        <v>5876</v>
      </c>
      <c r="D461" s="103"/>
      <c r="E461" s="103" t="s">
        <v>100</v>
      </c>
      <c r="F461" s="103" t="s">
        <v>77</v>
      </c>
      <c r="G461" s="103" t="s">
        <v>88</v>
      </c>
      <c r="H461" s="103" t="s">
        <v>6128</v>
      </c>
      <c r="I461" s="103" t="s">
        <v>143</v>
      </c>
      <c r="J461" s="103" t="s">
        <v>142</v>
      </c>
      <c r="K461" s="103" t="s">
        <v>6008</v>
      </c>
      <c r="L461" s="103">
        <v>3002224830</v>
      </c>
      <c r="M461" s="103"/>
      <c r="N461" s="103" t="s">
        <v>6113</v>
      </c>
      <c r="O461" s="103" t="s">
        <v>5819</v>
      </c>
      <c r="P461" s="103">
        <v>15</v>
      </c>
      <c r="Q461" s="103"/>
      <c r="R461" s="103"/>
      <c r="S461" s="103">
        <v>15</v>
      </c>
      <c r="T461" s="103">
        <v>537896</v>
      </c>
      <c r="U461" s="103">
        <v>8.5</v>
      </c>
      <c r="V461" s="103" t="s">
        <v>65</v>
      </c>
      <c r="W461" s="103" t="s">
        <v>310</v>
      </c>
    </row>
    <row r="462" spans="1:23" x14ac:dyDescent="0.45">
      <c r="A462" s="103">
        <f t="shared" si="21"/>
        <v>461</v>
      </c>
      <c r="B462" s="103" t="s">
        <v>6113</v>
      </c>
      <c r="C462" s="103" t="s">
        <v>5876</v>
      </c>
      <c r="D462" s="103"/>
      <c r="E462" s="103" t="s">
        <v>100</v>
      </c>
      <c r="F462" s="103" t="s">
        <v>77</v>
      </c>
      <c r="G462" s="103" t="s">
        <v>88</v>
      </c>
      <c r="H462" s="103" t="s">
        <v>6128</v>
      </c>
      <c r="I462" s="103" t="s">
        <v>143</v>
      </c>
      <c r="J462" s="103" t="s">
        <v>142</v>
      </c>
      <c r="K462" s="103" t="s">
        <v>6008</v>
      </c>
      <c r="L462" s="103">
        <v>3002229655</v>
      </c>
      <c r="M462" s="103"/>
      <c r="N462" s="103" t="s">
        <v>6113</v>
      </c>
      <c r="O462" s="103" t="s">
        <v>5820</v>
      </c>
      <c r="P462" s="103">
        <v>15</v>
      </c>
      <c r="Q462" s="103"/>
      <c r="R462" s="103"/>
      <c r="S462" s="103">
        <v>15</v>
      </c>
      <c r="T462" s="103">
        <v>537896</v>
      </c>
      <c r="U462" s="103">
        <v>8.5</v>
      </c>
      <c r="V462" s="103" t="s">
        <v>65</v>
      </c>
      <c r="W462" s="103" t="s">
        <v>310</v>
      </c>
    </row>
    <row r="463" spans="1:23" x14ac:dyDescent="0.45">
      <c r="A463" s="103">
        <f t="shared" si="21"/>
        <v>462</v>
      </c>
      <c r="B463" s="103" t="s">
        <v>6113</v>
      </c>
      <c r="C463" s="103" t="s">
        <v>5876</v>
      </c>
      <c r="D463" s="103"/>
      <c r="E463" s="103" t="s">
        <v>100</v>
      </c>
      <c r="F463" s="103" t="s">
        <v>77</v>
      </c>
      <c r="G463" s="103" t="s">
        <v>88</v>
      </c>
      <c r="H463" s="103" t="s">
        <v>6128</v>
      </c>
      <c r="I463" s="103" t="s">
        <v>143</v>
      </c>
      <c r="J463" s="103" t="s">
        <v>142</v>
      </c>
      <c r="K463" s="103" t="s">
        <v>6008</v>
      </c>
      <c r="L463" s="103">
        <v>3002220622</v>
      </c>
      <c r="M463" s="103"/>
      <c r="N463" s="103" t="s">
        <v>6113</v>
      </c>
      <c r="O463" s="103" t="s">
        <v>5821</v>
      </c>
      <c r="P463" s="103">
        <v>15</v>
      </c>
      <c r="Q463" s="103"/>
      <c r="R463" s="103"/>
      <c r="S463" s="103">
        <v>15</v>
      </c>
      <c r="T463" s="103">
        <v>537896</v>
      </c>
      <c r="U463" s="103">
        <v>8.5</v>
      </c>
      <c r="V463" s="103" t="s">
        <v>65</v>
      </c>
      <c r="W463" s="103" t="s">
        <v>310</v>
      </c>
    </row>
    <row r="464" spans="1:23" x14ac:dyDescent="0.45">
      <c r="A464" s="103">
        <f t="shared" si="21"/>
        <v>463</v>
      </c>
      <c r="B464" s="103" t="s">
        <v>6113</v>
      </c>
      <c r="C464" s="103" t="s">
        <v>5876</v>
      </c>
      <c r="D464" s="103"/>
      <c r="E464" s="103" t="s">
        <v>100</v>
      </c>
      <c r="F464" s="103" t="s">
        <v>77</v>
      </c>
      <c r="G464" s="103" t="s">
        <v>88</v>
      </c>
      <c r="H464" s="103" t="s">
        <v>6128</v>
      </c>
      <c r="I464" s="103" t="s">
        <v>143</v>
      </c>
      <c r="J464" s="103" t="s">
        <v>142</v>
      </c>
      <c r="K464" s="103" t="s">
        <v>6008</v>
      </c>
      <c r="L464" s="103">
        <v>1006159237</v>
      </c>
      <c r="M464" s="103"/>
      <c r="N464" s="103" t="s">
        <v>6113</v>
      </c>
      <c r="O464" s="103" t="s">
        <v>5822</v>
      </c>
      <c r="P464" s="103">
        <v>15</v>
      </c>
      <c r="Q464" s="103"/>
      <c r="R464" s="103"/>
      <c r="S464" s="103">
        <v>15</v>
      </c>
      <c r="T464" s="103">
        <v>537896</v>
      </c>
      <c r="U464" s="103">
        <v>8.5</v>
      </c>
      <c r="V464" s="103" t="s">
        <v>65</v>
      </c>
      <c r="W464" s="103" t="s">
        <v>310</v>
      </c>
    </row>
    <row r="465" spans="1:23" x14ac:dyDescent="0.45">
      <c r="A465" s="103">
        <f t="shared" si="21"/>
        <v>464</v>
      </c>
      <c r="B465" s="103" t="s">
        <v>6113</v>
      </c>
      <c r="C465" s="103" t="s">
        <v>3330</v>
      </c>
      <c r="D465" s="103" t="s">
        <v>330</v>
      </c>
      <c r="E465" s="103" t="s">
        <v>73</v>
      </c>
      <c r="F465" s="103" t="s">
        <v>72</v>
      </c>
      <c r="G465" s="103" t="s">
        <v>71</v>
      </c>
      <c r="H465" s="103" t="s">
        <v>6136</v>
      </c>
      <c r="I465" s="103" t="s">
        <v>272</v>
      </c>
      <c r="J465" s="103" t="s">
        <v>178</v>
      </c>
      <c r="K465" s="103" t="s">
        <v>6139</v>
      </c>
      <c r="L465" s="103"/>
      <c r="M465" s="103"/>
      <c r="N465" s="103" t="s">
        <v>6113</v>
      </c>
      <c r="O465" s="103" t="s">
        <v>47</v>
      </c>
      <c r="P465" s="103" t="s">
        <v>5852</v>
      </c>
      <c r="Q465" s="103"/>
      <c r="R465" s="103"/>
      <c r="S465" s="103" t="s">
        <v>5856</v>
      </c>
      <c r="T465" s="103">
        <v>565649</v>
      </c>
      <c r="U465" s="103">
        <v>6.1</v>
      </c>
      <c r="V465" s="103" t="s">
        <v>65</v>
      </c>
      <c r="W465" s="103" t="s">
        <v>310</v>
      </c>
    </row>
    <row r="466" spans="1:23" x14ac:dyDescent="0.45">
      <c r="A466" s="103">
        <f t="shared" si="21"/>
        <v>465</v>
      </c>
      <c r="B466" s="103" t="s">
        <v>6113</v>
      </c>
      <c r="C466" s="103" t="s">
        <v>3330</v>
      </c>
      <c r="D466" s="103" t="s">
        <v>330</v>
      </c>
      <c r="E466" s="103" t="s">
        <v>73</v>
      </c>
      <c r="F466" s="103" t="s">
        <v>72</v>
      </c>
      <c r="G466" s="103" t="s">
        <v>71</v>
      </c>
      <c r="H466" s="103" t="s">
        <v>6136</v>
      </c>
      <c r="I466" s="103" t="s">
        <v>272</v>
      </c>
      <c r="J466" s="103" t="s">
        <v>178</v>
      </c>
      <c r="K466" s="103" t="s">
        <v>6139</v>
      </c>
      <c r="L466" s="103"/>
      <c r="M466" s="103"/>
      <c r="N466" s="103" t="s">
        <v>6113</v>
      </c>
      <c r="O466" s="103" t="s">
        <v>5580</v>
      </c>
      <c r="P466" s="103" t="s">
        <v>5852</v>
      </c>
      <c r="Q466" s="103"/>
      <c r="R466" s="103"/>
      <c r="S466" s="103" t="s">
        <v>5923</v>
      </c>
      <c r="T466" s="103">
        <v>565649</v>
      </c>
      <c r="U466" s="103">
        <v>3.1</v>
      </c>
      <c r="V466" s="103" t="s">
        <v>65</v>
      </c>
      <c r="W466" s="103" t="s">
        <v>310</v>
      </c>
    </row>
    <row r="467" spans="1:23" x14ac:dyDescent="0.45">
      <c r="A467" s="103">
        <f t="shared" si="21"/>
        <v>466</v>
      </c>
      <c r="B467" s="103" t="s">
        <v>6113</v>
      </c>
      <c r="C467" s="103" t="s">
        <v>3330</v>
      </c>
      <c r="D467" s="103" t="s">
        <v>330</v>
      </c>
      <c r="E467" s="103" t="s">
        <v>73</v>
      </c>
      <c r="F467" s="103" t="s">
        <v>72</v>
      </c>
      <c r="G467" s="103" t="s">
        <v>71</v>
      </c>
      <c r="H467" s="103" t="s">
        <v>6136</v>
      </c>
      <c r="I467" s="103"/>
      <c r="J467" s="103" t="s">
        <v>178</v>
      </c>
      <c r="K467" s="103" t="s">
        <v>6139</v>
      </c>
      <c r="L467" s="103"/>
      <c r="M467" s="103"/>
      <c r="N467" s="103" t="s">
        <v>6113</v>
      </c>
      <c r="O467" s="103" t="s">
        <v>5581</v>
      </c>
      <c r="P467" s="103" t="s">
        <v>6086</v>
      </c>
      <c r="Q467" s="103"/>
      <c r="R467" s="103"/>
      <c r="S467" s="103" t="s">
        <v>5856</v>
      </c>
      <c r="T467" s="103">
        <v>565649</v>
      </c>
      <c r="U467" s="103" t="s">
        <v>5796</v>
      </c>
      <c r="V467" s="103" t="s">
        <v>65</v>
      </c>
      <c r="W467" s="103" t="s">
        <v>310</v>
      </c>
    </row>
    <row r="468" spans="1:23" x14ac:dyDescent="0.45">
      <c r="A468" s="103">
        <f t="shared" si="21"/>
        <v>467</v>
      </c>
      <c r="B468" s="103" t="s">
        <v>6113</v>
      </c>
      <c r="C468" s="103" t="s">
        <v>3330</v>
      </c>
      <c r="D468" s="103" t="s">
        <v>330</v>
      </c>
      <c r="E468" s="103" t="s">
        <v>73</v>
      </c>
      <c r="F468" s="103" t="s">
        <v>72</v>
      </c>
      <c r="G468" s="103" t="s">
        <v>71</v>
      </c>
      <c r="H468" s="103" t="s">
        <v>6136</v>
      </c>
      <c r="I468" s="103" t="s">
        <v>272</v>
      </c>
      <c r="J468" s="103" t="s">
        <v>178</v>
      </c>
      <c r="K468" s="103" t="s">
        <v>6139</v>
      </c>
      <c r="L468" s="103">
        <v>8510237990</v>
      </c>
      <c r="M468" s="103"/>
      <c r="N468" s="103" t="s">
        <v>6113</v>
      </c>
      <c r="O468" s="103" t="s">
        <v>5813</v>
      </c>
      <c r="P468" s="103">
        <v>13</v>
      </c>
      <c r="Q468" s="103"/>
      <c r="R468" s="103"/>
      <c r="S468" s="103">
        <v>13</v>
      </c>
      <c r="T468" s="103">
        <v>565649</v>
      </c>
      <c r="U468" s="103">
        <v>7.3</v>
      </c>
      <c r="V468" s="103" t="s">
        <v>65</v>
      </c>
      <c r="W468" s="103" t="s">
        <v>310</v>
      </c>
    </row>
    <row r="469" spans="1:23" x14ac:dyDescent="0.45">
      <c r="A469" s="103">
        <f t="shared" si="21"/>
        <v>468</v>
      </c>
      <c r="B469" s="103" t="s">
        <v>6113</v>
      </c>
      <c r="C469" s="103" t="s">
        <v>3330</v>
      </c>
      <c r="D469" s="103" t="s">
        <v>330</v>
      </c>
      <c r="E469" s="103" t="s">
        <v>73</v>
      </c>
      <c r="F469" s="103" t="s">
        <v>72</v>
      </c>
      <c r="G469" s="103" t="s">
        <v>71</v>
      </c>
      <c r="H469" s="103" t="s">
        <v>6136</v>
      </c>
      <c r="I469" s="103" t="s">
        <v>272</v>
      </c>
      <c r="J469" s="103" t="s">
        <v>178</v>
      </c>
      <c r="K469" s="103" t="s">
        <v>6139</v>
      </c>
      <c r="L469" s="103">
        <v>8510237999</v>
      </c>
      <c r="M469" s="103"/>
      <c r="N469" s="103"/>
      <c r="O469" s="103" t="s">
        <v>5814</v>
      </c>
      <c r="P469" s="103">
        <v>13</v>
      </c>
      <c r="Q469" s="103"/>
      <c r="R469" s="103"/>
      <c r="S469" s="103">
        <v>13</v>
      </c>
      <c r="T469" s="103">
        <v>565649</v>
      </c>
      <c r="U469" s="103">
        <v>7.3</v>
      </c>
      <c r="V469" s="103" t="s">
        <v>65</v>
      </c>
      <c r="W469" s="103" t="s">
        <v>310</v>
      </c>
    </row>
    <row r="470" spans="1:23" x14ac:dyDescent="0.45">
      <c r="A470" s="103">
        <f t="shared" si="21"/>
        <v>469</v>
      </c>
      <c r="B470" s="103" t="s">
        <v>6113</v>
      </c>
      <c r="C470" s="103" t="s">
        <v>3330</v>
      </c>
      <c r="D470" s="103" t="s">
        <v>330</v>
      </c>
      <c r="E470" s="103" t="s">
        <v>73</v>
      </c>
      <c r="F470" s="103" t="s">
        <v>72</v>
      </c>
      <c r="G470" s="103" t="s">
        <v>71</v>
      </c>
      <c r="H470" s="103" t="s">
        <v>6136</v>
      </c>
      <c r="I470" s="103"/>
      <c r="J470" s="103"/>
      <c r="K470" s="103"/>
      <c r="L470" s="103"/>
      <c r="M470" s="103"/>
      <c r="N470" s="103" t="s">
        <v>6113</v>
      </c>
      <c r="O470" s="103" t="s">
        <v>5819</v>
      </c>
      <c r="P470" s="103"/>
      <c r="Q470" s="103"/>
      <c r="R470" s="103"/>
      <c r="S470" s="103"/>
      <c r="T470" s="103">
        <v>565649</v>
      </c>
      <c r="U470" s="103"/>
      <c r="V470" s="103" t="s">
        <v>65</v>
      </c>
      <c r="W470" s="103" t="s">
        <v>310</v>
      </c>
    </row>
    <row r="471" spans="1:23" x14ac:dyDescent="0.45">
      <c r="A471" s="103">
        <f t="shared" ref="A471:A477" si="22">ROW()-1</f>
        <v>470</v>
      </c>
      <c r="B471" s="103" t="s">
        <v>6113</v>
      </c>
      <c r="C471" s="103" t="s">
        <v>5474</v>
      </c>
      <c r="D471" s="103" t="s">
        <v>330</v>
      </c>
      <c r="E471" s="103" t="s">
        <v>73</v>
      </c>
      <c r="F471" s="103" t="s">
        <v>72</v>
      </c>
      <c r="G471" s="103" t="s">
        <v>71</v>
      </c>
      <c r="H471" s="103" t="s">
        <v>6140</v>
      </c>
      <c r="I471" s="103" t="s">
        <v>272</v>
      </c>
      <c r="J471" s="103" t="s">
        <v>178</v>
      </c>
      <c r="K471" s="103" t="s">
        <v>6145</v>
      </c>
      <c r="L471" s="103">
        <v>8504809261</v>
      </c>
      <c r="M471" s="103"/>
      <c r="N471" s="103" t="s">
        <v>6113</v>
      </c>
      <c r="O471" s="103" t="s">
        <v>47</v>
      </c>
      <c r="P471" s="103">
        <v>13</v>
      </c>
      <c r="Q471" s="103"/>
      <c r="R471" s="103"/>
      <c r="S471" s="103">
        <v>13</v>
      </c>
      <c r="T471" s="103">
        <v>500724</v>
      </c>
      <c r="U471" s="103">
        <v>7.3</v>
      </c>
      <c r="V471" s="103" t="s">
        <v>65</v>
      </c>
      <c r="W471" s="103" t="s">
        <v>310</v>
      </c>
    </row>
    <row r="472" spans="1:23" x14ac:dyDescent="0.45">
      <c r="A472" s="103">
        <f t="shared" si="22"/>
        <v>471</v>
      </c>
      <c r="B472" s="103" t="s">
        <v>6113</v>
      </c>
      <c r="C472" s="103" t="s">
        <v>5474</v>
      </c>
      <c r="D472" s="103" t="s">
        <v>330</v>
      </c>
      <c r="E472" s="103" t="s">
        <v>73</v>
      </c>
      <c r="F472" s="103" t="s">
        <v>72</v>
      </c>
      <c r="G472" s="103" t="s">
        <v>71</v>
      </c>
      <c r="H472" s="103" t="s">
        <v>6140</v>
      </c>
      <c r="I472" s="103" t="s">
        <v>272</v>
      </c>
      <c r="J472" s="103" t="s">
        <v>178</v>
      </c>
      <c r="K472" s="103" t="s">
        <v>6145</v>
      </c>
      <c r="L472" s="103">
        <v>8510237982</v>
      </c>
      <c r="M472" s="103"/>
      <c r="N472" s="103" t="s">
        <v>6113</v>
      </c>
      <c r="O472" s="103" t="s">
        <v>5580</v>
      </c>
      <c r="P472" s="103">
        <v>13</v>
      </c>
      <c r="Q472" s="103"/>
      <c r="R472" s="103"/>
      <c r="S472" s="103">
        <v>13</v>
      </c>
      <c r="T472" s="103">
        <v>500724</v>
      </c>
      <c r="U472" s="103">
        <v>7.3</v>
      </c>
      <c r="V472" s="103" t="s">
        <v>65</v>
      </c>
      <c r="W472" s="103" t="s">
        <v>310</v>
      </c>
    </row>
    <row r="473" spans="1:23" x14ac:dyDescent="0.45">
      <c r="A473" s="103">
        <f t="shared" si="22"/>
        <v>472</v>
      </c>
      <c r="B473" s="103" t="s">
        <v>6113</v>
      </c>
      <c r="C473" s="103" t="s">
        <v>5474</v>
      </c>
      <c r="D473" s="103" t="s">
        <v>330</v>
      </c>
      <c r="E473" s="103" t="s">
        <v>73</v>
      </c>
      <c r="F473" s="103" t="s">
        <v>72</v>
      </c>
      <c r="G473" s="103" t="s">
        <v>71</v>
      </c>
      <c r="H473" s="103" t="s">
        <v>6140</v>
      </c>
      <c r="I473" s="103" t="s">
        <v>272</v>
      </c>
      <c r="J473" s="103" t="s">
        <v>115</v>
      </c>
      <c r="K473" s="103" t="s">
        <v>6143</v>
      </c>
      <c r="L473" s="103"/>
      <c r="M473" s="103"/>
      <c r="N473" s="103" t="s">
        <v>6113</v>
      </c>
      <c r="O473" s="103" t="s">
        <v>5812</v>
      </c>
      <c r="P473" s="103" t="s">
        <v>6144</v>
      </c>
      <c r="Q473" s="103"/>
      <c r="R473" s="103"/>
      <c r="S473" s="103" t="s">
        <v>5795</v>
      </c>
      <c r="T473" s="103">
        <v>500724</v>
      </c>
      <c r="U473" s="103">
        <v>8.5</v>
      </c>
      <c r="V473" s="103" t="s">
        <v>65</v>
      </c>
      <c r="W473" s="103" t="s">
        <v>310</v>
      </c>
    </row>
    <row r="474" spans="1:23" x14ac:dyDescent="0.45">
      <c r="A474" s="103">
        <f t="shared" si="22"/>
        <v>473</v>
      </c>
      <c r="B474" s="103" t="s">
        <v>6113</v>
      </c>
      <c r="C474" s="103" t="s">
        <v>5474</v>
      </c>
      <c r="D474" s="103" t="s">
        <v>330</v>
      </c>
      <c r="E474" s="103" t="s">
        <v>73</v>
      </c>
      <c r="F474" s="103" t="s">
        <v>72</v>
      </c>
      <c r="G474" s="103" t="s">
        <v>71</v>
      </c>
      <c r="H474" s="103" t="s">
        <v>6140</v>
      </c>
      <c r="I474" s="103"/>
      <c r="J474" s="103" t="s">
        <v>115</v>
      </c>
      <c r="K474" s="103" t="s">
        <v>6143</v>
      </c>
      <c r="L474" s="103"/>
      <c r="M474" s="103"/>
      <c r="N474" s="103" t="s">
        <v>6113</v>
      </c>
      <c r="O474" s="103" t="s">
        <v>5581</v>
      </c>
      <c r="P474" s="103">
        <v>8</v>
      </c>
      <c r="Q474" s="103"/>
      <c r="R474" s="103"/>
      <c r="S474" s="103" t="s">
        <v>5915</v>
      </c>
      <c r="T474" s="103">
        <v>500724</v>
      </c>
      <c r="U474" s="103">
        <v>6.5</v>
      </c>
      <c r="V474" s="103" t="s">
        <v>65</v>
      </c>
      <c r="W474" s="103" t="s">
        <v>310</v>
      </c>
    </row>
    <row r="475" spans="1:23" x14ac:dyDescent="0.45">
      <c r="A475" s="103">
        <f t="shared" si="22"/>
        <v>474</v>
      </c>
      <c r="B475" s="103" t="s">
        <v>6113</v>
      </c>
      <c r="C475" s="103" t="s">
        <v>5474</v>
      </c>
      <c r="D475" s="103" t="s">
        <v>330</v>
      </c>
      <c r="E475" s="103" t="s">
        <v>73</v>
      </c>
      <c r="F475" s="103" t="s">
        <v>72</v>
      </c>
      <c r="G475" s="103" t="s">
        <v>71</v>
      </c>
      <c r="H475" s="103" t="s">
        <v>6140</v>
      </c>
      <c r="I475" s="103" t="s">
        <v>272</v>
      </c>
      <c r="J475" s="103" t="s">
        <v>115</v>
      </c>
      <c r="K475" s="103" t="s">
        <v>6143</v>
      </c>
      <c r="L475" s="103"/>
      <c r="M475" s="103"/>
      <c r="N475" s="103" t="s">
        <v>6113</v>
      </c>
      <c r="O475" s="103" t="s">
        <v>5813</v>
      </c>
      <c r="P475" s="103" t="s">
        <v>5917</v>
      </c>
      <c r="Q475" s="103"/>
      <c r="R475" s="103"/>
      <c r="S475" s="103">
        <v>7</v>
      </c>
      <c r="T475" s="103">
        <v>500724</v>
      </c>
      <c r="U475" s="103" t="s">
        <v>5796</v>
      </c>
      <c r="V475" s="103" t="s">
        <v>65</v>
      </c>
      <c r="W475" s="103" t="s">
        <v>310</v>
      </c>
    </row>
    <row r="476" spans="1:23" x14ac:dyDescent="0.45">
      <c r="A476" s="103">
        <f t="shared" si="22"/>
        <v>475</v>
      </c>
      <c r="B476" s="103" t="s">
        <v>6113</v>
      </c>
      <c r="C476" s="103" t="s">
        <v>5474</v>
      </c>
      <c r="D476" s="103" t="s">
        <v>330</v>
      </c>
      <c r="E476" s="103" t="s">
        <v>73</v>
      </c>
      <c r="F476" s="103" t="s">
        <v>72</v>
      </c>
      <c r="G476" s="103" t="s">
        <v>71</v>
      </c>
      <c r="H476" s="103" t="s">
        <v>6140</v>
      </c>
      <c r="I476" s="103" t="s">
        <v>272</v>
      </c>
      <c r="J476" s="103" t="s">
        <v>115</v>
      </c>
      <c r="K476" s="103" t="s">
        <v>6143</v>
      </c>
      <c r="L476" s="103"/>
      <c r="M476" s="103"/>
      <c r="N476" s="103"/>
      <c r="O476" s="103" t="s">
        <v>5814</v>
      </c>
      <c r="P476" s="103" t="s">
        <v>5791</v>
      </c>
      <c r="Q476" s="103"/>
      <c r="R476" s="103"/>
      <c r="S476" s="103" t="s">
        <v>5791</v>
      </c>
      <c r="T476" s="103">
        <v>500724</v>
      </c>
      <c r="U476" s="103">
        <v>5.3</v>
      </c>
      <c r="V476" s="103" t="s">
        <v>65</v>
      </c>
      <c r="W476" s="103" t="s">
        <v>310</v>
      </c>
    </row>
    <row r="477" spans="1:23" x14ac:dyDescent="0.45">
      <c r="A477" s="103">
        <f t="shared" si="22"/>
        <v>476</v>
      </c>
      <c r="B477" s="103" t="s">
        <v>6113</v>
      </c>
      <c r="C477" s="103" t="s">
        <v>5474</v>
      </c>
      <c r="D477" s="103" t="s">
        <v>330</v>
      </c>
      <c r="E477" s="103" t="s">
        <v>73</v>
      </c>
      <c r="F477" s="103" t="s">
        <v>72</v>
      </c>
      <c r="G477" s="103" t="s">
        <v>71</v>
      </c>
      <c r="H477" s="103" t="s">
        <v>6140</v>
      </c>
      <c r="I477" s="103"/>
      <c r="J477" s="103"/>
      <c r="K477" s="103"/>
      <c r="L477" s="103"/>
      <c r="M477" s="103"/>
      <c r="N477" s="103" t="s">
        <v>6113</v>
      </c>
      <c r="O477" s="103" t="s">
        <v>5819</v>
      </c>
      <c r="P477" s="103"/>
      <c r="Q477" s="103"/>
      <c r="R477" s="103"/>
      <c r="S477" s="103"/>
      <c r="T477" s="103">
        <v>500724</v>
      </c>
      <c r="U477" s="103"/>
      <c r="V477" s="103" t="s">
        <v>65</v>
      </c>
      <c r="W477" s="103" t="s">
        <v>310</v>
      </c>
    </row>
    <row r="478" spans="1:23" x14ac:dyDescent="0.45">
      <c r="A478" s="103">
        <f t="shared" ref="A478:A484" si="23">ROW()-1</f>
        <v>477</v>
      </c>
      <c r="B478" s="103" t="s">
        <v>6113</v>
      </c>
      <c r="C478" s="103" t="s">
        <v>5936</v>
      </c>
      <c r="D478" s="103"/>
      <c r="E478" s="103" t="s">
        <v>100</v>
      </c>
      <c r="F478" s="103"/>
      <c r="G478" s="103" t="s">
        <v>71</v>
      </c>
      <c r="H478" s="103" t="s">
        <v>6146</v>
      </c>
      <c r="I478" s="103" t="s">
        <v>200</v>
      </c>
      <c r="J478" s="103" t="s">
        <v>154</v>
      </c>
      <c r="K478" s="103" t="s">
        <v>6061</v>
      </c>
      <c r="L478" s="103">
        <v>1931115788</v>
      </c>
      <c r="M478" s="103"/>
      <c r="N478" s="103" t="s">
        <v>6113</v>
      </c>
      <c r="O478" s="103" t="s">
        <v>47</v>
      </c>
      <c r="P478" s="103" t="s">
        <v>5831</v>
      </c>
      <c r="Q478" s="103"/>
      <c r="R478" s="103"/>
      <c r="S478" s="103" t="s">
        <v>5831</v>
      </c>
      <c r="T478" s="103"/>
      <c r="U478" s="103">
        <v>9</v>
      </c>
      <c r="V478" s="103" t="s">
        <v>65</v>
      </c>
      <c r="W478" s="103" t="s">
        <v>310</v>
      </c>
    </row>
    <row r="479" spans="1:23" x14ac:dyDescent="0.45">
      <c r="A479" s="103">
        <f t="shared" si="23"/>
        <v>478</v>
      </c>
      <c r="B479" s="103" t="s">
        <v>6113</v>
      </c>
      <c r="C479" s="103" t="s">
        <v>5936</v>
      </c>
      <c r="D479" s="103"/>
      <c r="E479" s="103" t="s">
        <v>100</v>
      </c>
      <c r="F479" s="103"/>
      <c r="G479" s="103" t="s">
        <v>71</v>
      </c>
      <c r="H479" s="103" t="s">
        <v>6146</v>
      </c>
      <c r="I479" s="103" t="s">
        <v>200</v>
      </c>
      <c r="J479" s="103" t="s">
        <v>154</v>
      </c>
      <c r="K479" s="103" t="s">
        <v>6061</v>
      </c>
      <c r="L479" s="103">
        <v>1931115441</v>
      </c>
      <c r="M479" s="103"/>
      <c r="N479" s="103" t="s">
        <v>6113</v>
      </c>
      <c r="O479" s="103" t="s">
        <v>5580</v>
      </c>
      <c r="P479" s="103" t="s">
        <v>5831</v>
      </c>
      <c r="Q479" s="103"/>
      <c r="R479" s="103"/>
      <c r="S479" s="103" t="s">
        <v>5831</v>
      </c>
      <c r="T479" s="103"/>
      <c r="U479" s="103">
        <v>9</v>
      </c>
      <c r="V479" s="103" t="s">
        <v>65</v>
      </c>
      <c r="W479" s="103" t="s">
        <v>310</v>
      </c>
    </row>
    <row r="480" spans="1:23" x14ac:dyDescent="0.45">
      <c r="A480" s="103">
        <f t="shared" si="23"/>
        <v>479</v>
      </c>
      <c r="B480" s="103" t="s">
        <v>6113</v>
      </c>
      <c r="C480" s="103" t="s">
        <v>5936</v>
      </c>
      <c r="D480" s="103"/>
      <c r="E480" s="103" t="s">
        <v>100</v>
      </c>
      <c r="F480" s="103"/>
      <c r="G480" s="103" t="s">
        <v>71</v>
      </c>
      <c r="H480" s="103" t="s">
        <v>6146</v>
      </c>
      <c r="I480" s="103" t="s">
        <v>200</v>
      </c>
      <c r="J480" s="103" t="s">
        <v>105</v>
      </c>
      <c r="K480" s="103" t="s">
        <v>6149</v>
      </c>
      <c r="L480" s="103"/>
      <c r="M480" s="103"/>
      <c r="N480" s="103" t="s">
        <v>6113</v>
      </c>
      <c r="O480" s="103" t="s">
        <v>5812</v>
      </c>
      <c r="P480" s="103" t="s">
        <v>5903</v>
      </c>
      <c r="Q480" s="103"/>
      <c r="R480" s="103"/>
      <c r="S480" s="103">
        <v>6</v>
      </c>
      <c r="T480" s="103"/>
      <c r="U480" s="103">
        <v>8.5</v>
      </c>
      <c r="V480" s="103" t="s">
        <v>65</v>
      </c>
      <c r="W480" s="103" t="s">
        <v>310</v>
      </c>
    </row>
    <row r="481" spans="1:23" x14ac:dyDescent="0.45">
      <c r="A481" s="103">
        <f t="shared" si="23"/>
        <v>480</v>
      </c>
      <c r="B481" s="103" t="s">
        <v>6113</v>
      </c>
      <c r="C481" s="103" t="s">
        <v>5936</v>
      </c>
      <c r="D481" s="103"/>
      <c r="E481" s="103" t="s">
        <v>100</v>
      </c>
      <c r="F481" s="103"/>
      <c r="G481" s="103" t="s">
        <v>71</v>
      </c>
      <c r="H481" s="103" t="s">
        <v>6146</v>
      </c>
      <c r="I481" s="103"/>
      <c r="J481" s="103" t="s">
        <v>105</v>
      </c>
      <c r="K481" s="103" t="s">
        <v>6149</v>
      </c>
      <c r="L481" s="103"/>
      <c r="M481" s="103"/>
      <c r="N481" s="103" t="s">
        <v>6113</v>
      </c>
      <c r="O481" s="103" t="s">
        <v>5581</v>
      </c>
      <c r="P481" s="103" t="s">
        <v>5888</v>
      </c>
      <c r="Q481" s="103"/>
      <c r="R481" s="103"/>
      <c r="S481" s="103" t="s">
        <v>5795</v>
      </c>
      <c r="T481" s="103"/>
      <c r="U481" s="103" t="s">
        <v>5796</v>
      </c>
      <c r="V481" s="103" t="s">
        <v>65</v>
      </c>
      <c r="W481" s="103" t="s">
        <v>310</v>
      </c>
    </row>
    <row r="482" spans="1:23" x14ac:dyDescent="0.45">
      <c r="A482" s="103">
        <f t="shared" si="23"/>
        <v>481</v>
      </c>
      <c r="B482" s="103" t="s">
        <v>6113</v>
      </c>
      <c r="C482" s="103" t="s">
        <v>5936</v>
      </c>
      <c r="D482" s="103"/>
      <c r="E482" s="103" t="s">
        <v>100</v>
      </c>
      <c r="F482" s="103"/>
      <c r="G482" s="103" t="s">
        <v>71</v>
      </c>
      <c r="H482" s="103" t="s">
        <v>6146</v>
      </c>
      <c r="I482" s="103" t="s">
        <v>200</v>
      </c>
      <c r="J482" s="103" t="s">
        <v>105</v>
      </c>
      <c r="K482" s="103" t="s">
        <v>6149</v>
      </c>
      <c r="L482" s="103"/>
      <c r="M482" s="103"/>
      <c r="N482" s="103" t="s">
        <v>6113</v>
      </c>
      <c r="O482" s="103" t="s">
        <v>5813</v>
      </c>
      <c r="P482" s="103" t="s">
        <v>5800</v>
      </c>
      <c r="Q482" s="103"/>
      <c r="R482" s="103"/>
      <c r="S482" s="103">
        <v>5</v>
      </c>
      <c r="T482" s="103"/>
      <c r="U482" s="103" t="s">
        <v>5796</v>
      </c>
      <c r="V482" s="103" t="s">
        <v>65</v>
      </c>
      <c r="W482" s="103" t="s">
        <v>310</v>
      </c>
    </row>
    <row r="483" spans="1:23" x14ac:dyDescent="0.45">
      <c r="A483" s="103">
        <f t="shared" si="23"/>
        <v>482</v>
      </c>
      <c r="B483" s="103" t="s">
        <v>6113</v>
      </c>
      <c r="C483" s="103" t="s">
        <v>5936</v>
      </c>
      <c r="D483" s="103"/>
      <c r="E483" s="103" t="s">
        <v>100</v>
      </c>
      <c r="F483" s="103"/>
      <c r="G483" s="103" t="s">
        <v>71</v>
      </c>
      <c r="H483" s="103" t="s">
        <v>6146</v>
      </c>
      <c r="I483" s="103" t="s">
        <v>200</v>
      </c>
      <c r="J483" s="103" t="s">
        <v>105</v>
      </c>
      <c r="K483" s="103" t="s">
        <v>6149</v>
      </c>
      <c r="L483" s="103"/>
      <c r="M483" s="103"/>
      <c r="N483" s="103"/>
      <c r="O483" s="103" t="s">
        <v>5814</v>
      </c>
      <c r="P483" s="103">
        <v>5</v>
      </c>
      <c r="Q483" s="103"/>
      <c r="R483" s="103"/>
      <c r="S483" s="103" t="s">
        <v>6150</v>
      </c>
      <c r="T483" s="103"/>
      <c r="U483" s="103">
        <v>8.5</v>
      </c>
      <c r="V483" s="103" t="s">
        <v>65</v>
      </c>
      <c r="W483" s="103" t="s">
        <v>310</v>
      </c>
    </row>
    <row r="484" spans="1:23" x14ac:dyDescent="0.45">
      <c r="A484" s="103">
        <f t="shared" si="23"/>
        <v>483</v>
      </c>
      <c r="B484" s="103" t="s">
        <v>6113</v>
      </c>
      <c r="C484" s="103" t="s">
        <v>5936</v>
      </c>
      <c r="D484" s="103"/>
      <c r="E484" s="103" t="s">
        <v>100</v>
      </c>
      <c r="F484" s="103"/>
      <c r="G484" s="103" t="s">
        <v>71</v>
      </c>
      <c r="H484" s="103" t="s">
        <v>6146</v>
      </c>
      <c r="I484" s="103"/>
      <c r="J484" s="103"/>
      <c r="K484" s="103"/>
      <c r="L484" s="103"/>
      <c r="M484" s="103"/>
      <c r="N484" s="103" t="s">
        <v>6113</v>
      </c>
      <c r="O484" s="103" t="s">
        <v>5819</v>
      </c>
      <c r="P484" s="103"/>
      <c r="Q484" s="103"/>
      <c r="R484" s="103"/>
      <c r="S484" s="103"/>
      <c r="T484" s="103"/>
      <c r="U484" s="103"/>
      <c r="V484" s="103" t="s">
        <v>65</v>
      </c>
      <c r="W484" s="103" t="s">
        <v>310</v>
      </c>
    </row>
    <row r="485" spans="1:23" x14ac:dyDescent="0.45">
      <c r="A485" s="103">
        <f t="shared" ref="A485:A491" si="24">ROW()-1</f>
        <v>484</v>
      </c>
      <c r="B485" s="103" t="s">
        <v>6151</v>
      </c>
      <c r="C485" s="103" t="s">
        <v>6152</v>
      </c>
      <c r="D485" s="103"/>
      <c r="E485" s="103" t="s">
        <v>70</v>
      </c>
      <c r="F485" s="103" t="s">
        <v>72</v>
      </c>
      <c r="G485" s="103" t="s">
        <v>71</v>
      </c>
      <c r="H485" s="103" t="s">
        <v>6154</v>
      </c>
      <c r="I485" s="103" t="s">
        <v>6157</v>
      </c>
      <c r="J485" s="103" t="s">
        <v>122</v>
      </c>
      <c r="K485" s="103" t="s">
        <v>6158</v>
      </c>
      <c r="L485" s="103"/>
      <c r="M485" s="103" t="s">
        <v>6159</v>
      </c>
      <c r="N485" s="103" t="s">
        <v>6151</v>
      </c>
      <c r="O485" s="103" t="s">
        <v>47</v>
      </c>
      <c r="P485" s="103" t="s">
        <v>5850</v>
      </c>
      <c r="Q485" s="103"/>
      <c r="R485" s="103"/>
      <c r="S485" s="103" t="s">
        <v>5850</v>
      </c>
      <c r="T485" s="103">
        <v>157599</v>
      </c>
      <c r="U485" s="103">
        <v>6.5</v>
      </c>
      <c r="V485" s="103" t="s">
        <v>65</v>
      </c>
      <c r="W485" s="103" t="s">
        <v>310</v>
      </c>
    </row>
    <row r="486" spans="1:23" x14ac:dyDescent="0.45">
      <c r="A486" s="103">
        <f t="shared" si="24"/>
        <v>485</v>
      </c>
      <c r="B486" s="103" t="s">
        <v>6151</v>
      </c>
      <c r="C486" s="103" t="s">
        <v>6152</v>
      </c>
      <c r="D486" s="103"/>
      <c r="E486" s="103" t="s">
        <v>70</v>
      </c>
      <c r="F486" s="103" t="s">
        <v>72</v>
      </c>
      <c r="G486" s="103" t="s">
        <v>71</v>
      </c>
      <c r="H486" s="103" t="s">
        <v>6154</v>
      </c>
      <c r="I486" s="103" t="s">
        <v>6157</v>
      </c>
      <c r="J486" s="103" t="s">
        <v>122</v>
      </c>
      <c r="K486" s="103" t="s">
        <v>6158</v>
      </c>
      <c r="L486" s="103"/>
      <c r="M486" s="103" t="s">
        <v>6159</v>
      </c>
      <c r="N486" s="103" t="s">
        <v>6151</v>
      </c>
      <c r="O486" s="103" t="s">
        <v>5580</v>
      </c>
      <c r="P486" s="103" t="s">
        <v>5850</v>
      </c>
      <c r="Q486" s="103"/>
      <c r="R486" s="103"/>
      <c r="S486" s="103" t="s">
        <v>5850</v>
      </c>
      <c r="T486" s="103">
        <v>157599</v>
      </c>
      <c r="U486" s="103">
        <v>6.5</v>
      </c>
      <c r="V486" s="103" t="s">
        <v>65</v>
      </c>
      <c r="W486" s="103" t="s">
        <v>310</v>
      </c>
    </row>
    <row r="487" spans="1:23" x14ac:dyDescent="0.45">
      <c r="A487" s="103">
        <f t="shared" si="24"/>
        <v>486</v>
      </c>
      <c r="B487" s="103" t="s">
        <v>6151</v>
      </c>
      <c r="C487" s="103" t="s">
        <v>6152</v>
      </c>
      <c r="D487" s="103"/>
      <c r="E487" s="103" t="s">
        <v>70</v>
      </c>
      <c r="F487" s="103" t="s">
        <v>72</v>
      </c>
      <c r="G487" s="103" t="s">
        <v>71</v>
      </c>
      <c r="H487" s="103" t="s">
        <v>6154</v>
      </c>
      <c r="I487" s="103" t="s">
        <v>6157</v>
      </c>
      <c r="J487" s="103" t="s">
        <v>164</v>
      </c>
      <c r="K487" s="103" t="s">
        <v>5867</v>
      </c>
      <c r="L487" s="103"/>
      <c r="M487" s="103"/>
      <c r="N487" s="103" t="s">
        <v>6151</v>
      </c>
      <c r="O487" s="103" t="s">
        <v>5812</v>
      </c>
      <c r="P487" s="103" t="s">
        <v>5946</v>
      </c>
      <c r="Q487" s="103"/>
      <c r="R487" s="103"/>
      <c r="S487" s="103" t="s">
        <v>5800</v>
      </c>
      <c r="T487" s="103">
        <v>157599</v>
      </c>
      <c r="U487" s="103">
        <v>6.5</v>
      </c>
      <c r="V487" s="103" t="s">
        <v>65</v>
      </c>
      <c r="W487" s="103" t="s">
        <v>310</v>
      </c>
    </row>
    <row r="488" spans="1:23" x14ac:dyDescent="0.45">
      <c r="A488" s="103">
        <f t="shared" si="24"/>
        <v>487</v>
      </c>
      <c r="B488" s="103" t="s">
        <v>6151</v>
      </c>
      <c r="C488" s="103" t="s">
        <v>6152</v>
      </c>
      <c r="D488" s="103"/>
      <c r="E488" s="103" t="s">
        <v>70</v>
      </c>
      <c r="F488" s="103" t="s">
        <v>72</v>
      </c>
      <c r="G488" s="103" t="s">
        <v>71</v>
      </c>
      <c r="H488" s="103" t="s">
        <v>6154</v>
      </c>
      <c r="I488" s="103"/>
      <c r="J488" s="103" t="s">
        <v>164</v>
      </c>
      <c r="K488" s="103" t="s">
        <v>5867</v>
      </c>
      <c r="L488" s="103"/>
      <c r="M488" s="103"/>
      <c r="N488" s="103" t="s">
        <v>6151</v>
      </c>
      <c r="O488" s="103" t="s">
        <v>5581</v>
      </c>
      <c r="P488" s="103" t="s">
        <v>5989</v>
      </c>
      <c r="Q488" s="103"/>
      <c r="R488" s="103"/>
      <c r="S488" s="103" t="s">
        <v>6029</v>
      </c>
      <c r="T488" s="103">
        <v>157599</v>
      </c>
      <c r="U488" s="103">
        <v>6.5</v>
      </c>
      <c r="V488" s="103" t="s">
        <v>65</v>
      </c>
      <c r="W488" s="103" t="s">
        <v>310</v>
      </c>
    </row>
    <row r="489" spans="1:23" x14ac:dyDescent="0.45">
      <c r="A489" s="103">
        <f t="shared" si="24"/>
        <v>488</v>
      </c>
      <c r="B489" s="103" t="s">
        <v>6151</v>
      </c>
      <c r="C489" s="103" t="s">
        <v>6152</v>
      </c>
      <c r="D489" s="103"/>
      <c r="E489" s="103" t="s">
        <v>70</v>
      </c>
      <c r="F489" s="103" t="s">
        <v>72</v>
      </c>
      <c r="G489" s="103" t="s">
        <v>71</v>
      </c>
      <c r="H489" s="103" t="s">
        <v>6154</v>
      </c>
      <c r="I489" s="103" t="s">
        <v>6157</v>
      </c>
      <c r="J489" s="103" t="s">
        <v>164</v>
      </c>
      <c r="K489" s="103" t="s">
        <v>5867</v>
      </c>
      <c r="L489" s="103"/>
      <c r="M489" s="103"/>
      <c r="N489" s="103" t="s">
        <v>6151</v>
      </c>
      <c r="O489" s="103" t="s">
        <v>5813</v>
      </c>
      <c r="P489" s="103" t="s">
        <v>5800</v>
      </c>
      <c r="Q489" s="103"/>
      <c r="R489" s="103"/>
      <c r="S489" s="103" t="s">
        <v>5800</v>
      </c>
      <c r="T489" s="103">
        <v>157599</v>
      </c>
      <c r="U489" s="103">
        <v>6.5</v>
      </c>
      <c r="V489" s="103" t="s">
        <v>65</v>
      </c>
      <c r="W489" s="103" t="s">
        <v>310</v>
      </c>
    </row>
    <row r="490" spans="1:23" x14ac:dyDescent="0.45">
      <c r="A490" s="103">
        <f t="shared" si="24"/>
        <v>489</v>
      </c>
      <c r="B490" s="103" t="s">
        <v>6151</v>
      </c>
      <c r="C490" s="103" t="s">
        <v>6152</v>
      </c>
      <c r="D490" s="103"/>
      <c r="E490" s="103" t="s">
        <v>70</v>
      </c>
      <c r="F490" s="103" t="s">
        <v>72</v>
      </c>
      <c r="G490" s="103" t="s">
        <v>71</v>
      </c>
      <c r="H490" s="103" t="s">
        <v>6154</v>
      </c>
      <c r="I490" s="103" t="s">
        <v>6157</v>
      </c>
      <c r="J490" s="103" t="s">
        <v>164</v>
      </c>
      <c r="K490" s="103" t="s">
        <v>5867</v>
      </c>
      <c r="L490" s="103"/>
      <c r="M490" s="103"/>
      <c r="N490" s="103"/>
      <c r="O490" s="103" t="s">
        <v>5814</v>
      </c>
      <c r="P490" s="103">
        <v>5</v>
      </c>
      <c r="Q490" s="103"/>
      <c r="R490" s="103"/>
      <c r="S490" s="103" t="s">
        <v>5798</v>
      </c>
      <c r="T490" s="103">
        <v>157599</v>
      </c>
      <c r="U490" s="103">
        <v>6.5</v>
      </c>
      <c r="V490" s="103" t="s">
        <v>65</v>
      </c>
      <c r="W490" s="103" t="s">
        <v>310</v>
      </c>
    </row>
    <row r="491" spans="1:23" x14ac:dyDescent="0.45">
      <c r="A491" s="103">
        <f t="shared" si="24"/>
        <v>490</v>
      </c>
      <c r="B491" s="103" t="s">
        <v>6151</v>
      </c>
      <c r="C491" s="103" t="s">
        <v>6152</v>
      </c>
      <c r="D491" s="103"/>
      <c r="E491" s="103" t="s">
        <v>70</v>
      </c>
      <c r="F491" s="103" t="s">
        <v>72</v>
      </c>
      <c r="G491" s="103" t="s">
        <v>71</v>
      </c>
      <c r="H491" s="103" t="s">
        <v>6154</v>
      </c>
      <c r="I491" s="103"/>
      <c r="J491" s="103"/>
      <c r="K491" s="103"/>
      <c r="L491" s="103"/>
      <c r="M491" s="103"/>
      <c r="N491" s="103" t="s">
        <v>6151</v>
      </c>
      <c r="O491" s="103" t="s">
        <v>5819</v>
      </c>
      <c r="P491" s="103"/>
      <c r="Q491" s="103"/>
      <c r="R491" s="103"/>
      <c r="S491" s="103"/>
      <c r="T491" s="103">
        <v>157599</v>
      </c>
      <c r="U491" s="103"/>
      <c r="V491" s="103" t="s">
        <v>65</v>
      </c>
      <c r="W491" s="103" t="s">
        <v>310</v>
      </c>
    </row>
    <row r="492" spans="1:23" x14ac:dyDescent="0.45">
      <c r="A492" s="103">
        <f t="shared" ref="A492:A498" si="25">ROW()-1</f>
        <v>491</v>
      </c>
      <c r="B492" s="103" t="s">
        <v>6151</v>
      </c>
      <c r="C492" s="103" t="s">
        <v>6160</v>
      </c>
      <c r="D492" s="103"/>
      <c r="E492" s="103" t="s">
        <v>73</v>
      </c>
      <c r="F492" s="103" t="s">
        <v>72</v>
      </c>
      <c r="G492" s="103" t="s">
        <v>71</v>
      </c>
      <c r="H492" s="103" t="s">
        <v>6161</v>
      </c>
      <c r="I492" s="103" t="s">
        <v>6165</v>
      </c>
      <c r="J492" s="103" t="s">
        <v>118</v>
      </c>
      <c r="K492" s="103" t="s">
        <v>6164</v>
      </c>
      <c r="L492" s="103"/>
      <c r="M492" s="103" t="s">
        <v>6166</v>
      </c>
      <c r="N492" s="103" t="s">
        <v>6151</v>
      </c>
      <c r="O492" s="103" t="s">
        <v>47</v>
      </c>
      <c r="P492" s="103">
        <v>12</v>
      </c>
      <c r="Q492" s="103"/>
      <c r="R492" s="103"/>
      <c r="S492" s="103">
        <v>12</v>
      </c>
      <c r="T492" s="103">
        <v>383344</v>
      </c>
      <c r="U492" s="103">
        <v>5.5</v>
      </c>
      <c r="V492" s="103" t="s">
        <v>65</v>
      </c>
      <c r="W492" s="103" t="s">
        <v>310</v>
      </c>
    </row>
    <row r="493" spans="1:23" x14ac:dyDescent="0.45">
      <c r="A493" s="103">
        <f t="shared" si="25"/>
        <v>492</v>
      </c>
      <c r="B493" s="103" t="s">
        <v>6151</v>
      </c>
      <c r="C493" s="103" t="s">
        <v>6160</v>
      </c>
      <c r="D493" s="103"/>
      <c r="E493" s="103" t="s">
        <v>73</v>
      </c>
      <c r="F493" s="103" t="s">
        <v>72</v>
      </c>
      <c r="G493" s="103" t="s">
        <v>71</v>
      </c>
      <c r="H493" s="103" t="s">
        <v>6161</v>
      </c>
      <c r="I493" s="103" t="s">
        <v>6165</v>
      </c>
      <c r="J493" s="103" t="s">
        <v>118</v>
      </c>
      <c r="K493" s="103" t="s">
        <v>6164</v>
      </c>
      <c r="L493" s="103"/>
      <c r="M493" s="103" t="s">
        <v>6166</v>
      </c>
      <c r="N493" s="103" t="s">
        <v>6151</v>
      </c>
      <c r="O493" s="103" t="s">
        <v>5580</v>
      </c>
      <c r="P493" s="103">
        <v>12</v>
      </c>
      <c r="Q493" s="103"/>
      <c r="R493" s="103"/>
      <c r="S493" s="103">
        <v>12</v>
      </c>
      <c r="T493" s="103">
        <v>383344</v>
      </c>
      <c r="U493" s="103">
        <v>5.5</v>
      </c>
      <c r="V493" s="103" t="s">
        <v>65</v>
      </c>
      <c r="W493" s="103" t="s">
        <v>310</v>
      </c>
    </row>
    <row r="494" spans="1:23" x14ac:dyDescent="0.45">
      <c r="A494" s="103">
        <f t="shared" si="25"/>
        <v>493</v>
      </c>
      <c r="B494" s="103" t="s">
        <v>6151</v>
      </c>
      <c r="C494" s="103" t="s">
        <v>6160</v>
      </c>
      <c r="D494" s="103"/>
      <c r="E494" s="103" t="s">
        <v>73</v>
      </c>
      <c r="F494" s="103" t="s">
        <v>72</v>
      </c>
      <c r="G494" s="103" t="s">
        <v>71</v>
      </c>
      <c r="H494" s="103" t="s">
        <v>6161</v>
      </c>
      <c r="I494" s="103" t="s">
        <v>6165</v>
      </c>
      <c r="J494" s="103" t="s">
        <v>118</v>
      </c>
      <c r="K494" s="103" t="s">
        <v>6164</v>
      </c>
      <c r="L494" s="103"/>
      <c r="M494" s="103"/>
      <c r="N494" s="103" t="s">
        <v>6151</v>
      </c>
      <c r="O494" s="103" t="s">
        <v>5812</v>
      </c>
      <c r="P494" s="103" t="s">
        <v>5791</v>
      </c>
      <c r="Q494" s="103"/>
      <c r="R494" s="103"/>
      <c r="S494" s="103">
        <v>7</v>
      </c>
      <c r="T494" s="103">
        <v>383344</v>
      </c>
      <c r="U494" s="103">
        <v>4.8</v>
      </c>
      <c r="V494" s="103" t="s">
        <v>65</v>
      </c>
      <c r="W494" s="103" t="s">
        <v>310</v>
      </c>
    </row>
    <row r="495" spans="1:23" x14ac:dyDescent="0.45">
      <c r="A495" s="103">
        <f t="shared" si="25"/>
        <v>494</v>
      </c>
      <c r="B495" s="103" t="s">
        <v>6151</v>
      </c>
      <c r="C495" s="103" t="s">
        <v>6160</v>
      </c>
      <c r="D495" s="103"/>
      <c r="E495" s="103" t="s">
        <v>73</v>
      </c>
      <c r="F495" s="103" t="s">
        <v>72</v>
      </c>
      <c r="G495" s="103" t="s">
        <v>71</v>
      </c>
      <c r="H495" s="103" t="s">
        <v>6161</v>
      </c>
      <c r="I495" s="103"/>
      <c r="J495" s="103" t="s">
        <v>118</v>
      </c>
      <c r="K495" s="103" t="s">
        <v>6164</v>
      </c>
      <c r="L495" s="103"/>
      <c r="M495" s="103"/>
      <c r="N495" s="103" t="s">
        <v>6151</v>
      </c>
      <c r="O495" s="103" t="s">
        <v>5581</v>
      </c>
      <c r="P495" s="103">
        <v>6</v>
      </c>
      <c r="Q495" s="103"/>
      <c r="R495" s="103"/>
      <c r="S495" s="103" t="s">
        <v>5903</v>
      </c>
      <c r="T495" s="103">
        <v>383344</v>
      </c>
      <c r="U495" s="103" t="s">
        <v>5796</v>
      </c>
      <c r="V495" s="103" t="s">
        <v>65</v>
      </c>
      <c r="W495" s="103" t="s">
        <v>310</v>
      </c>
    </row>
    <row r="496" spans="1:23" x14ac:dyDescent="0.45">
      <c r="A496" s="103">
        <f t="shared" si="25"/>
        <v>495</v>
      </c>
      <c r="B496" s="103" t="s">
        <v>6151</v>
      </c>
      <c r="C496" s="103" t="s">
        <v>6160</v>
      </c>
      <c r="D496" s="103"/>
      <c r="E496" s="103" t="s">
        <v>73</v>
      </c>
      <c r="F496" s="103" t="s">
        <v>72</v>
      </c>
      <c r="G496" s="103" t="s">
        <v>71</v>
      </c>
      <c r="H496" s="103" t="s">
        <v>6161</v>
      </c>
      <c r="I496" s="103" t="s">
        <v>6165</v>
      </c>
      <c r="J496" s="103" t="s">
        <v>118</v>
      </c>
      <c r="K496" s="103" t="s">
        <v>6164</v>
      </c>
      <c r="L496" s="103"/>
      <c r="M496" s="103"/>
      <c r="N496" s="103" t="s">
        <v>6151</v>
      </c>
      <c r="O496" s="103" t="s">
        <v>5813</v>
      </c>
      <c r="P496" s="103" t="s">
        <v>5854</v>
      </c>
      <c r="Q496" s="103"/>
      <c r="R496" s="103"/>
      <c r="S496" s="103" t="s">
        <v>5850</v>
      </c>
      <c r="T496" s="103">
        <v>383344</v>
      </c>
      <c r="U496" s="103" t="s">
        <v>5796</v>
      </c>
      <c r="V496" s="103" t="s">
        <v>65</v>
      </c>
      <c r="W496" s="103" t="s">
        <v>310</v>
      </c>
    </row>
    <row r="497" spans="1:23" x14ac:dyDescent="0.45">
      <c r="A497" s="103">
        <f t="shared" si="25"/>
        <v>496</v>
      </c>
      <c r="B497" s="103" t="s">
        <v>6151</v>
      </c>
      <c r="C497" s="103" t="s">
        <v>6160</v>
      </c>
      <c r="D497" s="103"/>
      <c r="E497" s="103" t="s">
        <v>73</v>
      </c>
      <c r="F497" s="103" t="s">
        <v>72</v>
      </c>
      <c r="G497" s="103" t="s">
        <v>71</v>
      </c>
      <c r="H497" s="103" t="s">
        <v>6161</v>
      </c>
      <c r="I497" s="103" t="s">
        <v>6165</v>
      </c>
      <c r="J497" s="103" t="s">
        <v>118</v>
      </c>
      <c r="K497" s="103" t="s">
        <v>6164</v>
      </c>
      <c r="L497" s="103"/>
      <c r="M497" s="103" t="s">
        <v>6166</v>
      </c>
      <c r="N497" s="103"/>
      <c r="O497" s="103" t="s">
        <v>5814</v>
      </c>
      <c r="P497" s="103">
        <v>12</v>
      </c>
      <c r="Q497" s="103"/>
      <c r="R497" s="103"/>
      <c r="S497" s="103">
        <v>12</v>
      </c>
      <c r="T497" s="103">
        <v>383344</v>
      </c>
      <c r="U497" s="103">
        <v>5.5</v>
      </c>
      <c r="V497" s="103" t="s">
        <v>65</v>
      </c>
      <c r="W497" s="103" t="s">
        <v>310</v>
      </c>
    </row>
    <row r="498" spans="1:23" x14ac:dyDescent="0.45">
      <c r="A498" s="103">
        <f t="shared" si="25"/>
        <v>497</v>
      </c>
      <c r="B498" s="103" t="s">
        <v>6151</v>
      </c>
      <c r="C498" s="103" t="s">
        <v>6160</v>
      </c>
      <c r="D498" s="103"/>
      <c r="E498" s="103" t="s">
        <v>73</v>
      </c>
      <c r="F498" s="103" t="s">
        <v>72</v>
      </c>
      <c r="G498" s="103" t="s">
        <v>71</v>
      </c>
      <c r="H498" s="103" t="s">
        <v>6161</v>
      </c>
      <c r="I498" s="103"/>
      <c r="J498" s="103"/>
      <c r="K498" s="103"/>
      <c r="L498" s="103"/>
      <c r="M498" s="103"/>
      <c r="N498" s="103" t="s">
        <v>6151</v>
      </c>
      <c r="O498" s="103" t="s">
        <v>5819</v>
      </c>
      <c r="P498" s="103"/>
      <c r="Q498" s="103"/>
      <c r="R498" s="103"/>
      <c r="S498" s="103"/>
      <c r="T498" s="103">
        <v>383344</v>
      </c>
      <c r="U498" s="103"/>
      <c r="V498" s="103" t="s">
        <v>65</v>
      </c>
      <c r="W498" s="103" t="s">
        <v>310</v>
      </c>
    </row>
    <row r="499" spans="1:23" x14ac:dyDescent="0.45">
      <c r="A499" s="103">
        <f t="shared" ref="A499:A519" si="26">ROW()-1</f>
        <v>498</v>
      </c>
      <c r="B499" s="103" t="s">
        <v>6151</v>
      </c>
      <c r="C499" s="103" t="s">
        <v>6167</v>
      </c>
      <c r="D499" s="103"/>
      <c r="E499" s="103" t="s">
        <v>73</v>
      </c>
      <c r="F499" s="103" t="s">
        <v>72</v>
      </c>
      <c r="G499" s="103" t="s">
        <v>71</v>
      </c>
      <c r="H499" s="103" t="s">
        <v>6169</v>
      </c>
      <c r="I499" s="103" t="s">
        <v>266</v>
      </c>
      <c r="J499" s="103" t="s">
        <v>122</v>
      </c>
      <c r="K499" s="103" t="s">
        <v>6158</v>
      </c>
      <c r="L499" s="103"/>
      <c r="M499" s="103"/>
      <c r="N499" s="103" t="s">
        <v>6151</v>
      </c>
      <c r="O499" s="103" t="s">
        <v>47</v>
      </c>
      <c r="P499" s="103" t="s">
        <v>5892</v>
      </c>
      <c r="Q499" s="103"/>
      <c r="R499" s="103"/>
      <c r="S499" s="103" t="s">
        <v>5922</v>
      </c>
      <c r="T499" s="103">
        <v>339567</v>
      </c>
      <c r="U499" s="103">
        <v>5.5</v>
      </c>
      <c r="V499" s="103" t="s">
        <v>65</v>
      </c>
      <c r="W499" s="103" t="s">
        <v>310</v>
      </c>
    </row>
    <row r="500" spans="1:23" x14ac:dyDescent="0.45">
      <c r="A500" s="103">
        <f t="shared" si="26"/>
        <v>499</v>
      </c>
      <c r="B500" s="103" t="s">
        <v>6151</v>
      </c>
      <c r="C500" s="103" t="s">
        <v>6167</v>
      </c>
      <c r="D500" s="103"/>
      <c r="E500" s="103" t="s">
        <v>73</v>
      </c>
      <c r="F500" s="103" t="s">
        <v>72</v>
      </c>
      <c r="G500" s="103" t="s">
        <v>71</v>
      </c>
      <c r="H500" s="103" t="s">
        <v>6169</v>
      </c>
      <c r="I500" s="103" t="s">
        <v>266</v>
      </c>
      <c r="J500" s="103" t="s">
        <v>122</v>
      </c>
      <c r="K500" s="103" t="s">
        <v>6158</v>
      </c>
      <c r="L500" s="103"/>
      <c r="M500" s="103"/>
      <c r="N500" s="103" t="s">
        <v>6151</v>
      </c>
      <c r="O500" s="103" t="s">
        <v>5580</v>
      </c>
      <c r="P500" s="103" t="s">
        <v>5922</v>
      </c>
      <c r="Q500" s="103"/>
      <c r="R500" s="103"/>
      <c r="S500" s="103" t="s">
        <v>5901</v>
      </c>
      <c r="T500" s="103">
        <v>339567</v>
      </c>
      <c r="U500" s="103">
        <v>5.5</v>
      </c>
      <c r="V500" s="103" t="s">
        <v>65</v>
      </c>
      <c r="W500" s="103" t="s">
        <v>310</v>
      </c>
    </row>
    <row r="501" spans="1:23" x14ac:dyDescent="0.45">
      <c r="A501" s="103">
        <f t="shared" si="26"/>
        <v>500</v>
      </c>
      <c r="B501" s="103" t="s">
        <v>6151</v>
      </c>
      <c r="C501" s="103" t="s">
        <v>6167</v>
      </c>
      <c r="D501" s="103"/>
      <c r="E501" s="103" t="s">
        <v>73</v>
      </c>
      <c r="F501" s="103" t="s">
        <v>72</v>
      </c>
      <c r="G501" s="103" t="s">
        <v>71</v>
      </c>
      <c r="H501" s="103" t="s">
        <v>6169</v>
      </c>
      <c r="I501" s="103" t="s">
        <v>266</v>
      </c>
      <c r="J501" s="103" t="s">
        <v>122</v>
      </c>
      <c r="K501" s="103" t="s">
        <v>6158</v>
      </c>
      <c r="L501" s="103"/>
      <c r="M501" s="103" t="s">
        <v>6173</v>
      </c>
      <c r="N501" s="103" t="s">
        <v>6151</v>
      </c>
      <c r="O501" s="103" t="s">
        <v>5812</v>
      </c>
      <c r="P501" s="103" t="s">
        <v>6172</v>
      </c>
      <c r="Q501" s="103"/>
      <c r="R501" s="103"/>
      <c r="S501" s="103" t="s">
        <v>6172</v>
      </c>
      <c r="T501" s="103">
        <v>339567</v>
      </c>
      <c r="U501" s="103">
        <v>5.5</v>
      </c>
      <c r="V501" s="103" t="s">
        <v>65</v>
      </c>
      <c r="W501" s="103" t="s">
        <v>310</v>
      </c>
    </row>
    <row r="502" spans="1:23" x14ac:dyDescent="0.45">
      <c r="A502" s="103">
        <f t="shared" si="26"/>
        <v>501</v>
      </c>
      <c r="B502" s="103" t="s">
        <v>6151</v>
      </c>
      <c r="C502" s="103" t="s">
        <v>6167</v>
      </c>
      <c r="D502" s="103"/>
      <c r="E502" s="103" t="s">
        <v>73</v>
      </c>
      <c r="F502" s="103" t="s">
        <v>72</v>
      </c>
      <c r="G502" s="103" t="s">
        <v>71</v>
      </c>
      <c r="H502" s="103" t="s">
        <v>6169</v>
      </c>
      <c r="I502" s="103"/>
      <c r="J502" s="103" t="s">
        <v>122</v>
      </c>
      <c r="K502" s="103" t="s">
        <v>6158</v>
      </c>
      <c r="L502" s="103"/>
      <c r="M502" s="103" t="s">
        <v>6173</v>
      </c>
      <c r="N502" s="103" t="s">
        <v>6151</v>
      </c>
      <c r="O502" s="103" t="s">
        <v>5581</v>
      </c>
      <c r="P502" s="103" t="s">
        <v>6172</v>
      </c>
      <c r="Q502" s="103"/>
      <c r="R502" s="103"/>
      <c r="S502" s="103" t="s">
        <v>6172</v>
      </c>
      <c r="T502" s="103">
        <v>339567</v>
      </c>
      <c r="U502" s="103">
        <v>5.5</v>
      </c>
      <c r="V502" s="103" t="s">
        <v>65</v>
      </c>
      <c r="W502" s="103" t="s">
        <v>310</v>
      </c>
    </row>
    <row r="503" spans="1:23" x14ac:dyDescent="0.45">
      <c r="A503" s="103">
        <f t="shared" si="26"/>
        <v>502</v>
      </c>
      <c r="B503" s="103" t="s">
        <v>6151</v>
      </c>
      <c r="C503" s="103" t="s">
        <v>6167</v>
      </c>
      <c r="D503" s="103"/>
      <c r="E503" s="103" t="s">
        <v>73</v>
      </c>
      <c r="F503" s="103" t="s">
        <v>72</v>
      </c>
      <c r="G503" s="103" t="s">
        <v>71</v>
      </c>
      <c r="H503" s="103" t="s">
        <v>6169</v>
      </c>
      <c r="I503" s="103" t="s">
        <v>266</v>
      </c>
      <c r="J503" s="103" t="s">
        <v>122</v>
      </c>
      <c r="K503" s="103" t="s">
        <v>6158</v>
      </c>
      <c r="L503" s="103"/>
      <c r="M503" s="103" t="s">
        <v>6173</v>
      </c>
      <c r="N503" s="103" t="s">
        <v>6151</v>
      </c>
      <c r="O503" s="103" t="s">
        <v>5813</v>
      </c>
      <c r="P503" s="103" t="s">
        <v>6172</v>
      </c>
      <c r="Q503" s="103"/>
      <c r="R503" s="103"/>
      <c r="S503" s="103" t="s">
        <v>6172</v>
      </c>
      <c r="T503" s="103">
        <v>339567</v>
      </c>
      <c r="U503" s="103">
        <v>5.5</v>
      </c>
      <c r="V503" s="103" t="s">
        <v>65</v>
      </c>
      <c r="W503" s="103" t="s">
        <v>310</v>
      </c>
    </row>
    <row r="504" spans="1:23" x14ac:dyDescent="0.45">
      <c r="A504" s="103">
        <f t="shared" si="26"/>
        <v>503</v>
      </c>
      <c r="B504" s="103" t="s">
        <v>6151</v>
      </c>
      <c r="C504" s="103" t="s">
        <v>6167</v>
      </c>
      <c r="D504" s="103"/>
      <c r="E504" s="103" t="s">
        <v>73</v>
      </c>
      <c r="F504" s="103" t="s">
        <v>72</v>
      </c>
      <c r="G504" s="103" t="s">
        <v>71</v>
      </c>
      <c r="H504" s="103" t="s">
        <v>6169</v>
      </c>
      <c r="I504" s="103" t="s">
        <v>266</v>
      </c>
      <c r="J504" s="103" t="s">
        <v>122</v>
      </c>
      <c r="K504" s="103" t="s">
        <v>6158</v>
      </c>
      <c r="L504" s="103"/>
      <c r="M504" s="103" t="s">
        <v>6173</v>
      </c>
      <c r="N504" s="103"/>
      <c r="O504" s="103" t="s">
        <v>5814</v>
      </c>
      <c r="P504" s="103" t="s">
        <v>6172</v>
      </c>
      <c r="Q504" s="103"/>
      <c r="R504" s="103"/>
      <c r="S504" s="103" t="s">
        <v>6172</v>
      </c>
      <c r="T504" s="103">
        <v>339567</v>
      </c>
      <c r="U504" s="103">
        <v>5.5</v>
      </c>
      <c r="V504" s="103" t="s">
        <v>65</v>
      </c>
      <c r="W504" s="103" t="s">
        <v>310</v>
      </c>
    </row>
    <row r="505" spans="1:23" x14ac:dyDescent="0.45">
      <c r="A505" s="103">
        <f t="shared" si="26"/>
        <v>504</v>
      </c>
      <c r="B505" s="103" t="s">
        <v>6151</v>
      </c>
      <c r="C505" s="103" t="s">
        <v>6167</v>
      </c>
      <c r="D505" s="103"/>
      <c r="E505" s="103" t="s">
        <v>73</v>
      </c>
      <c r="F505" s="103" t="s">
        <v>72</v>
      </c>
      <c r="G505" s="103" t="s">
        <v>71</v>
      </c>
      <c r="H505" s="103" t="s">
        <v>6169</v>
      </c>
      <c r="I505" s="103"/>
      <c r="J505" s="103"/>
      <c r="K505" s="103"/>
      <c r="L505" s="103"/>
      <c r="M505" s="103"/>
      <c r="N505" s="103" t="s">
        <v>6151</v>
      </c>
      <c r="O505" s="103" t="s">
        <v>5819</v>
      </c>
      <c r="P505" s="103"/>
      <c r="Q505" s="103"/>
      <c r="R505" s="103"/>
      <c r="S505" s="103"/>
      <c r="T505" s="103">
        <v>339567</v>
      </c>
      <c r="U505" s="103"/>
      <c r="V505" s="103" t="s">
        <v>65</v>
      </c>
      <c r="W505" s="103" t="s">
        <v>310</v>
      </c>
    </row>
    <row r="506" spans="1:23" x14ac:dyDescent="0.45">
      <c r="A506" s="103">
        <f t="shared" si="26"/>
        <v>505</v>
      </c>
      <c r="B506" s="103" t="s">
        <v>6151</v>
      </c>
      <c r="C506" s="103" t="s">
        <v>1018</v>
      </c>
      <c r="D506" s="103" t="s">
        <v>330</v>
      </c>
      <c r="E506" s="103" t="s">
        <v>100</v>
      </c>
      <c r="F506" s="103" t="s">
        <v>72</v>
      </c>
      <c r="G506" s="103" t="s">
        <v>71</v>
      </c>
      <c r="H506" s="103" t="s">
        <v>6174</v>
      </c>
      <c r="I506" s="103" t="s">
        <v>143</v>
      </c>
      <c r="J506" s="103" t="s">
        <v>6177</v>
      </c>
      <c r="K506" s="103" t="s">
        <v>5788</v>
      </c>
      <c r="L506" s="103" t="s">
        <v>6182</v>
      </c>
      <c r="M506" s="103"/>
      <c r="N506" s="103" t="s">
        <v>6151</v>
      </c>
      <c r="O506" s="103" t="s">
        <v>47</v>
      </c>
      <c r="P506" s="103">
        <v>15</v>
      </c>
      <c r="Q506" s="103"/>
      <c r="R506" s="103"/>
      <c r="S506" s="103">
        <v>15</v>
      </c>
      <c r="T506" s="103">
        <v>692469</v>
      </c>
      <c r="U506" s="103">
        <v>8.5</v>
      </c>
      <c r="V506" s="103" t="s">
        <v>65</v>
      </c>
      <c r="W506" s="103" t="s">
        <v>310</v>
      </c>
    </row>
    <row r="507" spans="1:23" x14ac:dyDescent="0.45">
      <c r="A507" s="103">
        <f t="shared" si="26"/>
        <v>506</v>
      </c>
      <c r="B507" s="103" t="s">
        <v>6151</v>
      </c>
      <c r="C507" s="103" t="s">
        <v>1018</v>
      </c>
      <c r="D507" s="103" t="s">
        <v>330</v>
      </c>
      <c r="E507" s="103" t="s">
        <v>100</v>
      </c>
      <c r="F507" s="103" t="s">
        <v>72</v>
      </c>
      <c r="G507" s="103" t="s">
        <v>71</v>
      </c>
      <c r="H507" s="103" t="s">
        <v>6174</v>
      </c>
      <c r="I507" s="103" t="s">
        <v>143</v>
      </c>
      <c r="J507" s="103" t="s">
        <v>6177</v>
      </c>
      <c r="K507" s="103" t="s">
        <v>5788</v>
      </c>
      <c r="L507" s="103" t="s">
        <v>6183</v>
      </c>
      <c r="M507" s="103"/>
      <c r="N507" s="103" t="s">
        <v>6151</v>
      </c>
      <c r="O507" s="103" t="s">
        <v>5580</v>
      </c>
      <c r="P507" s="103">
        <v>15</v>
      </c>
      <c r="Q507" s="103"/>
      <c r="R507" s="103"/>
      <c r="S507" s="103">
        <v>15</v>
      </c>
      <c r="T507" s="103">
        <v>692469</v>
      </c>
      <c r="U507" s="103">
        <v>8.5</v>
      </c>
      <c r="V507" s="103" t="s">
        <v>65</v>
      </c>
      <c r="W507" s="103" t="s">
        <v>310</v>
      </c>
    </row>
    <row r="508" spans="1:23" x14ac:dyDescent="0.45">
      <c r="A508" s="103">
        <f t="shared" si="26"/>
        <v>507</v>
      </c>
      <c r="B508" s="103" t="s">
        <v>6151</v>
      </c>
      <c r="C508" s="103" t="s">
        <v>1018</v>
      </c>
      <c r="D508" s="103" t="s">
        <v>330</v>
      </c>
      <c r="E508" s="103" t="s">
        <v>100</v>
      </c>
      <c r="F508" s="103" t="s">
        <v>72</v>
      </c>
      <c r="G508" s="103" t="s">
        <v>71</v>
      </c>
      <c r="H508" s="103" t="s">
        <v>6174</v>
      </c>
      <c r="I508" s="103" t="s">
        <v>143</v>
      </c>
      <c r="J508" s="103" t="s">
        <v>6177</v>
      </c>
      <c r="K508" s="103" t="s">
        <v>189</v>
      </c>
      <c r="L508" s="103" t="s">
        <v>6178</v>
      </c>
      <c r="M508" s="103"/>
      <c r="N508" s="103" t="s">
        <v>6151</v>
      </c>
      <c r="O508" s="103" t="s">
        <v>5812</v>
      </c>
      <c r="P508" s="103" t="s">
        <v>6094</v>
      </c>
      <c r="Q508" s="103"/>
      <c r="R508" s="103"/>
      <c r="S508" s="103" t="s">
        <v>6094</v>
      </c>
      <c r="T508" s="103">
        <v>692469</v>
      </c>
      <c r="U508" s="103">
        <v>8.5</v>
      </c>
      <c r="V508" s="103" t="s">
        <v>65</v>
      </c>
      <c r="W508" s="103" t="s">
        <v>310</v>
      </c>
    </row>
    <row r="509" spans="1:23" x14ac:dyDescent="0.45">
      <c r="A509" s="103">
        <f t="shared" si="26"/>
        <v>508</v>
      </c>
      <c r="B509" s="103" t="s">
        <v>6151</v>
      </c>
      <c r="C509" s="103" t="s">
        <v>1018</v>
      </c>
      <c r="D509" s="103" t="s">
        <v>330</v>
      </c>
      <c r="E509" s="103" t="s">
        <v>100</v>
      </c>
      <c r="F509" s="103" t="s">
        <v>72</v>
      </c>
      <c r="G509" s="103" t="s">
        <v>71</v>
      </c>
      <c r="H509" s="103" t="s">
        <v>6174</v>
      </c>
      <c r="I509" s="103"/>
      <c r="J509" s="103" t="s">
        <v>6177</v>
      </c>
      <c r="K509" s="103" t="s">
        <v>189</v>
      </c>
      <c r="L509" s="103" t="s">
        <v>6179</v>
      </c>
      <c r="M509" s="103"/>
      <c r="N509" s="103" t="s">
        <v>6151</v>
      </c>
      <c r="O509" s="103" t="s">
        <v>5581</v>
      </c>
      <c r="P509" s="103" t="s">
        <v>6094</v>
      </c>
      <c r="Q509" s="103"/>
      <c r="R509" s="103"/>
      <c r="S509" s="103" t="s">
        <v>6094</v>
      </c>
      <c r="T509" s="103">
        <v>692469</v>
      </c>
      <c r="U509" s="103">
        <v>8.5</v>
      </c>
      <c r="V509" s="103" t="s">
        <v>65</v>
      </c>
      <c r="W509" s="103" t="s">
        <v>310</v>
      </c>
    </row>
    <row r="510" spans="1:23" x14ac:dyDescent="0.45">
      <c r="A510" s="103">
        <f t="shared" si="26"/>
        <v>509</v>
      </c>
      <c r="B510" s="103" t="s">
        <v>6151</v>
      </c>
      <c r="C510" s="103" t="s">
        <v>1018</v>
      </c>
      <c r="D510" s="103" t="s">
        <v>330</v>
      </c>
      <c r="E510" s="103" t="s">
        <v>100</v>
      </c>
      <c r="F510" s="103" t="s">
        <v>72</v>
      </c>
      <c r="G510" s="103" t="s">
        <v>71</v>
      </c>
      <c r="H510" s="103" t="s">
        <v>6174</v>
      </c>
      <c r="I510" s="103" t="s">
        <v>143</v>
      </c>
      <c r="J510" s="103" t="s">
        <v>6177</v>
      </c>
      <c r="K510" s="103" t="s">
        <v>189</v>
      </c>
      <c r="L510" s="103" t="s">
        <v>6180</v>
      </c>
      <c r="M510" s="103"/>
      <c r="N510" s="103" t="s">
        <v>6151</v>
      </c>
      <c r="O510" s="103" t="s">
        <v>5813</v>
      </c>
      <c r="P510" s="103" t="s">
        <v>6094</v>
      </c>
      <c r="Q510" s="103"/>
      <c r="R510" s="103"/>
      <c r="S510" s="103" t="s">
        <v>6094</v>
      </c>
      <c r="T510" s="103">
        <v>692469</v>
      </c>
      <c r="U510" s="103">
        <v>8.5</v>
      </c>
      <c r="V510" s="103" t="s">
        <v>65</v>
      </c>
      <c r="W510" s="103" t="s">
        <v>310</v>
      </c>
    </row>
    <row r="511" spans="1:23" x14ac:dyDescent="0.45">
      <c r="A511" s="103">
        <f t="shared" si="26"/>
        <v>510</v>
      </c>
      <c r="B511" s="103" t="s">
        <v>6151</v>
      </c>
      <c r="C511" s="103" t="s">
        <v>1018</v>
      </c>
      <c r="D511" s="103" t="s">
        <v>330</v>
      </c>
      <c r="E511" s="103" t="s">
        <v>100</v>
      </c>
      <c r="F511" s="103" t="s">
        <v>72</v>
      </c>
      <c r="G511" s="103" t="s">
        <v>71</v>
      </c>
      <c r="H511" s="103" t="s">
        <v>6174</v>
      </c>
      <c r="I511" s="103" t="s">
        <v>143</v>
      </c>
      <c r="J511" s="103" t="s">
        <v>6177</v>
      </c>
      <c r="K511" s="103" t="s">
        <v>189</v>
      </c>
      <c r="L511" s="103" t="s">
        <v>6181</v>
      </c>
      <c r="M511" s="103"/>
      <c r="N511" s="103"/>
      <c r="O511" s="103" t="s">
        <v>5814</v>
      </c>
      <c r="P511" s="103" t="s">
        <v>6094</v>
      </c>
      <c r="Q511" s="103"/>
      <c r="R511" s="103"/>
      <c r="S511" s="103" t="s">
        <v>6094</v>
      </c>
      <c r="T511" s="103">
        <v>692469</v>
      </c>
      <c r="U511" s="103">
        <v>8.5</v>
      </c>
      <c r="V511" s="103" t="s">
        <v>65</v>
      </c>
      <c r="W511" s="103" t="s">
        <v>310</v>
      </c>
    </row>
    <row r="512" spans="1:23" x14ac:dyDescent="0.45">
      <c r="A512" s="103">
        <f t="shared" si="26"/>
        <v>511</v>
      </c>
      <c r="B512" s="103" t="s">
        <v>6151</v>
      </c>
      <c r="C512" s="103" t="s">
        <v>1018</v>
      </c>
      <c r="D512" s="103" t="s">
        <v>330</v>
      </c>
      <c r="E512" s="103" t="s">
        <v>100</v>
      </c>
      <c r="F512" s="103" t="s">
        <v>72</v>
      </c>
      <c r="G512" s="103" t="s">
        <v>71</v>
      </c>
      <c r="H512" s="103" t="s">
        <v>6174</v>
      </c>
      <c r="I512" s="103"/>
      <c r="J512" s="103"/>
      <c r="K512" s="103"/>
      <c r="L512" s="103"/>
      <c r="M512" s="103"/>
      <c r="N512" s="103" t="s">
        <v>6151</v>
      </c>
      <c r="O512" s="103" t="s">
        <v>5819</v>
      </c>
      <c r="P512" s="103"/>
      <c r="Q512" s="103"/>
      <c r="R512" s="103"/>
      <c r="S512" s="103"/>
      <c r="T512" s="103">
        <v>692469</v>
      </c>
      <c r="U512" s="103"/>
      <c r="V512" s="103" t="s">
        <v>65</v>
      </c>
      <c r="W512" s="103" t="s">
        <v>310</v>
      </c>
    </row>
    <row r="513" spans="1:23" x14ac:dyDescent="0.45">
      <c r="A513" s="103">
        <f t="shared" si="26"/>
        <v>512</v>
      </c>
      <c r="B513" s="103" t="s">
        <v>6151</v>
      </c>
      <c r="C513" s="103" t="s">
        <v>2210</v>
      </c>
      <c r="D513" s="103" t="s">
        <v>324</v>
      </c>
      <c r="E513" s="103" t="s">
        <v>70</v>
      </c>
      <c r="F513" s="103" t="s">
        <v>72</v>
      </c>
      <c r="G513" s="103" t="s">
        <v>71</v>
      </c>
      <c r="H513" s="103" t="s">
        <v>6184</v>
      </c>
      <c r="I513" s="103" t="s">
        <v>278</v>
      </c>
      <c r="J513" s="103" t="s">
        <v>122</v>
      </c>
      <c r="K513" s="103" t="s">
        <v>186</v>
      </c>
      <c r="L513" s="103"/>
      <c r="M513" s="103"/>
      <c r="N513" s="103" t="s">
        <v>6151</v>
      </c>
      <c r="O513" s="103" t="s">
        <v>47</v>
      </c>
      <c r="P513" s="103">
        <v>11</v>
      </c>
      <c r="Q513" s="103"/>
      <c r="R513" s="103"/>
      <c r="S513" s="103" t="s">
        <v>6186</v>
      </c>
      <c r="T513" s="103">
        <v>185123</v>
      </c>
      <c r="U513" s="103">
        <v>7.2</v>
      </c>
      <c r="V513" s="103" t="s">
        <v>65</v>
      </c>
      <c r="W513" s="103" t="s">
        <v>310</v>
      </c>
    </row>
    <row r="514" spans="1:23" x14ac:dyDescent="0.45">
      <c r="A514" s="103">
        <f t="shared" si="26"/>
        <v>513</v>
      </c>
      <c r="B514" s="103" t="s">
        <v>6151</v>
      </c>
      <c r="C514" s="103" t="s">
        <v>2210</v>
      </c>
      <c r="D514" s="103" t="s">
        <v>324</v>
      </c>
      <c r="E514" s="103" t="s">
        <v>70</v>
      </c>
      <c r="F514" s="103" t="s">
        <v>72</v>
      </c>
      <c r="G514" s="103" t="s">
        <v>71</v>
      </c>
      <c r="H514" s="103" t="s">
        <v>6184</v>
      </c>
      <c r="I514" s="103" t="s">
        <v>278</v>
      </c>
      <c r="J514" s="103" t="s">
        <v>122</v>
      </c>
      <c r="K514" s="103" t="s">
        <v>186</v>
      </c>
      <c r="L514" s="103" t="s">
        <v>6188</v>
      </c>
      <c r="M514" s="103"/>
      <c r="N514" s="103" t="s">
        <v>6151</v>
      </c>
      <c r="O514" s="103" t="s">
        <v>5580</v>
      </c>
      <c r="P514" s="103" t="s">
        <v>6122</v>
      </c>
      <c r="Q514" s="103"/>
      <c r="R514" s="103"/>
      <c r="S514" s="103" t="s">
        <v>6122</v>
      </c>
      <c r="T514" s="103">
        <v>185123</v>
      </c>
      <c r="U514" s="103">
        <v>7.2</v>
      </c>
      <c r="V514" s="103" t="s">
        <v>65</v>
      </c>
      <c r="W514" s="103" t="s">
        <v>310</v>
      </c>
    </row>
    <row r="515" spans="1:23" x14ac:dyDescent="0.45">
      <c r="A515" s="103">
        <f t="shared" si="26"/>
        <v>514</v>
      </c>
      <c r="B515" s="103" t="s">
        <v>6151</v>
      </c>
      <c r="C515" s="103" t="s">
        <v>2210</v>
      </c>
      <c r="D515" s="103" t="s">
        <v>324</v>
      </c>
      <c r="E515" s="103" t="s">
        <v>70</v>
      </c>
      <c r="F515" s="103" t="s">
        <v>72</v>
      </c>
      <c r="G515" s="103" t="s">
        <v>71</v>
      </c>
      <c r="H515" s="103" t="s">
        <v>6184</v>
      </c>
      <c r="I515" s="103" t="s">
        <v>278</v>
      </c>
      <c r="J515" s="103" t="s">
        <v>280</v>
      </c>
      <c r="K515" s="103" t="s">
        <v>6187</v>
      </c>
      <c r="L515" s="103"/>
      <c r="M515" s="103"/>
      <c r="N515" s="103" t="s">
        <v>6151</v>
      </c>
      <c r="O515" s="103" t="s">
        <v>5812</v>
      </c>
      <c r="P515" s="103" t="s">
        <v>5903</v>
      </c>
      <c r="Q515" s="103"/>
      <c r="R515" s="103"/>
      <c r="S515" s="103" t="s">
        <v>5797</v>
      </c>
      <c r="T515" s="103">
        <v>185123</v>
      </c>
      <c r="U515" s="103">
        <v>7.2</v>
      </c>
      <c r="V515" s="103" t="s">
        <v>65</v>
      </c>
      <c r="W515" s="103" t="s">
        <v>310</v>
      </c>
    </row>
    <row r="516" spans="1:23" x14ac:dyDescent="0.45">
      <c r="A516" s="103">
        <f t="shared" si="26"/>
        <v>515</v>
      </c>
      <c r="B516" s="103" t="s">
        <v>6151</v>
      </c>
      <c r="C516" s="103" t="s">
        <v>2210</v>
      </c>
      <c r="D516" s="103" t="s">
        <v>324</v>
      </c>
      <c r="E516" s="103" t="s">
        <v>70</v>
      </c>
      <c r="F516" s="103" t="s">
        <v>72</v>
      </c>
      <c r="G516" s="103" t="s">
        <v>71</v>
      </c>
      <c r="H516" s="103" t="s">
        <v>6184</v>
      </c>
      <c r="I516" s="103"/>
      <c r="J516" s="103" t="s">
        <v>280</v>
      </c>
      <c r="K516" s="103" t="s">
        <v>6187</v>
      </c>
      <c r="L516" s="103"/>
      <c r="M516" s="103"/>
      <c r="N516" s="103" t="s">
        <v>6151</v>
      </c>
      <c r="O516" s="103" t="s">
        <v>5581</v>
      </c>
      <c r="P516" s="103" t="s">
        <v>5903</v>
      </c>
      <c r="Q516" s="103"/>
      <c r="R516" s="103"/>
      <c r="S516" s="103" t="s">
        <v>5797</v>
      </c>
      <c r="T516" s="103">
        <v>185123</v>
      </c>
      <c r="U516" s="103">
        <v>7.2</v>
      </c>
      <c r="V516" s="103" t="s">
        <v>65</v>
      </c>
      <c r="W516" s="103" t="s">
        <v>310</v>
      </c>
    </row>
    <row r="517" spans="1:23" x14ac:dyDescent="0.45">
      <c r="A517" s="103">
        <f t="shared" si="26"/>
        <v>516</v>
      </c>
      <c r="B517" s="103" t="s">
        <v>6151</v>
      </c>
      <c r="C517" s="103" t="s">
        <v>2210</v>
      </c>
      <c r="D517" s="103" t="s">
        <v>324</v>
      </c>
      <c r="E517" s="103" t="s">
        <v>70</v>
      </c>
      <c r="F517" s="103" t="s">
        <v>72</v>
      </c>
      <c r="G517" s="103" t="s">
        <v>71</v>
      </c>
      <c r="H517" s="103" t="s">
        <v>6184</v>
      </c>
      <c r="I517" s="103" t="s">
        <v>278</v>
      </c>
      <c r="J517" s="103" t="s">
        <v>280</v>
      </c>
      <c r="K517" s="103" t="s">
        <v>6187</v>
      </c>
      <c r="L517" s="103"/>
      <c r="M517" s="103"/>
      <c r="N517" s="103" t="s">
        <v>6151</v>
      </c>
      <c r="O517" s="103" t="s">
        <v>5813</v>
      </c>
      <c r="P517" s="103" t="s">
        <v>5888</v>
      </c>
      <c r="Q517" s="103"/>
      <c r="R517" s="103"/>
      <c r="S517" s="103" t="s">
        <v>6028</v>
      </c>
      <c r="T517" s="103">
        <v>185123</v>
      </c>
      <c r="U517" s="103">
        <v>7.2</v>
      </c>
      <c r="V517" s="103" t="s">
        <v>65</v>
      </c>
      <c r="W517" s="103" t="s">
        <v>310</v>
      </c>
    </row>
    <row r="518" spans="1:23" x14ac:dyDescent="0.45">
      <c r="A518" s="103">
        <f t="shared" si="26"/>
        <v>517</v>
      </c>
      <c r="B518" s="103" t="s">
        <v>6151</v>
      </c>
      <c r="C518" s="103" t="s">
        <v>2210</v>
      </c>
      <c r="D518" s="103" t="s">
        <v>324</v>
      </c>
      <c r="E518" s="103" t="s">
        <v>70</v>
      </c>
      <c r="F518" s="103" t="s">
        <v>72</v>
      </c>
      <c r="G518" s="103" t="s">
        <v>71</v>
      </c>
      <c r="H518" s="103" t="s">
        <v>6184</v>
      </c>
      <c r="I518" s="103" t="s">
        <v>278</v>
      </c>
      <c r="J518" s="103" t="s">
        <v>280</v>
      </c>
      <c r="K518" s="103" t="s">
        <v>6187</v>
      </c>
      <c r="L518" s="103"/>
      <c r="M518" s="103"/>
      <c r="N518" s="103"/>
      <c r="O518" s="103" t="s">
        <v>5814</v>
      </c>
      <c r="P518" s="103" t="s">
        <v>5888</v>
      </c>
      <c r="Q518" s="103"/>
      <c r="R518" s="103"/>
      <c r="S518" s="103" t="s">
        <v>6028</v>
      </c>
      <c r="T518" s="103">
        <v>185123</v>
      </c>
      <c r="U518" s="103">
        <v>7.2</v>
      </c>
      <c r="V518" s="103" t="s">
        <v>65</v>
      </c>
      <c r="W518" s="103" t="s">
        <v>310</v>
      </c>
    </row>
    <row r="519" spans="1:23" x14ac:dyDescent="0.45">
      <c r="A519" s="103">
        <f t="shared" si="26"/>
        <v>518</v>
      </c>
      <c r="B519" s="103" t="s">
        <v>6151</v>
      </c>
      <c r="C519" s="103" t="s">
        <v>2210</v>
      </c>
      <c r="D519" s="103" t="s">
        <v>324</v>
      </c>
      <c r="E519" s="103" t="s">
        <v>70</v>
      </c>
      <c r="F519" s="103" t="s">
        <v>72</v>
      </c>
      <c r="G519" s="103" t="s">
        <v>71</v>
      </c>
      <c r="H519" s="103" t="s">
        <v>6184</v>
      </c>
      <c r="I519" s="103"/>
      <c r="J519" s="103"/>
      <c r="K519" s="103"/>
      <c r="L519" s="103"/>
      <c r="M519" s="103"/>
      <c r="N519" s="103" t="s">
        <v>6151</v>
      </c>
      <c r="O519" s="103" t="s">
        <v>5819</v>
      </c>
      <c r="P519" s="103"/>
      <c r="Q519" s="103"/>
      <c r="R519" s="103"/>
      <c r="S519" s="103"/>
      <c r="T519" s="103">
        <v>185123</v>
      </c>
      <c r="U519" s="103"/>
      <c r="V519" s="103" t="s">
        <v>65</v>
      </c>
      <c r="W519" s="103" t="s">
        <v>310</v>
      </c>
    </row>
    <row r="520" spans="1:23" x14ac:dyDescent="0.45">
      <c r="A520" s="103">
        <f t="shared" ref="A520:A533" si="27">ROW()-1</f>
        <v>519</v>
      </c>
      <c r="B520" s="103" t="s">
        <v>6194</v>
      </c>
      <c r="C520" s="103" t="s">
        <v>5782</v>
      </c>
      <c r="D520" s="103"/>
      <c r="E520" s="103" t="s">
        <v>100</v>
      </c>
      <c r="F520" s="103" t="s">
        <v>77</v>
      </c>
      <c r="G520" s="103" t="s">
        <v>88</v>
      </c>
      <c r="H520" s="103" t="s">
        <v>6195</v>
      </c>
      <c r="I520" s="103" t="s">
        <v>143</v>
      </c>
      <c r="J520" s="103" t="s">
        <v>122</v>
      </c>
      <c r="K520" s="103" t="s">
        <v>5788</v>
      </c>
      <c r="L520" s="103"/>
      <c r="M520" s="103"/>
      <c r="N520" s="103" t="s">
        <v>6194</v>
      </c>
      <c r="O520" s="103" t="s">
        <v>47</v>
      </c>
      <c r="P520" s="103" t="s">
        <v>5904</v>
      </c>
      <c r="Q520" s="103"/>
      <c r="R520" s="103"/>
      <c r="S520" s="103" t="s">
        <v>5852</v>
      </c>
      <c r="T520" s="103">
        <v>589441</v>
      </c>
      <c r="U520" s="103">
        <v>8.5</v>
      </c>
      <c r="V520" s="103" t="s">
        <v>65</v>
      </c>
      <c r="W520" s="103" t="s">
        <v>310</v>
      </c>
    </row>
    <row r="521" spans="1:23" x14ac:dyDescent="0.45">
      <c r="A521" s="103">
        <f t="shared" si="27"/>
        <v>520</v>
      </c>
      <c r="B521" s="103" t="s">
        <v>6194</v>
      </c>
      <c r="C521" s="103" t="s">
        <v>5782</v>
      </c>
      <c r="D521" s="103"/>
      <c r="E521" s="103" t="s">
        <v>100</v>
      </c>
      <c r="F521" s="103" t="s">
        <v>77</v>
      </c>
      <c r="G521" s="103" t="s">
        <v>88</v>
      </c>
      <c r="H521" s="103" t="s">
        <v>6195</v>
      </c>
      <c r="I521" s="103" t="s">
        <v>143</v>
      </c>
      <c r="J521" s="103" t="s">
        <v>122</v>
      </c>
      <c r="K521" s="103" t="s">
        <v>5788</v>
      </c>
      <c r="L521" s="103"/>
      <c r="M521" s="103"/>
      <c r="N521" s="103" t="s">
        <v>6194</v>
      </c>
      <c r="O521" s="103" t="s">
        <v>5580</v>
      </c>
      <c r="P521" s="103" t="s">
        <v>5854</v>
      </c>
      <c r="Q521" s="103"/>
      <c r="R521" s="103"/>
      <c r="S521" s="103" t="s">
        <v>6087</v>
      </c>
      <c r="T521" s="103">
        <v>589441</v>
      </c>
      <c r="U521" s="103">
        <v>8.5</v>
      </c>
      <c r="V521" s="103" t="s">
        <v>65</v>
      </c>
      <c r="W521" s="103" t="s">
        <v>310</v>
      </c>
    </row>
    <row r="522" spans="1:23" x14ac:dyDescent="0.45">
      <c r="A522" s="103">
        <f t="shared" si="27"/>
        <v>521</v>
      </c>
      <c r="B522" s="103" t="s">
        <v>6194</v>
      </c>
      <c r="C522" s="103" t="s">
        <v>5782</v>
      </c>
      <c r="D522" s="103"/>
      <c r="E522" s="103" t="s">
        <v>100</v>
      </c>
      <c r="F522" s="103" t="s">
        <v>77</v>
      </c>
      <c r="G522" s="103" t="s">
        <v>88</v>
      </c>
      <c r="H522" s="103" t="s">
        <v>6195</v>
      </c>
      <c r="I522" s="103" t="s">
        <v>143</v>
      </c>
      <c r="J522" s="103" t="s">
        <v>142</v>
      </c>
      <c r="K522" s="103" t="s">
        <v>144</v>
      </c>
      <c r="L522" s="103"/>
      <c r="M522" s="103"/>
      <c r="N522" s="103" t="s">
        <v>6194</v>
      </c>
      <c r="O522" s="103" t="s">
        <v>5812</v>
      </c>
      <c r="P522" s="103" t="s">
        <v>5842</v>
      </c>
      <c r="Q522" s="103"/>
      <c r="R522" s="103"/>
      <c r="S522" s="103" t="s">
        <v>5844</v>
      </c>
      <c r="T522" s="103">
        <v>589441</v>
      </c>
      <c r="U522" s="103">
        <v>8.5</v>
      </c>
      <c r="V522" s="103" t="s">
        <v>65</v>
      </c>
      <c r="W522" s="103" t="s">
        <v>310</v>
      </c>
    </row>
    <row r="523" spans="1:23" x14ac:dyDescent="0.45">
      <c r="A523" s="103">
        <f t="shared" si="27"/>
        <v>522</v>
      </c>
      <c r="B523" s="103" t="s">
        <v>6194</v>
      </c>
      <c r="C523" s="103" t="s">
        <v>5782</v>
      </c>
      <c r="D523" s="103"/>
      <c r="E523" s="103" t="s">
        <v>100</v>
      </c>
      <c r="F523" s="103" t="s">
        <v>77</v>
      </c>
      <c r="G523" s="103" t="s">
        <v>88</v>
      </c>
      <c r="H523" s="103" t="s">
        <v>6195</v>
      </c>
      <c r="I523" s="103"/>
      <c r="J523" s="103" t="s">
        <v>142</v>
      </c>
      <c r="K523" s="103" t="s">
        <v>144</v>
      </c>
      <c r="L523" s="103"/>
      <c r="M523" s="103"/>
      <c r="N523" s="103" t="s">
        <v>6194</v>
      </c>
      <c r="O523" s="103" t="s">
        <v>5581</v>
      </c>
      <c r="P523" s="103" t="s">
        <v>5790</v>
      </c>
      <c r="Q523" s="103"/>
      <c r="R523" s="103"/>
      <c r="S523" s="103" t="s">
        <v>5789</v>
      </c>
      <c r="T523" s="103">
        <v>589441</v>
      </c>
      <c r="U523" s="103">
        <v>8.5</v>
      </c>
      <c r="V523" s="103" t="s">
        <v>65</v>
      </c>
      <c r="W523" s="103" t="s">
        <v>310</v>
      </c>
    </row>
    <row r="524" spans="1:23" x14ac:dyDescent="0.45">
      <c r="A524" s="103">
        <f t="shared" si="27"/>
        <v>523</v>
      </c>
      <c r="B524" s="103" t="s">
        <v>6194</v>
      </c>
      <c r="C524" s="103" t="s">
        <v>5782</v>
      </c>
      <c r="D524" s="103"/>
      <c r="E524" s="103" t="s">
        <v>100</v>
      </c>
      <c r="F524" s="103" t="s">
        <v>77</v>
      </c>
      <c r="G524" s="103" t="s">
        <v>88</v>
      </c>
      <c r="H524" s="103" t="s">
        <v>6195</v>
      </c>
      <c r="I524" s="103" t="s">
        <v>143</v>
      </c>
      <c r="J524" s="103" t="s">
        <v>142</v>
      </c>
      <c r="K524" s="103" t="s">
        <v>144</v>
      </c>
      <c r="L524" s="103"/>
      <c r="M524" s="103"/>
      <c r="N524" s="103" t="s">
        <v>6194</v>
      </c>
      <c r="O524" s="103" t="s">
        <v>5813</v>
      </c>
      <c r="P524" s="103" t="s">
        <v>5969</v>
      </c>
      <c r="Q524" s="103"/>
      <c r="R524" s="103"/>
      <c r="S524" s="103" t="s">
        <v>5832</v>
      </c>
      <c r="T524" s="103">
        <v>589441</v>
      </c>
      <c r="U524" s="103">
        <v>8.5</v>
      </c>
      <c r="V524" s="103" t="s">
        <v>65</v>
      </c>
      <c r="W524" s="103" t="s">
        <v>310</v>
      </c>
    </row>
    <row r="525" spans="1:23" x14ac:dyDescent="0.45">
      <c r="A525" s="103">
        <f t="shared" si="27"/>
        <v>524</v>
      </c>
      <c r="B525" s="103" t="s">
        <v>6194</v>
      </c>
      <c r="C525" s="103" t="s">
        <v>5782</v>
      </c>
      <c r="D525" s="103"/>
      <c r="E525" s="103" t="s">
        <v>100</v>
      </c>
      <c r="F525" s="103" t="s">
        <v>77</v>
      </c>
      <c r="G525" s="103" t="s">
        <v>88</v>
      </c>
      <c r="H525" s="103" t="s">
        <v>6195</v>
      </c>
      <c r="I525" s="103" t="s">
        <v>143</v>
      </c>
      <c r="J525" s="103" t="s">
        <v>142</v>
      </c>
      <c r="K525" s="103" t="s">
        <v>144</v>
      </c>
      <c r="L525" s="103"/>
      <c r="M525" s="103"/>
      <c r="N525" s="103"/>
      <c r="O525" s="103" t="s">
        <v>5814</v>
      </c>
      <c r="P525" s="103" t="s">
        <v>5833</v>
      </c>
      <c r="Q525" s="103"/>
      <c r="R525" s="103"/>
      <c r="S525" s="103" t="s">
        <v>5832</v>
      </c>
      <c r="T525" s="103">
        <v>589441</v>
      </c>
      <c r="U525" s="103">
        <v>8.5</v>
      </c>
      <c r="V525" s="103" t="s">
        <v>65</v>
      </c>
      <c r="W525" s="103" t="s">
        <v>310</v>
      </c>
    </row>
    <row r="526" spans="1:23" x14ac:dyDescent="0.45">
      <c r="A526" s="103">
        <f t="shared" si="27"/>
        <v>525</v>
      </c>
      <c r="B526" s="103" t="s">
        <v>6194</v>
      </c>
      <c r="C526" s="103" t="s">
        <v>5782</v>
      </c>
      <c r="D526" s="103"/>
      <c r="E526" s="103" t="s">
        <v>100</v>
      </c>
      <c r="F526" s="103" t="s">
        <v>77</v>
      </c>
      <c r="G526" s="103" t="s">
        <v>88</v>
      </c>
      <c r="H526" s="103" t="s">
        <v>6195</v>
      </c>
      <c r="I526" s="103" t="s">
        <v>143</v>
      </c>
      <c r="J526" s="103" t="s">
        <v>122</v>
      </c>
      <c r="K526" s="103" t="s">
        <v>5788</v>
      </c>
      <c r="L526" s="103"/>
      <c r="M526" s="103"/>
      <c r="N526" s="103" t="s">
        <v>6194</v>
      </c>
      <c r="O526" s="103" t="s">
        <v>5815</v>
      </c>
      <c r="P526" s="103"/>
      <c r="Q526" s="103"/>
      <c r="R526" s="103"/>
      <c r="S526" s="103" t="s">
        <v>5886</v>
      </c>
      <c r="T526" s="103">
        <v>589441</v>
      </c>
      <c r="U526" s="103">
        <v>8.5</v>
      </c>
      <c r="V526" s="103" t="s">
        <v>65</v>
      </c>
      <c r="W526" s="103" t="s">
        <v>310</v>
      </c>
    </row>
    <row r="527" spans="1:23" x14ac:dyDescent="0.45">
      <c r="A527" s="103">
        <f t="shared" si="27"/>
        <v>526</v>
      </c>
      <c r="B527" s="103" t="s">
        <v>6194</v>
      </c>
      <c r="C527" s="103" t="s">
        <v>5782</v>
      </c>
      <c r="D527" s="103"/>
      <c r="E527" s="103" t="s">
        <v>100</v>
      </c>
      <c r="F527" s="103" t="s">
        <v>77</v>
      </c>
      <c r="G527" s="103" t="s">
        <v>88</v>
      </c>
      <c r="H527" s="103" t="s">
        <v>6195</v>
      </c>
      <c r="I527" s="103" t="s">
        <v>143</v>
      </c>
      <c r="J527" s="103" t="s">
        <v>122</v>
      </c>
      <c r="K527" s="103" t="s">
        <v>5788</v>
      </c>
      <c r="L527" s="103"/>
      <c r="M527" s="103"/>
      <c r="N527" s="103" t="s">
        <v>6194</v>
      </c>
      <c r="O527" s="103" t="s">
        <v>5816</v>
      </c>
      <c r="P527" s="103" t="s">
        <v>5883</v>
      </c>
      <c r="Q527" s="103"/>
      <c r="R527" s="103"/>
      <c r="S527" s="103" t="s">
        <v>5886</v>
      </c>
      <c r="T527" s="103">
        <v>589441</v>
      </c>
      <c r="U527" s="103">
        <v>8.5</v>
      </c>
      <c r="V527" s="103" t="s">
        <v>65</v>
      </c>
      <c r="W527" s="103" t="s">
        <v>310</v>
      </c>
    </row>
    <row r="528" spans="1:23" x14ac:dyDescent="0.45">
      <c r="A528" s="103">
        <f t="shared" si="27"/>
        <v>527</v>
      </c>
      <c r="B528" s="103" t="s">
        <v>6194</v>
      </c>
      <c r="C528" s="103" t="s">
        <v>5782</v>
      </c>
      <c r="D528" s="103"/>
      <c r="E528" s="103" t="s">
        <v>100</v>
      </c>
      <c r="F528" s="103" t="s">
        <v>77</v>
      </c>
      <c r="G528" s="103" t="s">
        <v>88</v>
      </c>
      <c r="H528" s="103" t="s">
        <v>6195</v>
      </c>
      <c r="I528" s="103" t="s">
        <v>116</v>
      </c>
      <c r="J528" s="103" t="s">
        <v>6042</v>
      </c>
      <c r="K528" s="103" t="s">
        <v>5739</v>
      </c>
      <c r="L528" s="103"/>
      <c r="M528" s="103"/>
      <c r="N528" s="103" t="s">
        <v>6194</v>
      </c>
      <c r="O528" s="103" t="s">
        <v>5817</v>
      </c>
      <c r="P528" s="103" t="s">
        <v>6027</v>
      </c>
      <c r="Q528" s="103"/>
      <c r="R528" s="103"/>
      <c r="S528" s="103" t="s">
        <v>5921</v>
      </c>
      <c r="T528" s="103">
        <v>589441</v>
      </c>
      <c r="U528" s="103">
        <v>8.5</v>
      </c>
      <c r="V528" s="103" t="s">
        <v>65</v>
      </c>
      <c r="W528" s="103" t="s">
        <v>310</v>
      </c>
    </row>
    <row r="529" spans="1:23" x14ac:dyDescent="0.45">
      <c r="A529" s="103">
        <f t="shared" si="27"/>
        <v>528</v>
      </c>
      <c r="B529" s="103" t="s">
        <v>6194</v>
      </c>
      <c r="C529" s="103" t="s">
        <v>5782</v>
      </c>
      <c r="D529" s="103"/>
      <c r="E529" s="103" t="s">
        <v>100</v>
      </c>
      <c r="F529" s="103" t="s">
        <v>77</v>
      </c>
      <c r="G529" s="103" t="s">
        <v>88</v>
      </c>
      <c r="H529" s="103" t="s">
        <v>6195</v>
      </c>
      <c r="I529" s="103" t="s">
        <v>116</v>
      </c>
      <c r="J529" s="103" t="s">
        <v>6042</v>
      </c>
      <c r="K529" s="103" t="s">
        <v>5739</v>
      </c>
      <c r="L529" s="103"/>
      <c r="M529" s="103"/>
      <c r="N529" s="103" t="s">
        <v>6194</v>
      </c>
      <c r="O529" s="103" t="s">
        <v>5818</v>
      </c>
      <c r="P529" s="103" t="s">
        <v>5968</v>
      </c>
      <c r="Q529" s="103"/>
      <c r="R529" s="103"/>
      <c r="S529" s="103" t="s">
        <v>5902</v>
      </c>
      <c r="T529" s="103">
        <v>589441</v>
      </c>
      <c r="U529" s="103">
        <v>8.5</v>
      </c>
      <c r="V529" s="103" t="s">
        <v>65</v>
      </c>
      <c r="W529" s="103" t="s">
        <v>310</v>
      </c>
    </row>
    <row r="530" spans="1:23" x14ac:dyDescent="0.45">
      <c r="A530" s="103">
        <f t="shared" si="27"/>
        <v>529</v>
      </c>
      <c r="B530" s="103" t="s">
        <v>6194</v>
      </c>
      <c r="C530" s="103" t="s">
        <v>5782</v>
      </c>
      <c r="D530" s="103"/>
      <c r="E530" s="103" t="s">
        <v>100</v>
      </c>
      <c r="F530" s="103" t="s">
        <v>77</v>
      </c>
      <c r="G530" s="103" t="s">
        <v>88</v>
      </c>
      <c r="H530" s="103" t="s">
        <v>6195</v>
      </c>
      <c r="I530" s="103" t="s">
        <v>116</v>
      </c>
      <c r="J530" s="103" t="s">
        <v>142</v>
      </c>
      <c r="K530" s="103" t="s">
        <v>6008</v>
      </c>
      <c r="L530" s="103">
        <v>1006100224</v>
      </c>
      <c r="M530" s="103"/>
      <c r="N530" s="103" t="s">
        <v>6194</v>
      </c>
      <c r="O530" s="103" t="s">
        <v>5819</v>
      </c>
      <c r="P530" s="103">
        <v>15</v>
      </c>
      <c r="Q530" s="103"/>
      <c r="R530" s="103"/>
      <c r="S530" s="103">
        <v>15</v>
      </c>
      <c r="T530" s="103">
        <v>589441</v>
      </c>
      <c r="U530" s="103">
        <v>8.5</v>
      </c>
      <c r="V530" s="103" t="s">
        <v>65</v>
      </c>
      <c r="W530" s="103" t="s">
        <v>310</v>
      </c>
    </row>
    <row r="531" spans="1:23" x14ac:dyDescent="0.45">
      <c r="A531" s="103">
        <f t="shared" si="27"/>
        <v>530</v>
      </c>
      <c r="B531" s="103" t="s">
        <v>6194</v>
      </c>
      <c r="C531" s="103" t="s">
        <v>5782</v>
      </c>
      <c r="D531" s="103"/>
      <c r="E531" s="103" t="s">
        <v>100</v>
      </c>
      <c r="F531" s="103" t="s">
        <v>77</v>
      </c>
      <c r="G531" s="103" t="s">
        <v>88</v>
      </c>
      <c r="H531" s="103" t="s">
        <v>6195</v>
      </c>
      <c r="I531" s="103" t="s">
        <v>116</v>
      </c>
      <c r="J531" s="103" t="s">
        <v>142</v>
      </c>
      <c r="K531" s="103" t="s">
        <v>6008</v>
      </c>
      <c r="L531" s="103">
        <v>1006081960</v>
      </c>
      <c r="M531" s="103"/>
      <c r="N531" s="103" t="s">
        <v>6194</v>
      </c>
      <c r="O531" s="103" t="s">
        <v>5820</v>
      </c>
      <c r="P531" s="103">
        <v>15</v>
      </c>
      <c r="Q531" s="103"/>
      <c r="R531" s="103"/>
      <c r="S531" s="103">
        <v>15</v>
      </c>
      <c r="T531" s="103">
        <v>589441</v>
      </c>
      <c r="U531" s="103">
        <v>8.5</v>
      </c>
      <c r="V531" s="103" t="s">
        <v>65</v>
      </c>
      <c r="W531" s="103" t="s">
        <v>310</v>
      </c>
    </row>
    <row r="532" spans="1:23" x14ac:dyDescent="0.45">
      <c r="A532" s="103">
        <f t="shared" si="27"/>
        <v>531</v>
      </c>
      <c r="B532" s="103" t="s">
        <v>6194</v>
      </c>
      <c r="C532" s="103" t="s">
        <v>5782</v>
      </c>
      <c r="D532" s="103"/>
      <c r="E532" s="103" t="s">
        <v>100</v>
      </c>
      <c r="F532" s="103" t="s">
        <v>77</v>
      </c>
      <c r="G532" s="103" t="s">
        <v>88</v>
      </c>
      <c r="H532" s="103" t="s">
        <v>6195</v>
      </c>
      <c r="I532" s="103" t="s">
        <v>143</v>
      </c>
      <c r="J532" s="103" t="s">
        <v>6013</v>
      </c>
      <c r="K532" s="103" t="s">
        <v>6014</v>
      </c>
      <c r="L532" s="103"/>
      <c r="M532" s="103"/>
      <c r="N532" s="103" t="s">
        <v>6194</v>
      </c>
      <c r="O532" s="103" t="s">
        <v>5821</v>
      </c>
      <c r="P532" s="103" t="s">
        <v>5904</v>
      </c>
      <c r="Q532" s="103"/>
      <c r="R532" s="103"/>
      <c r="S532" s="103">
        <v>12</v>
      </c>
      <c r="T532" s="103">
        <v>589441</v>
      </c>
      <c r="U532" s="103">
        <v>8.5</v>
      </c>
      <c r="V532" s="103" t="s">
        <v>65</v>
      </c>
      <c r="W532" s="103" t="s">
        <v>310</v>
      </c>
    </row>
    <row r="533" spans="1:23" x14ac:dyDescent="0.45">
      <c r="A533" s="103">
        <f t="shared" si="27"/>
        <v>532</v>
      </c>
      <c r="B533" s="103" t="s">
        <v>6194</v>
      </c>
      <c r="C533" s="103" t="s">
        <v>5782</v>
      </c>
      <c r="D533" s="103"/>
      <c r="E533" s="103" t="s">
        <v>100</v>
      </c>
      <c r="F533" s="103" t="s">
        <v>77</v>
      </c>
      <c r="G533" s="103" t="s">
        <v>88</v>
      </c>
      <c r="H533" s="103" t="s">
        <v>6195</v>
      </c>
      <c r="I533" s="103" t="s">
        <v>143</v>
      </c>
      <c r="J533" s="103" t="s">
        <v>6013</v>
      </c>
      <c r="K533" s="103" t="s">
        <v>6014</v>
      </c>
      <c r="L533" s="103"/>
      <c r="M533" s="103"/>
      <c r="N533" s="103" t="s">
        <v>6194</v>
      </c>
      <c r="O533" s="103" t="s">
        <v>5822</v>
      </c>
      <c r="P533" s="103">
        <v>11</v>
      </c>
      <c r="Q533" s="103"/>
      <c r="R533" s="103"/>
      <c r="S533" s="103">
        <v>10</v>
      </c>
      <c r="T533" s="103">
        <v>589441</v>
      </c>
      <c r="U533" s="103">
        <v>8.5</v>
      </c>
      <c r="V533" s="103" t="s">
        <v>65</v>
      </c>
      <c r="W533" s="103" t="s">
        <v>310</v>
      </c>
    </row>
    <row r="534" spans="1:23" x14ac:dyDescent="0.45">
      <c r="A534" s="103">
        <f t="shared" ref="A534:A540" si="28">ROW()-1</f>
        <v>533</v>
      </c>
      <c r="B534" s="103" t="s">
        <v>6192</v>
      </c>
      <c r="C534" s="103" t="s">
        <v>5936</v>
      </c>
      <c r="D534" s="103"/>
      <c r="E534" s="103" t="s">
        <v>100</v>
      </c>
      <c r="F534" s="103" t="s">
        <v>77</v>
      </c>
      <c r="G534" s="103" t="s">
        <v>71</v>
      </c>
      <c r="H534" s="103" t="s">
        <v>6203</v>
      </c>
      <c r="I534" s="103" t="s">
        <v>185</v>
      </c>
      <c r="J534" s="103" t="s">
        <v>118</v>
      </c>
      <c r="K534" s="103" t="s">
        <v>6200</v>
      </c>
      <c r="L534" s="103"/>
      <c r="M534" s="103" t="s">
        <v>6201</v>
      </c>
      <c r="N534" s="103" t="s">
        <v>6192</v>
      </c>
      <c r="O534" s="103" t="s">
        <v>47</v>
      </c>
      <c r="P534" s="103" t="s">
        <v>5806</v>
      </c>
      <c r="Q534" s="103"/>
      <c r="R534" s="103"/>
      <c r="S534" s="103" t="s">
        <v>5806</v>
      </c>
      <c r="T534" s="103">
        <v>1572587</v>
      </c>
      <c r="U534" s="103">
        <v>9</v>
      </c>
      <c r="V534" s="103" t="s">
        <v>65</v>
      </c>
      <c r="W534" s="103" t="s">
        <v>310</v>
      </c>
    </row>
    <row r="535" spans="1:23" x14ac:dyDescent="0.45">
      <c r="A535" s="103">
        <f t="shared" si="28"/>
        <v>534</v>
      </c>
      <c r="B535" s="103" t="s">
        <v>6192</v>
      </c>
      <c r="C535" s="103" t="s">
        <v>5936</v>
      </c>
      <c r="D535" s="103"/>
      <c r="E535" s="103" t="s">
        <v>100</v>
      </c>
      <c r="F535" s="103" t="s">
        <v>77</v>
      </c>
      <c r="G535" s="103" t="s">
        <v>71</v>
      </c>
      <c r="H535" s="103" t="s">
        <v>6203</v>
      </c>
      <c r="I535" s="103" t="s">
        <v>185</v>
      </c>
      <c r="J535" s="103" t="s">
        <v>118</v>
      </c>
      <c r="K535" s="103" t="s">
        <v>6200</v>
      </c>
      <c r="L535" s="103"/>
      <c r="M535" s="103" t="s">
        <v>6202</v>
      </c>
      <c r="N535" s="103" t="s">
        <v>6192</v>
      </c>
      <c r="O535" s="103" t="s">
        <v>5580</v>
      </c>
      <c r="P535" s="103" t="s">
        <v>5806</v>
      </c>
      <c r="Q535" s="103"/>
      <c r="R535" s="103"/>
      <c r="S535" s="103" t="s">
        <v>5806</v>
      </c>
      <c r="T535" s="103">
        <v>1572587</v>
      </c>
      <c r="U535" s="103">
        <v>9</v>
      </c>
      <c r="V535" s="103" t="s">
        <v>65</v>
      </c>
      <c r="W535" s="103" t="s">
        <v>310</v>
      </c>
    </row>
    <row r="536" spans="1:23" x14ac:dyDescent="0.45">
      <c r="A536" s="103">
        <f t="shared" si="28"/>
        <v>535</v>
      </c>
      <c r="B536" s="103" t="s">
        <v>6192</v>
      </c>
      <c r="C536" s="103" t="s">
        <v>5936</v>
      </c>
      <c r="D536" s="103"/>
      <c r="E536" s="103" t="s">
        <v>100</v>
      </c>
      <c r="F536" s="103" t="s">
        <v>77</v>
      </c>
      <c r="G536" s="103" t="s">
        <v>71</v>
      </c>
      <c r="H536" s="103" t="s">
        <v>6203</v>
      </c>
      <c r="I536" s="103" t="s">
        <v>200</v>
      </c>
      <c r="J536" s="103" t="s">
        <v>154</v>
      </c>
      <c r="K536" s="103" t="s">
        <v>6198</v>
      </c>
      <c r="L536" s="103"/>
      <c r="M536" s="103"/>
      <c r="N536" s="103" t="s">
        <v>6192</v>
      </c>
      <c r="O536" s="103" t="s">
        <v>5812</v>
      </c>
      <c r="P536" s="103" t="s">
        <v>5835</v>
      </c>
      <c r="Q536" s="103"/>
      <c r="R536" s="103"/>
      <c r="S536" s="103" t="s">
        <v>6062</v>
      </c>
      <c r="T536" s="103">
        <v>1572587</v>
      </c>
      <c r="U536" s="103">
        <v>8.5</v>
      </c>
      <c r="V536" s="103" t="s">
        <v>65</v>
      </c>
      <c r="W536" s="103" t="s">
        <v>310</v>
      </c>
    </row>
    <row r="537" spans="1:23" x14ac:dyDescent="0.45">
      <c r="A537" s="103">
        <f t="shared" si="28"/>
        <v>536</v>
      </c>
      <c r="B537" s="103" t="s">
        <v>6192</v>
      </c>
      <c r="C537" s="103" t="s">
        <v>5936</v>
      </c>
      <c r="D537" s="103"/>
      <c r="E537" s="103" t="s">
        <v>100</v>
      </c>
      <c r="F537" s="103" t="s">
        <v>77</v>
      </c>
      <c r="G537" s="103" t="s">
        <v>71</v>
      </c>
      <c r="H537" s="103" t="s">
        <v>6203</v>
      </c>
      <c r="I537" s="103"/>
      <c r="J537" s="103" t="s">
        <v>154</v>
      </c>
      <c r="K537" s="103" t="s">
        <v>6198</v>
      </c>
      <c r="L537" s="103"/>
      <c r="M537" s="103"/>
      <c r="N537" s="103" t="s">
        <v>6192</v>
      </c>
      <c r="O537" s="103" t="s">
        <v>5581</v>
      </c>
      <c r="P537" s="103">
        <v>18</v>
      </c>
      <c r="Q537" s="103"/>
      <c r="R537" s="103"/>
      <c r="S537" s="103">
        <v>18</v>
      </c>
      <c r="T537" s="103">
        <v>1572587</v>
      </c>
      <c r="U537" s="103">
        <v>8.5</v>
      </c>
      <c r="V537" s="103" t="s">
        <v>65</v>
      </c>
      <c r="W537" s="103" t="s">
        <v>310</v>
      </c>
    </row>
    <row r="538" spans="1:23" x14ac:dyDescent="0.45">
      <c r="A538" s="103">
        <f t="shared" si="28"/>
        <v>537</v>
      </c>
      <c r="B538" s="103" t="s">
        <v>6192</v>
      </c>
      <c r="C538" s="103" t="s">
        <v>5936</v>
      </c>
      <c r="D538" s="103"/>
      <c r="E538" s="103" t="s">
        <v>100</v>
      </c>
      <c r="F538" s="103" t="s">
        <v>77</v>
      </c>
      <c r="G538" s="103" t="s">
        <v>71</v>
      </c>
      <c r="H538" s="103" t="s">
        <v>6203</v>
      </c>
      <c r="I538" s="103" t="s">
        <v>200</v>
      </c>
      <c r="J538" s="103" t="s">
        <v>154</v>
      </c>
      <c r="K538" s="103" t="s">
        <v>6198</v>
      </c>
      <c r="L538" s="103"/>
      <c r="M538" s="103"/>
      <c r="N538" s="103" t="s">
        <v>6192</v>
      </c>
      <c r="O538" s="103" t="s">
        <v>5813</v>
      </c>
      <c r="P538" s="103" t="s">
        <v>6088</v>
      </c>
      <c r="Q538" s="103"/>
      <c r="R538" s="103"/>
      <c r="S538" s="103">
        <v>18</v>
      </c>
      <c r="T538" s="103">
        <v>1572587</v>
      </c>
      <c r="U538" s="103">
        <v>8.6</v>
      </c>
      <c r="V538" s="103" t="s">
        <v>65</v>
      </c>
      <c r="W538" s="103" t="s">
        <v>310</v>
      </c>
    </row>
    <row r="539" spans="1:23" x14ac:dyDescent="0.45">
      <c r="A539" s="103">
        <f t="shared" si="28"/>
        <v>538</v>
      </c>
      <c r="B539" s="103" t="s">
        <v>6192</v>
      </c>
      <c r="C539" s="103" t="s">
        <v>5936</v>
      </c>
      <c r="D539" s="103"/>
      <c r="E539" s="103" t="s">
        <v>100</v>
      </c>
      <c r="F539" s="103" t="s">
        <v>77</v>
      </c>
      <c r="G539" s="103" t="s">
        <v>71</v>
      </c>
      <c r="H539" s="103" t="s">
        <v>6203</v>
      </c>
      <c r="I539" s="103" t="s">
        <v>200</v>
      </c>
      <c r="J539" s="103" t="s">
        <v>154</v>
      </c>
      <c r="K539" s="103" t="s">
        <v>6198</v>
      </c>
      <c r="L539" s="103"/>
      <c r="M539" s="103"/>
      <c r="N539" s="103"/>
      <c r="O539" s="103" t="s">
        <v>5814</v>
      </c>
      <c r="P539" s="103" t="s">
        <v>6199</v>
      </c>
      <c r="Q539" s="103"/>
      <c r="R539" s="103"/>
      <c r="S539" s="103" t="s">
        <v>6088</v>
      </c>
      <c r="T539" s="103">
        <v>1572587</v>
      </c>
      <c r="U539" s="103">
        <v>8.6</v>
      </c>
      <c r="V539" s="103" t="s">
        <v>65</v>
      </c>
      <c r="W539" s="103" t="s">
        <v>310</v>
      </c>
    </row>
    <row r="540" spans="1:23" x14ac:dyDescent="0.45">
      <c r="A540" s="103">
        <f t="shared" si="28"/>
        <v>539</v>
      </c>
      <c r="B540" s="103" t="s">
        <v>6192</v>
      </c>
      <c r="C540" s="103" t="s">
        <v>5936</v>
      </c>
      <c r="D540" s="103"/>
      <c r="E540" s="103" t="s">
        <v>100</v>
      </c>
      <c r="F540" s="103" t="s">
        <v>77</v>
      </c>
      <c r="G540" s="103" t="s">
        <v>71</v>
      </c>
      <c r="H540" s="103" t="s">
        <v>6203</v>
      </c>
      <c r="I540" s="103"/>
      <c r="J540" s="103"/>
      <c r="K540" s="103"/>
      <c r="L540" s="103"/>
      <c r="M540" s="103"/>
      <c r="N540" s="103" t="s">
        <v>6192</v>
      </c>
      <c r="O540" s="103" t="s">
        <v>5819</v>
      </c>
      <c r="P540" s="103"/>
      <c r="Q540" s="103"/>
      <c r="R540" s="103"/>
      <c r="S540" s="103"/>
      <c r="T540" s="103">
        <v>1572587</v>
      </c>
      <c r="U540" s="103"/>
      <c r="V540" s="103" t="s">
        <v>65</v>
      </c>
      <c r="W540" s="103" t="s">
        <v>310</v>
      </c>
    </row>
    <row r="541" spans="1:23" x14ac:dyDescent="0.45">
      <c r="A541" s="103">
        <f t="shared" ref="A541:A554" si="29">ROW()-1</f>
        <v>540</v>
      </c>
      <c r="B541" s="103" t="s">
        <v>6205</v>
      </c>
      <c r="C541" s="103" t="s">
        <v>3474</v>
      </c>
      <c r="D541" s="103" t="s">
        <v>330</v>
      </c>
      <c r="E541" s="103" t="s">
        <v>100</v>
      </c>
      <c r="F541" s="103" t="s">
        <v>77</v>
      </c>
      <c r="G541" s="103" t="s">
        <v>88</v>
      </c>
      <c r="H541" s="103" t="s">
        <v>6206</v>
      </c>
      <c r="I541" s="103" t="s">
        <v>143</v>
      </c>
      <c r="J541" s="103" t="s">
        <v>122</v>
      </c>
      <c r="K541" s="103" t="s">
        <v>5788</v>
      </c>
      <c r="L541" s="103"/>
      <c r="M541" s="103"/>
      <c r="N541" s="103" t="s">
        <v>6205</v>
      </c>
      <c r="O541" s="103" t="s">
        <v>47</v>
      </c>
      <c r="P541" s="103" t="s">
        <v>5857</v>
      </c>
      <c r="Q541" s="103"/>
      <c r="R541" s="103"/>
      <c r="S541" s="103" t="s">
        <v>6087</v>
      </c>
      <c r="T541" s="103">
        <v>351539</v>
      </c>
      <c r="U541" s="103">
        <v>8.3000000000000007</v>
      </c>
      <c r="V541" s="103" t="s">
        <v>65</v>
      </c>
      <c r="W541" s="103" t="s">
        <v>310</v>
      </c>
    </row>
    <row r="542" spans="1:23" x14ac:dyDescent="0.45">
      <c r="A542" s="103">
        <f t="shared" si="29"/>
        <v>541</v>
      </c>
      <c r="B542" s="103" t="s">
        <v>6205</v>
      </c>
      <c r="C542" s="103" t="s">
        <v>3474</v>
      </c>
      <c r="D542" s="103" t="s">
        <v>330</v>
      </c>
      <c r="E542" s="103" t="s">
        <v>100</v>
      </c>
      <c r="F542" s="103" t="s">
        <v>77</v>
      </c>
      <c r="G542" s="103" t="s">
        <v>88</v>
      </c>
      <c r="H542" s="103" t="s">
        <v>6206</v>
      </c>
      <c r="I542" s="103" t="s">
        <v>143</v>
      </c>
      <c r="J542" s="103" t="s">
        <v>122</v>
      </c>
      <c r="K542" s="103" t="s">
        <v>5788</v>
      </c>
      <c r="L542" s="103"/>
      <c r="M542" s="103"/>
      <c r="N542" s="103" t="s">
        <v>6205</v>
      </c>
      <c r="O542" s="103" t="s">
        <v>5580</v>
      </c>
      <c r="P542" s="103" t="s">
        <v>5968</v>
      </c>
      <c r="Q542" s="103"/>
      <c r="R542" s="103"/>
      <c r="S542" s="103" t="s">
        <v>5904</v>
      </c>
      <c r="T542" s="103">
        <v>351539</v>
      </c>
      <c r="U542" s="103">
        <v>8.3000000000000007</v>
      </c>
      <c r="V542" s="103" t="s">
        <v>65</v>
      </c>
      <c r="W542" s="103" t="s">
        <v>310</v>
      </c>
    </row>
    <row r="543" spans="1:23" x14ac:dyDescent="0.45">
      <c r="A543" s="103">
        <f t="shared" si="29"/>
        <v>542</v>
      </c>
      <c r="B543" s="103" t="s">
        <v>6205</v>
      </c>
      <c r="C543" s="103" t="s">
        <v>3474</v>
      </c>
      <c r="D543" s="103" t="s">
        <v>330</v>
      </c>
      <c r="E543" s="103" t="s">
        <v>100</v>
      </c>
      <c r="F543" s="103" t="s">
        <v>77</v>
      </c>
      <c r="G543" s="103" t="s">
        <v>88</v>
      </c>
      <c r="H543" s="103" t="s">
        <v>6206</v>
      </c>
      <c r="I543" s="103" t="s">
        <v>143</v>
      </c>
      <c r="J543" s="103" t="s">
        <v>122</v>
      </c>
      <c r="K543" s="103" t="s">
        <v>189</v>
      </c>
      <c r="L543" s="103" t="s">
        <v>6210</v>
      </c>
      <c r="M543" s="103"/>
      <c r="N543" s="103" t="s">
        <v>6205</v>
      </c>
      <c r="O543" s="103" t="s">
        <v>5812</v>
      </c>
      <c r="P543" s="103" t="s">
        <v>6094</v>
      </c>
      <c r="Q543" s="103"/>
      <c r="R543" s="103"/>
      <c r="S543" s="103" t="s">
        <v>6094</v>
      </c>
      <c r="T543" s="103">
        <v>351539</v>
      </c>
      <c r="U543" s="103">
        <v>8.5</v>
      </c>
      <c r="V543" s="103" t="s">
        <v>65</v>
      </c>
      <c r="W543" s="103" t="s">
        <v>310</v>
      </c>
    </row>
    <row r="544" spans="1:23" x14ac:dyDescent="0.45">
      <c r="A544" s="103">
        <f t="shared" si="29"/>
        <v>543</v>
      </c>
      <c r="B544" s="103" t="s">
        <v>6205</v>
      </c>
      <c r="C544" s="103" t="s">
        <v>3474</v>
      </c>
      <c r="D544" s="103" t="s">
        <v>330</v>
      </c>
      <c r="E544" s="103" t="s">
        <v>100</v>
      </c>
      <c r="F544" s="103" t="s">
        <v>77</v>
      </c>
      <c r="G544" s="103" t="s">
        <v>88</v>
      </c>
      <c r="H544" s="103" t="s">
        <v>6206</v>
      </c>
      <c r="I544" s="103"/>
      <c r="J544" s="103" t="s">
        <v>122</v>
      </c>
      <c r="K544" s="103" t="s">
        <v>189</v>
      </c>
      <c r="L544" s="103" t="s">
        <v>6211</v>
      </c>
      <c r="M544" s="103"/>
      <c r="N544" s="103" t="s">
        <v>6205</v>
      </c>
      <c r="O544" s="103" t="s">
        <v>5581</v>
      </c>
      <c r="P544" s="103" t="s">
        <v>6094</v>
      </c>
      <c r="Q544" s="103"/>
      <c r="R544" s="103"/>
      <c r="S544" s="103" t="s">
        <v>6094</v>
      </c>
      <c r="T544" s="103">
        <v>351539</v>
      </c>
      <c r="U544" s="103">
        <v>8.5</v>
      </c>
      <c r="V544" s="103" t="s">
        <v>65</v>
      </c>
      <c r="W544" s="103" t="s">
        <v>310</v>
      </c>
    </row>
    <row r="545" spans="1:23" x14ac:dyDescent="0.45">
      <c r="A545" s="103">
        <f t="shared" si="29"/>
        <v>544</v>
      </c>
      <c r="B545" s="103" t="s">
        <v>6205</v>
      </c>
      <c r="C545" s="103" t="s">
        <v>3474</v>
      </c>
      <c r="D545" s="103" t="s">
        <v>330</v>
      </c>
      <c r="E545" s="103" t="s">
        <v>100</v>
      </c>
      <c r="F545" s="103" t="s">
        <v>77</v>
      </c>
      <c r="G545" s="103" t="s">
        <v>88</v>
      </c>
      <c r="H545" s="103" t="s">
        <v>6206</v>
      </c>
      <c r="I545" s="103" t="s">
        <v>143</v>
      </c>
      <c r="J545" s="103" t="s">
        <v>122</v>
      </c>
      <c r="K545" s="103" t="s">
        <v>189</v>
      </c>
      <c r="L545" s="103" t="s">
        <v>6212</v>
      </c>
      <c r="M545" s="103"/>
      <c r="N545" s="103" t="s">
        <v>6205</v>
      </c>
      <c r="O545" s="103" t="s">
        <v>5813</v>
      </c>
      <c r="P545" s="103" t="s">
        <v>6094</v>
      </c>
      <c r="Q545" s="103"/>
      <c r="R545" s="103"/>
      <c r="S545" s="103" t="s">
        <v>6094</v>
      </c>
      <c r="T545" s="103">
        <v>351539</v>
      </c>
      <c r="U545" s="103">
        <v>8.5</v>
      </c>
      <c r="V545" s="103" t="s">
        <v>65</v>
      </c>
      <c r="W545" s="103" t="s">
        <v>310</v>
      </c>
    </row>
    <row r="546" spans="1:23" x14ac:dyDescent="0.45">
      <c r="A546" s="103">
        <f t="shared" si="29"/>
        <v>545</v>
      </c>
      <c r="B546" s="103" t="s">
        <v>6205</v>
      </c>
      <c r="C546" s="103" t="s">
        <v>3474</v>
      </c>
      <c r="D546" s="103" t="s">
        <v>330</v>
      </c>
      <c r="E546" s="103" t="s">
        <v>100</v>
      </c>
      <c r="F546" s="103" t="s">
        <v>77</v>
      </c>
      <c r="G546" s="103" t="s">
        <v>88</v>
      </c>
      <c r="H546" s="103" t="s">
        <v>6206</v>
      </c>
      <c r="I546" s="103" t="s">
        <v>143</v>
      </c>
      <c r="J546" s="103" t="s">
        <v>122</v>
      </c>
      <c r="K546" s="103" t="s">
        <v>189</v>
      </c>
      <c r="L546" s="103" t="s">
        <v>6213</v>
      </c>
      <c r="M546" s="103"/>
      <c r="N546" s="103"/>
      <c r="O546" s="103" t="s">
        <v>5814</v>
      </c>
      <c r="P546" s="103" t="s">
        <v>6094</v>
      </c>
      <c r="Q546" s="103"/>
      <c r="R546" s="103"/>
      <c r="S546" s="103" t="s">
        <v>6094</v>
      </c>
      <c r="T546" s="103">
        <v>351539</v>
      </c>
      <c r="U546" s="103">
        <v>8.5</v>
      </c>
      <c r="V546" s="103" t="s">
        <v>65</v>
      </c>
      <c r="W546" s="103" t="s">
        <v>310</v>
      </c>
    </row>
    <row r="547" spans="1:23" x14ac:dyDescent="0.45">
      <c r="A547" s="103">
        <f t="shared" si="29"/>
        <v>546</v>
      </c>
      <c r="B547" s="103" t="s">
        <v>6205</v>
      </c>
      <c r="C547" s="103" t="s">
        <v>3474</v>
      </c>
      <c r="D547" s="103" t="s">
        <v>330</v>
      </c>
      <c r="E547" s="103" t="s">
        <v>100</v>
      </c>
      <c r="F547" s="103" t="s">
        <v>77</v>
      </c>
      <c r="G547" s="103" t="s">
        <v>88</v>
      </c>
      <c r="H547" s="103" t="s">
        <v>6206</v>
      </c>
      <c r="I547" s="103" t="s">
        <v>116</v>
      </c>
      <c r="J547" s="103" t="s">
        <v>122</v>
      </c>
      <c r="K547" s="103" t="s">
        <v>288</v>
      </c>
      <c r="L547" s="103"/>
      <c r="M547" s="103"/>
      <c r="N547" s="103" t="s">
        <v>6205</v>
      </c>
      <c r="O547" s="103" t="s">
        <v>5815</v>
      </c>
      <c r="P547" s="103"/>
      <c r="Q547" s="103"/>
      <c r="R547" s="103"/>
      <c r="S547" s="103" t="s">
        <v>5850</v>
      </c>
      <c r="T547" s="103">
        <v>351539</v>
      </c>
      <c r="U547" s="103">
        <v>8.4</v>
      </c>
      <c r="V547" s="103" t="s">
        <v>65</v>
      </c>
      <c r="W547" s="103" t="s">
        <v>310</v>
      </c>
    </row>
    <row r="548" spans="1:23" x14ac:dyDescent="0.45">
      <c r="A548" s="103">
        <f t="shared" si="29"/>
        <v>547</v>
      </c>
      <c r="B548" s="103" t="s">
        <v>6205</v>
      </c>
      <c r="C548" s="103" t="s">
        <v>3474</v>
      </c>
      <c r="D548" s="103" t="s">
        <v>330</v>
      </c>
      <c r="E548" s="103" t="s">
        <v>100</v>
      </c>
      <c r="F548" s="103" t="s">
        <v>77</v>
      </c>
      <c r="G548" s="103" t="s">
        <v>88</v>
      </c>
      <c r="H548" s="103" t="s">
        <v>6206</v>
      </c>
      <c r="I548" s="103" t="s">
        <v>116</v>
      </c>
      <c r="J548" s="103" t="s">
        <v>122</v>
      </c>
      <c r="K548" s="103" t="s">
        <v>288</v>
      </c>
      <c r="L548" s="103"/>
      <c r="M548" s="103"/>
      <c r="N548" s="103" t="s">
        <v>6205</v>
      </c>
      <c r="O548" s="103" t="s">
        <v>5816</v>
      </c>
      <c r="P548" s="103" t="s">
        <v>5800</v>
      </c>
      <c r="Q548" s="103"/>
      <c r="R548" s="103"/>
      <c r="S548" s="103" t="s">
        <v>5889</v>
      </c>
      <c r="T548" s="103">
        <v>351539</v>
      </c>
      <c r="U548" s="103" t="s">
        <v>5796</v>
      </c>
      <c r="V548" s="103" t="s">
        <v>65</v>
      </c>
      <c r="W548" s="103" t="s">
        <v>310</v>
      </c>
    </row>
    <row r="549" spans="1:23" x14ac:dyDescent="0.45">
      <c r="A549" s="103">
        <f t="shared" si="29"/>
        <v>548</v>
      </c>
      <c r="B549" s="103" t="s">
        <v>6205</v>
      </c>
      <c r="C549" s="103" t="s">
        <v>3474</v>
      </c>
      <c r="D549" s="103" t="s">
        <v>330</v>
      </c>
      <c r="E549" s="103" t="s">
        <v>100</v>
      </c>
      <c r="F549" s="103" t="s">
        <v>77</v>
      </c>
      <c r="G549" s="103" t="s">
        <v>88</v>
      </c>
      <c r="H549" s="103" t="s">
        <v>6206</v>
      </c>
      <c r="I549" s="103" t="s">
        <v>116</v>
      </c>
      <c r="J549" s="103" t="s">
        <v>122</v>
      </c>
      <c r="K549" s="103" t="s">
        <v>288</v>
      </c>
      <c r="L549" s="103"/>
      <c r="M549" s="103"/>
      <c r="N549" s="103" t="s">
        <v>6205</v>
      </c>
      <c r="O549" s="103" t="s">
        <v>5817</v>
      </c>
      <c r="P549" s="103" t="s">
        <v>5883</v>
      </c>
      <c r="Q549" s="103"/>
      <c r="R549" s="103"/>
      <c r="S549" s="103" t="s">
        <v>5851</v>
      </c>
      <c r="T549" s="103">
        <v>351539</v>
      </c>
      <c r="U549" s="103" t="s">
        <v>5796</v>
      </c>
      <c r="V549" s="103" t="s">
        <v>65</v>
      </c>
      <c r="W549" s="103" t="s">
        <v>310</v>
      </c>
    </row>
    <row r="550" spans="1:23" x14ac:dyDescent="0.45">
      <c r="A550" s="103">
        <f t="shared" si="29"/>
        <v>549</v>
      </c>
      <c r="B550" s="103" t="s">
        <v>6205</v>
      </c>
      <c r="C550" s="103" t="s">
        <v>3474</v>
      </c>
      <c r="D550" s="103" t="s">
        <v>330</v>
      </c>
      <c r="E550" s="103" t="s">
        <v>100</v>
      </c>
      <c r="F550" s="103" t="s">
        <v>77</v>
      </c>
      <c r="G550" s="103" t="s">
        <v>88</v>
      </c>
      <c r="H550" s="103" t="s">
        <v>6206</v>
      </c>
      <c r="I550" s="103" t="s">
        <v>116</v>
      </c>
      <c r="J550" s="103" t="s">
        <v>122</v>
      </c>
      <c r="K550" s="103" t="s">
        <v>288</v>
      </c>
      <c r="L550" s="103"/>
      <c r="M550" s="103"/>
      <c r="N550" s="103" t="s">
        <v>6205</v>
      </c>
      <c r="O550" s="103" t="s">
        <v>5818</v>
      </c>
      <c r="P550" s="103" t="s">
        <v>5922</v>
      </c>
      <c r="Q550" s="103"/>
      <c r="R550" s="103"/>
      <c r="S550" s="103" t="s">
        <v>5850</v>
      </c>
      <c r="T550" s="103">
        <v>351539</v>
      </c>
      <c r="U550" s="103">
        <v>8.3000000000000007</v>
      </c>
      <c r="V550" s="103" t="s">
        <v>65</v>
      </c>
      <c r="W550" s="103" t="s">
        <v>310</v>
      </c>
    </row>
    <row r="551" spans="1:23" x14ac:dyDescent="0.45">
      <c r="A551" s="103">
        <f t="shared" si="29"/>
        <v>550</v>
      </c>
      <c r="B551" s="103" t="s">
        <v>6205</v>
      </c>
      <c r="C551" s="103" t="s">
        <v>3474</v>
      </c>
      <c r="D551" s="103" t="s">
        <v>330</v>
      </c>
      <c r="E551" s="103" t="s">
        <v>100</v>
      </c>
      <c r="F551" s="103" t="s">
        <v>77</v>
      </c>
      <c r="G551" s="103" t="s">
        <v>88</v>
      </c>
      <c r="H551" s="103" t="s">
        <v>6206</v>
      </c>
      <c r="I551" s="103" t="s">
        <v>116</v>
      </c>
      <c r="J551" s="103" t="s">
        <v>122</v>
      </c>
      <c r="K551" s="103" t="s">
        <v>288</v>
      </c>
      <c r="L551" s="103"/>
      <c r="M551" s="103"/>
      <c r="N551" s="103" t="s">
        <v>6205</v>
      </c>
      <c r="O551" s="103" t="s">
        <v>5819</v>
      </c>
      <c r="P551" s="103" t="s">
        <v>5857</v>
      </c>
      <c r="Q551" s="103"/>
      <c r="R551" s="103"/>
      <c r="S551" s="103">
        <v>11</v>
      </c>
      <c r="T551" s="103">
        <v>351539</v>
      </c>
      <c r="U551" s="103">
        <v>8.5</v>
      </c>
      <c r="V551" s="103" t="s">
        <v>65</v>
      </c>
      <c r="W551" s="103" t="s">
        <v>310</v>
      </c>
    </row>
    <row r="552" spans="1:23" x14ac:dyDescent="0.45">
      <c r="A552" s="103">
        <f t="shared" si="29"/>
        <v>551</v>
      </c>
      <c r="B552" s="103" t="s">
        <v>6205</v>
      </c>
      <c r="C552" s="103" t="s">
        <v>3474</v>
      </c>
      <c r="D552" s="103" t="s">
        <v>330</v>
      </c>
      <c r="E552" s="103" t="s">
        <v>100</v>
      </c>
      <c r="F552" s="103" t="s">
        <v>77</v>
      </c>
      <c r="G552" s="103" t="s">
        <v>88</v>
      </c>
      <c r="H552" s="103" t="s">
        <v>6206</v>
      </c>
      <c r="I552" s="103" t="s">
        <v>116</v>
      </c>
      <c r="J552" s="103" t="s">
        <v>122</v>
      </c>
      <c r="K552" s="103" t="s">
        <v>288</v>
      </c>
      <c r="L552" s="103"/>
      <c r="M552" s="103"/>
      <c r="N552" s="103" t="s">
        <v>6205</v>
      </c>
      <c r="O552" s="103" t="s">
        <v>5820</v>
      </c>
      <c r="P552" s="103" t="s">
        <v>6186</v>
      </c>
      <c r="Q552" s="103"/>
      <c r="R552" s="103"/>
      <c r="S552" s="103" t="s">
        <v>5904</v>
      </c>
      <c r="T552" s="103">
        <v>351539</v>
      </c>
      <c r="U552" s="103" t="s">
        <v>5796</v>
      </c>
      <c r="V552" s="103" t="s">
        <v>65</v>
      </c>
      <c r="W552" s="103" t="s">
        <v>310</v>
      </c>
    </row>
    <row r="553" spans="1:23" x14ac:dyDescent="0.45">
      <c r="A553" s="103">
        <f t="shared" si="29"/>
        <v>552</v>
      </c>
      <c r="B553" s="103" t="s">
        <v>6205</v>
      </c>
      <c r="C553" s="103" t="s">
        <v>3474</v>
      </c>
      <c r="D553" s="103" t="s">
        <v>330</v>
      </c>
      <c r="E553" s="103" t="s">
        <v>100</v>
      </c>
      <c r="F553" s="103" t="s">
        <v>77</v>
      </c>
      <c r="G553" s="103" t="s">
        <v>88</v>
      </c>
      <c r="H553" s="103" t="s">
        <v>6206</v>
      </c>
      <c r="I553" s="103" t="s">
        <v>116</v>
      </c>
      <c r="J553" s="103" t="s">
        <v>122</v>
      </c>
      <c r="K553" s="103" t="s">
        <v>192</v>
      </c>
      <c r="L553" s="103"/>
      <c r="M553" s="103"/>
      <c r="N553" s="103" t="s">
        <v>6205</v>
      </c>
      <c r="O553" s="103" t="s">
        <v>5821</v>
      </c>
      <c r="P553" s="103">
        <v>9</v>
      </c>
      <c r="Q553" s="103"/>
      <c r="R553" s="103"/>
      <c r="S553" s="103" t="s">
        <v>6209</v>
      </c>
      <c r="T553" s="103">
        <v>351539</v>
      </c>
      <c r="U553" s="103" t="s">
        <v>5796</v>
      </c>
      <c r="V553" s="103" t="s">
        <v>65</v>
      </c>
      <c r="W553" s="103" t="s">
        <v>310</v>
      </c>
    </row>
    <row r="554" spans="1:23" x14ac:dyDescent="0.45">
      <c r="A554" s="103">
        <f t="shared" si="29"/>
        <v>553</v>
      </c>
      <c r="B554" s="103" t="s">
        <v>6205</v>
      </c>
      <c r="C554" s="103" t="s">
        <v>3474</v>
      </c>
      <c r="D554" s="103" t="s">
        <v>330</v>
      </c>
      <c r="E554" s="103" t="s">
        <v>100</v>
      </c>
      <c r="F554" s="103" t="s">
        <v>77</v>
      </c>
      <c r="G554" s="103" t="s">
        <v>88</v>
      </c>
      <c r="H554" s="103" t="s">
        <v>6206</v>
      </c>
      <c r="I554" s="103" t="s">
        <v>116</v>
      </c>
      <c r="J554" s="103" t="s">
        <v>122</v>
      </c>
      <c r="K554" s="103" t="s">
        <v>192</v>
      </c>
      <c r="L554" s="103"/>
      <c r="M554" s="103"/>
      <c r="N554" s="103" t="s">
        <v>6205</v>
      </c>
      <c r="O554" s="103" t="s">
        <v>5822</v>
      </c>
      <c r="P554" s="103" t="s">
        <v>5915</v>
      </c>
      <c r="Q554" s="103"/>
      <c r="R554" s="103"/>
      <c r="S554" s="103" t="s">
        <v>5958</v>
      </c>
      <c r="T554" s="103">
        <v>351539</v>
      </c>
      <c r="U554" s="103">
        <v>8.5</v>
      </c>
      <c r="V554" s="103" t="s">
        <v>65</v>
      </c>
      <c r="W554" s="103" t="s">
        <v>310</v>
      </c>
    </row>
    <row r="555" spans="1:23" x14ac:dyDescent="0.45">
      <c r="A555" s="103">
        <f t="shared" ref="A555:A567" si="30">ROW()-1</f>
        <v>554</v>
      </c>
      <c r="B555" s="103" t="s">
        <v>6214</v>
      </c>
      <c r="C555" s="103" t="s">
        <v>3474</v>
      </c>
      <c r="D555" s="103" t="s">
        <v>330</v>
      </c>
      <c r="E555" s="103" t="s">
        <v>100</v>
      </c>
      <c r="F555" s="103" t="s">
        <v>75</v>
      </c>
      <c r="G555" s="103" t="s">
        <v>88</v>
      </c>
      <c r="H555" s="103" t="s">
        <v>6215</v>
      </c>
      <c r="I555" s="103" t="s">
        <v>143</v>
      </c>
      <c r="J555" s="103" t="s">
        <v>105</v>
      </c>
      <c r="K555" s="103" t="s">
        <v>5653</v>
      </c>
      <c r="L555" s="103"/>
      <c r="M555" s="103"/>
      <c r="N555" s="103" t="s">
        <v>6214</v>
      </c>
      <c r="O555" s="103" t="s">
        <v>47</v>
      </c>
      <c r="P555" s="103" t="s">
        <v>5901</v>
      </c>
      <c r="Q555" s="103"/>
      <c r="R555" s="103"/>
      <c r="S555" s="103" t="s">
        <v>5903</v>
      </c>
      <c r="T555" s="103">
        <v>695529</v>
      </c>
      <c r="U555" s="103">
        <v>8.3000000000000007</v>
      </c>
      <c r="V555" s="103" t="s">
        <v>65</v>
      </c>
      <c r="W555" s="103" t="s">
        <v>310</v>
      </c>
    </row>
    <row r="556" spans="1:23" x14ac:dyDescent="0.45">
      <c r="A556" s="103">
        <f t="shared" si="30"/>
        <v>555</v>
      </c>
      <c r="B556" s="103" t="s">
        <v>6214</v>
      </c>
      <c r="C556" s="103" t="s">
        <v>3474</v>
      </c>
      <c r="D556" s="103" t="s">
        <v>330</v>
      </c>
      <c r="E556" s="103" t="s">
        <v>100</v>
      </c>
      <c r="F556" s="103" t="s">
        <v>75</v>
      </c>
      <c r="G556" s="103" t="s">
        <v>88</v>
      </c>
      <c r="H556" s="103" t="s">
        <v>6215</v>
      </c>
      <c r="I556" s="103" t="s">
        <v>143</v>
      </c>
      <c r="J556" s="103" t="s">
        <v>105</v>
      </c>
      <c r="K556" s="103" t="s">
        <v>5653</v>
      </c>
      <c r="L556" s="103"/>
      <c r="M556" s="103"/>
      <c r="N556" s="103" t="s">
        <v>6214</v>
      </c>
      <c r="O556" s="103" t="s">
        <v>5580</v>
      </c>
      <c r="P556" s="103" t="s">
        <v>5791</v>
      </c>
      <c r="Q556" s="103"/>
      <c r="R556" s="103"/>
      <c r="S556" s="103" t="s">
        <v>5798</v>
      </c>
      <c r="T556" s="103">
        <v>695529</v>
      </c>
      <c r="U556" s="103">
        <v>8.3000000000000007</v>
      </c>
      <c r="V556" s="103" t="s">
        <v>65</v>
      </c>
      <c r="W556" s="103" t="s">
        <v>310</v>
      </c>
    </row>
    <row r="557" spans="1:23" x14ac:dyDescent="0.45">
      <c r="A557" s="103">
        <f t="shared" si="30"/>
        <v>556</v>
      </c>
      <c r="B557" s="103" t="s">
        <v>6214</v>
      </c>
      <c r="C557" s="103" t="s">
        <v>3474</v>
      </c>
      <c r="D557" s="103" t="s">
        <v>330</v>
      </c>
      <c r="E557" s="103" t="s">
        <v>100</v>
      </c>
      <c r="F557" s="103" t="s">
        <v>75</v>
      </c>
      <c r="G557" s="103" t="s">
        <v>88</v>
      </c>
      <c r="H557" s="103" t="s">
        <v>6215</v>
      </c>
      <c r="I557" s="103" t="s">
        <v>143</v>
      </c>
      <c r="J557" s="103" t="s">
        <v>122</v>
      </c>
      <c r="K557" s="103" t="s">
        <v>189</v>
      </c>
      <c r="L557" s="103"/>
      <c r="M557" s="103"/>
      <c r="N557" s="103" t="s">
        <v>6214</v>
      </c>
      <c r="O557" s="103" t="s">
        <v>5812</v>
      </c>
      <c r="P557" s="103" t="s">
        <v>5967</v>
      </c>
      <c r="Q557" s="103"/>
      <c r="R557" s="103"/>
      <c r="S557" s="103" t="s">
        <v>5791</v>
      </c>
      <c r="T557" s="103">
        <v>695529</v>
      </c>
      <c r="U557" s="103">
        <v>8.5</v>
      </c>
      <c r="V557" s="103" t="s">
        <v>65</v>
      </c>
      <c r="W557" s="103" t="s">
        <v>310</v>
      </c>
    </row>
    <row r="558" spans="1:23" x14ac:dyDescent="0.45">
      <c r="A558" s="103">
        <f t="shared" si="30"/>
        <v>557</v>
      </c>
      <c r="B558" s="103" t="s">
        <v>6214</v>
      </c>
      <c r="C558" s="103" t="s">
        <v>3474</v>
      </c>
      <c r="D558" s="103" t="s">
        <v>330</v>
      </c>
      <c r="E558" s="103" t="s">
        <v>100</v>
      </c>
      <c r="F558" s="103" t="s">
        <v>75</v>
      </c>
      <c r="G558" s="103" t="s">
        <v>88</v>
      </c>
      <c r="H558" s="103" t="s">
        <v>6215</v>
      </c>
      <c r="I558" s="103"/>
      <c r="J558" s="103" t="s">
        <v>122</v>
      </c>
      <c r="K558" s="103" t="s">
        <v>189</v>
      </c>
      <c r="L558" s="103"/>
      <c r="M558" s="103"/>
      <c r="N558" s="103" t="s">
        <v>6214</v>
      </c>
      <c r="O558" s="103" t="s">
        <v>5581</v>
      </c>
      <c r="P558" s="103" t="s">
        <v>5986</v>
      </c>
      <c r="Q558" s="103"/>
      <c r="R558" s="103"/>
      <c r="S558" s="103" t="s">
        <v>5792</v>
      </c>
      <c r="T558" s="103">
        <v>695529</v>
      </c>
      <c r="U558" s="103">
        <v>8.5</v>
      </c>
      <c r="V558" s="103" t="s">
        <v>65</v>
      </c>
      <c r="W558" s="103" t="s">
        <v>310</v>
      </c>
    </row>
    <row r="559" spans="1:23" x14ac:dyDescent="0.45">
      <c r="A559" s="103">
        <f t="shared" si="30"/>
        <v>558</v>
      </c>
      <c r="B559" s="103" t="s">
        <v>6214</v>
      </c>
      <c r="C559" s="103" t="s">
        <v>3474</v>
      </c>
      <c r="D559" s="103" t="s">
        <v>330</v>
      </c>
      <c r="E559" s="103" t="s">
        <v>100</v>
      </c>
      <c r="F559" s="103" t="s">
        <v>75</v>
      </c>
      <c r="G559" s="103" t="s">
        <v>88</v>
      </c>
      <c r="H559" s="103" t="s">
        <v>6215</v>
      </c>
      <c r="I559" s="103" t="s">
        <v>143</v>
      </c>
      <c r="J559" s="103" t="s">
        <v>122</v>
      </c>
      <c r="K559" s="103" t="s">
        <v>189</v>
      </c>
      <c r="L559" s="103"/>
      <c r="M559" s="103"/>
      <c r="N559" s="103" t="s">
        <v>6214</v>
      </c>
      <c r="O559" s="103" t="s">
        <v>5813</v>
      </c>
      <c r="P559" s="103" t="s">
        <v>6218</v>
      </c>
      <c r="Q559" s="103"/>
      <c r="R559" s="103"/>
      <c r="S559" s="103" t="s">
        <v>5871</v>
      </c>
      <c r="T559" s="103">
        <v>695529</v>
      </c>
      <c r="U559" s="103">
        <v>8.5</v>
      </c>
      <c r="V559" s="103" t="s">
        <v>65</v>
      </c>
      <c r="W559" s="103" t="s">
        <v>310</v>
      </c>
    </row>
    <row r="560" spans="1:23" x14ac:dyDescent="0.45">
      <c r="A560" s="103">
        <f t="shared" si="30"/>
        <v>559</v>
      </c>
      <c r="B560" s="103" t="s">
        <v>6214</v>
      </c>
      <c r="C560" s="103" t="s">
        <v>3474</v>
      </c>
      <c r="D560" s="103" t="s">
        <v>330</v>
      </c>
      <c r="E560" s="103" t="s">
        <v>100</v>
      </c>
      <c r="F560" s="103" t="s">
        <v>75</v>
      </c>
      <c r="G560" s="103" t="s">
        <v>88</v>
      </c>
      <c r="H560" s="103" t="s">
        <v>6215</v>
      </c>
      <c r="I560" s="103" t="s">
        <v>143</v>
      </c>
      <c r="J560" s="103" t="s">
        <v>122</v>
      </c>
      <c r="K560" s="103" t="s">
        <v>189</v>
      </c>
      <c r="L560" s="103"/>
      <c r="M560" s="103"/>
      <c r="N560" s="103"/>
      <c r="O560" s="103" t="s">
        <v>5814</v>
      </c>
      <c r="P560" s="103">
        <v>6</v>
      </c>
      <c r="Q560" s="103"/>
      <c r="R560" s="103"/>
      <c r="S560" s="103" t="s">
        <v>6027</v>
      </c>
      <c r="T560" s="103">
        <v>695529</v>
      </c>
      <c r="U560" s="103">
        <v>8.5</v>
      </c>
      <c r="V560" s="103" t="s">
        <v>65</v>
      </c>
      <c r="W560" s="103" t="s">
        <v>310</v>
      </c>
    </row>
    <row r="561" spans="1:23" x14ac:dyDescent="0.45">
      <c r="A561" s="103">
        <f t="shared" si="30"/>
        <v>560</v>
      </c>
      <c r="B561" s="103" t="s">
        <v>6214</v>
      </c>
      <c r="C561" s="103" t="s">
        <v>3474</v>
      </c>
      <c r="D561" s="103" t="s">
        <v>330</v>
      </c>
      <c r="E561" s="103" t="s">
        <v>100</v>
      </c>
      <c r="F561" s="103" t="s">
        <v>75</v>
      </c>
      <c r="G561" s="103" t="s">
        <v>88</v>
      </c>
      <c r="H561" s="103" t="s">
        <v>6215</v>
      </c>
      <c r="I561" s="103" t="s">
        <v>173</v>
      </c>
      <c r="J561" s="103" t="s">
        <v>122</v>
      </c>
      <c r="K561" s="103" t="s">
        <v>184</v>
      </c>
      <c r="L561" s="103" t="s">
        <v>6219</v>
      </c>
      <c r="M561" s="103"/>
      <c r="N561" s="103" t="s">
        <v>6214</v>
      </c>
      <c r="O561" s="103" t="s">
        <v>5816</v>
      </c>
      <c r="P561" s="103">
        <v>16</v>
      </c>
      <c r="Q561" s="103"/>
      <c r="R561" s="103"/>
      <c r="S561" s="103">
        <v>16</v>
      </c>
      <c r="T561" s="103">
        <v>695529</v>
      </c>
      <c r="U561" s="103">
        <v>9</v>
      </c>
      <c r="V561" s="103" t="s">
        <v>65</v>
      </c>
      <c r="W561" s="103" t="s">
        <v>310</v>
      </c>
    </row>
    <row r="562" spans="1:23" x14ac:dyDescent="0.45">
      <c r="A562" s="103">
        <f t="shared" si="30"/>
        <v>561</v>
      </c>
      <c r="B562" s="103" t="s">
        <v>6214</v>
      </c>
      <c r="C562" s="103" t="s">
        <v>3474</v>
      </c>
      <c r="D562" s="103" t="s">
        <v>330</v>
      </c>
      <c r="E562" s="103" t="s">
        <v>100</v>
      </c>
      <c r="F562" s="103" t="s">
        <v>75</v>
      </c>
      <c r="G562" s="103" t="s">
        <v>88</v>
      </c>
      <c r="H562" s="103" t="s">
        <v>6215</v>
      </c>
      <c r="I562" s="103" t="s">
        <v>173</v>
      </c>
      <c r="J562" s="103" t="s">
        <v>122</v>
      </c>
      <c r="K562" s="103" t="s">
        <v>184</v>
      </c>
      <c r="L562" s="103" t="s">
        <v>6220</v>
      </c>
      <c r="M562" s="103"/>
      <c r="N562" s="103" t="s">
        <v>6214</v>
      </c>
      <c r="O562" s="103" t="s">
        <v>5817</v>
      </c>
      <c r="P562" s="103">
        <v>16</v>
      </c>
      <c r="Q562" s="103"/>
      <c r="R562" s="103"/>
      <c r="S562" s="103">
        <v>16</v>
      </c>
      <c r="T562" s="103">
        <v>695529</v>
      </c>
      <c r="U562" s="103">
        <v>9</v>
      </c>
      <c r="V562" s="103" t="s">
        <v>65</v>
      </c>
      <c r="W562" s="103" t="s">
        <v>310</v>
      </c>
    </row>
    <row r="563" spans="1:23" x14ac:dyDescent="0.45">
      <c r="A563" s="103">
        <f t="shared" si="30"/>
        <v>562</v>
      </c>
      <c r="B563" s="103" t="s">
        <v>6214</v>
      </c>
      <c r="C563" s="103" t="s">
        <v>3474</v>
      </c>
      <c r="D563" s="103" t="s">
        <v>330</v>
      </c>
      <c r="E563" s="103" t="s">
        <v>100</v>
      </c>
      <c r="F563" s="103" t="s">
        <v>75</v>
      </c>
      <c r="G563" s="103" t="s">
        <v>88</v>
      </c>
      <c r="H563" s="103" t="s">
        <v>6215</v>
      </c>
      <c r="I563" s="103"/>
      <c r="J563" s="103"/>
      <c r="K563" s="103"/>
      <c r="L563" s="103"/>
      <c r="M563" s="103"/>
      <c r="N563" s="103" t="s">
        <v>6214</v>
      </c>
      <c r="O563" s="103" t="s">
        <v>5819</v>
      </c>
      <c r="P563" s="103"/>
      <c r="Q563" s="103"/>
      <c r="R563" s="103"/>
      <c r="S563" s="103"/>
      <c r="T563" s="103">
        <v>695529</v>
      </c>
      <c r="U563" s="103"/>
      <c r="V563" s="103" t="s">
        <v>65</v>
      </c>
      <c r="W563" s="103" t="s">
        <v>310</v>
      </c>
    </row>
    <row r="564" spans="1:23" x14ac:dyDescent="0.45">
      <c r="A564" s="103">
        <f t="shared" si="30"/>
        <v>563</v>
      </c>
      <c r="B564" s="103" t="s">
        <v>6214</v>
      </c>
      <c r="C564" s="103" t="s">
        <v>3474</v>
      </c>
      <c r="D564" s="103" t="s">
        <v>330</v>
      </c>
      <c r="E564" s="103" t="s">
        <v>100</v>
      </c>
      <c r="F564" s="103" t="s">
        <v>75</v>
      </c>
      <c r="G564" s="103" t="s">
        <v>88</v>
      </c>
      <c r="H564" s="103" t="s">
        <v>6215</v>
      </c>
      <c r="I564" s="103" t="s">
        <v>173</v>
      </c>
      <c r="J564" s="103" t="s">
        <v>122</v>
      </c>
      <c r="K564" s="103" t="s">
        <v>184</v>
      </c>
      <c r="L564" s="103"/>
      <c r="M564" s="103"/>
      <c r="N564" s="103" t="s">
        <v>6214</v>
      </c>
      <c r="O564" s="103" t="s">
        <v>5820</v>
      </c>
      <c r="P564" s="103" t="s">
        <v>5954</v>
      </c>
      <c r="Q564" s="103"/>
      <c r="R564" s="103"/>
      <c r="S564" s="103" t="s">
        <v>5919</v>
      </c>
      <c r="T564" s="103">
        <v>695529</v>
      </c>
      <c r="U564" s="103">
        <v>9</v>
      </c>
      <c r="V564" s="103" t="s">
        <v>65</v>
      </c>
      <c r="W564" s="103" t="s">
        <v>310</v>
      </c>
    </row>
    <row r="565" spans="1:23" x14ac:dyDescent="0.45">
      <c r="A565" s="103">
        <f t="shared" si="30"/>
        <v>564</v>
      </c>
      <c r="B565" s="103" t="s">
        <v>6214</v>
      </c>
      <c r="C565" s="103" t="s">
        <v>3474</v>
      </c>
      <c r="D565" s="103" t="s">
        <v>330</v>
      </c>
      <c r="E565" s="103" t="s">
        <v>100</v>
      </c>
      <c r="F565" s="103" t="s">
        <v>75</v>
      </c>
      <c r="G565" s="103" t="s">
        <v>88</v>
      </c>
      <c r="H565" s="103" t="s">
        <v>6215</v>
      </c>
      <c r="I565" s="103" t="s">
        <v>173</v>
      </c>
      <c r="J565" s="103" t="s">
        <v>122</v>
      </c>
      <c r="K565" s="103" t="s">
        <v>184</v>
      </c>
      <c r="L565" s="103" t="s">
        <v>6221</v>
      </c>
      <c r="M565" s="103"/>
      <c r="N565" s="103" t="s">
        <v>6214</v>
      </c>
      <c r="O565" s="103" t="s">
        <v>5821</v>
      </c>
      <c r="P565" s="103">
        <v>16</v>
      </c>
      <c r="Q565" s="103"/>
      <c r="R565" s="103"/>
      <c r="S565" s="103">
        <v>16</v>
      </c>
      <c r="T565" s="103">
        <v>695529</v>
      </c>
      <c r="U565" s="103">
        <v>9</v>
      </c>
      <c r="V565" s="103" t="s">
        <v>65</v>
      </c>
      <c r="W565" s="103" t="s">
        <v>310</v>
      </c>
    </row>
    <row r="566" spans="1:23" x14ac:dyDescent="0.45">
      <c r="A566" s="103">
        <f t="shared" si="30"/>
        <v>565</v>
      </c>
      <c r="B566" s="103" t="s">
        <v>6214</v>
      </c>
      <c r="C566" s="103" t="s">
        <v>3474</v>
      </c>
      <c r="D566" s="103" t="s">
        <v>330</v>
      </c>
      <c r="E566" s="103" t="s">
        <v>100</v>
      </c>
      <c r="F566" s="103" t="s">
        <v>75</v>
      </c>
      <c r="G566" s="103" t="s">
        <v>88</v>
      </c>
      <c r="H566" s="103" t="s">
        <v>6215</v>
      </c>
      <c r="I566" s="103" t="s">
        <v>173</v>
      </c>
      <c r="J566" s="103" t="s">
        <v>122</v>
      </c>
      <c r="K566" s="103" t="s">
        <v>184</v>
      </c>
      <c r="L566" s="103" t="s">
        <v>6222</v>
      </c>
      <c r="M566" s="103"/>
      <c r="N566" s="103" t="s">
        <v>6214</v>
      </c>
      <c r="O566" s="103" t="s">
        <v>5859</v>
      </c>
      <c r="P566" s="103">
        <v>16</v>
      </c>
      <c r="Q566" s="103"/>
      <c r="R566" s="103"/>
      <c r="S566" s="103">
        <v>16</v>
      </c>
      <c r="T566" s="103">
        <v>695529</v>
      </c>
      <c r="U566" s="103">
        <v>9</v>
      </c>
      <c r="V566" s="103" t="s">
        <v>65</v>
      </c>
      <c r="W566" s="103" t="s">
        <v>310</v>
      </c>
    </row>
    <row r="567" spans="1:23" x14ac:dyDescent="0.45">
      <c r="A567" s="103">
        <f t="shared" si="30"/>
        <v>566</v>
      </c>
      <c r="B567" s="103" t="s">
        <v>6214</v>
      </c>
      <c r="C567" s="103" t="s">
        <v>3474</v>
      </c>
      <c r="D567" s="103" t="s">
        <v>330</v>
      </c>
      <c r="E567" s="103" t="s">
        <v>100</v>
      </c>
      <c r="F567" s="103" t="s">
        <v>75</v>
      </c>
      <c r="G567" s="103" t="s">
        <v>88</v>
      </c>
      <c r="H567" s="103" t="s">
        <v>6215</v>
      </c>
      <c r="I567" s="103" t="s">
        <v>173</v>
      </c>
      <c r="J567" s="103" t="s">
        <v>122</v>
      </c>
      <c r="K567" s="103" t="s">
        <v>184</v>
      </c>
      <c r="L567" s="103" t="s">
        <v>6223</v>
      </c>
      <c r="M567" s="103"/>
      <c r="N567" s="103" t="s">
        <v>6214</v>
      </c>
      <c r="O567" s="103" t="s">
        <v>5860</v>
      </c>
      <c r="P567" s="103">
        <v>16</v>
      </c>
      <c r="Q567" s="103"/>
      <c r="R567" s="103"/>
      <c r="S567" s="103">
        <v>16</v>
      </c>
      <c r="T567" s="103">
        <v>695529</v>
      </c>
      <c r="U567" s="103">
        <v>9</v>
      </c>
      <c r="V567" s="103" t="s">
        <v>65</v>
      </c>
      <c r="W567" s="103" t="s">
        <v>310</v>
      </c>
    </row>
    <row r="568" spans="1:23" x14ac:dyDescent="0.45">
      <c r="A568" s="103">
        <f t="shared" ref="A568:A581" si="31">ROW()-1</f>
        <v>567</v>
      </c>
      <c r="B568" s="103" t="s">
        <v>6224</v>
      </c>
      <c r="C568" s="103" t="s">
        <v>3474</v>
      </c>
      <c r="D568" s="103" t="s">
        <v>330</v>
      </c>
      <c r="E568" s="103" t="s">
        <v>100</v>
      </c>
      <c r="F568" s="103" t="s">
        <v>77</v>
      </c>
      <c r="G568" s="103" t="s">
        <v>88</v>
      </c>
      <c r="H568" s="103" t="s">
        <v>6225</v>
      </c>
      <c r="I568" s="103" t="s">
        <v>143</v>
      </c>
      <c r="J568" s="103" t="s">
        <v>122</v>
      </c>
      <c r="K568" s="103" t="s">
        <v>288</v>
      </c>
      <c r="L568" s="103"/>
      <c r="M568" s="103"/>
      <c r="N568" s="103" t="s">
        <v>6224</v>
      </c>
      <c r="O568" s="103" t="s">
        <v>47</v>
      </c>
      <c r="P568" s="103" t="s">
        <v>5853</v>
      </c>
      <c r="Q568" s="103"/>
      <c r="R568" s="103"/>
      <c r="S568" s="103" t="s">
        <v>5857</v>
      </c>
      <c r="T568" s="103">
        <v>231584</v>
      </c>
      <c r="U568" s="103">
        <v>6.5</v>
      </c>
      <c r="V568" s="103" t="s">
        <v>65</v>
      </c>
      <c r="W568" s="103" t="s">
        <v>310</v>
      </c>
    </row>
    <row r="569" spans="1:23" x14ac:dyDescent="0.45">
      <c r="A569" s="103">
        <f t="shared" si="31"/>
        <v>568</v>
      </c>
      <c r="B569" s="103" t="s">
        <v>6224</v>
      </c>
      <c r="C569" s="103" t="s">
        <v>3474</v>
      </c>
      <c r="D569" s="103" t="s">
        <v>330</v>
      </c>
      <c r="E569" s="103" t="s">
        <v>100</v>
      </c>
      <c r="F569" s="103" t="s">
        <v>77</v>
      </c>
      <c r="G569" s="103" t="s">
        <v>88</v>
      </c>
      <c r="H569" s="103" t="s">
        <v>6225</v>
      </c>
      <c r="I569" s="103" t="s">
        <v>143</v>
      </c>
      <c r="J569" s="103" t="s">
        <v>122</v>
      </c>
      <c r="K569" s="103" t="s">
        <v>288</v>
      </c>
      <c r="L569" s="103"/>
      <c r="M569" s="103"/>
      <c r="N569" s="103" t="s">
        <v>6224</v>
      </c>
      <c r="O569" s="103" t="s">
        <v>5580</v>
      </c>
      <c r="P569" s="103" t="s">
        <v>5968</v>
      </c>
      <c r="Q569" s="103"/>
      <c r="R569" s="103"/>
      <c r="S569" s="103" t="s">
        <v>6085</v>
      </c>
      <c r="T569" s="103">
        <v>231584</v>
      </c>
      <c r="U569" s="103">
        <v>6.5</v>
      </c>
      <c r="V569" s="103" t="s">
        <v>65</v>
      </c>
      <c r="W569" s="103" t="s">
        <v>310</v>
      </c>
    </row>
    <row r="570" spans="1:23" x14ac:dyDescent="0.45">
      <c r="A570" s="103">
        <f t="shared" si="31"/>
        <v>569</v>
      </c>
      <c r="B570" s="103" t="s">
        <v>6224</v>
      </c>
      <c r="C570" s="103" t="s">
        <v>3474</v>
      </c>
      <c r="D570" s="103" t="s">
        <v>330</v>
      </c>
      <c r="E570" s="103" t="s">
        <v>100</v>
      </c>
      <c r="F570" s="103" t="s">
        <v>77</v>
      </c>
      <c r="G570" s="103" t="s">
        <v>88</v>
      </c>
      <c r="H570" s="103" t="s">
        <v>6225</v>
      </c>
      <c r="I570" s="103" t="s">
        <v>143</v>
      </c>
      <c r="J570" s="103" t="s">
        <v>122</v>
      </c>
      <c r="K570" s="103" t="s">
        <v>189</v>
      </c>
      <c r="L570" s="103"/>
      <c r="M570" s="103"/>
      <c r="N570" s="103" t="s">
        <v>6224</v>
      </c>
      <c r="O570" s="103" t="s">
        <v>5812</v>
      </c>
      <c r="P570" s="103">
        <v>13</v>
      </c>
      <c r="Q570" s="103"/>
      <c r="R570" s="103"/>
      <c r="S570" s="103" t="s">
        <v>6060</v>
      </c>
      <c r="T570" s="103">
        <v>231584</v>
      </c>
      <c r="U570" s="103">
        <v>8.5</v>
      </c>
      <c r="V570" s="103" t="s">
        <v>65</v>
      </c>
      <c r="W570" s="103" t="s">
        <v>310</v>
      </c>
    </row>
    <row r="571" spans="1:23" x14ac:dyDescent="0.45">
      <c r="A571" s="103">
        <f t="shared" si="31"/>
        <v>570</v>
      </c>
      <c r="B571" s="103" t="s">
        <v>6224</v>
      </c>
      <c r="C571" s="103" t="s">
        <v>3474</v>
      </c>
      <c r="D571" s="103" t="s">
        <v>330</v>
      </c>
      <c r="E571" s="103" t="s">
        <v>100</v>
      </c>
      <c r="F571" s="103" t="s">
        <v>77</v>
      </c>
      <c r="G571" s="103" t="s">
        <v>88</v>
      </c>
      <c r="H571" s="103" t="s">
        <v>6225</v>
      </c>
      <c r="I571" s="103"/>
      <c r="J571" s="103" t="s">
        <v>122</v>
      </c>
      <c r="K571" s="103" t="s">
        <v>189</v>
      </c>
      <c r="L571" s="103"/>
      <c r="M571" s="103"/>
      <c r="N571" s="103" t="s">
        <v>6224</v>
      </c>
      <c r="O571" s="103" t="s">
        <v>5581</v>
      </c>
      <c r="P571" s="103" t="s">
        <v>6228</v>
      </c>
      <c r="Q571" s="103"/>
      <c r="R571" s="103"/>
      <c r="S571" s="103" t="s">
        <v>5963</v>
      </c>
      <c r="T571" s="103">
        <v>231584</v>
      </c>
      <c r="U571" s="103">
        <v>8.5</v>
      </c>
      <c r="V571" s="103" t="s">
        <v>65</v>
      </c>
      <c r="W571" s="103" t="s">
        <v>310</v>
      </c>
    </row>
    <row r="572" spans="1:23" x14ac:dyDescent="0.45">
      <c r="A572" s="103">
        <f t="shared" si="31"/>
        <v>571</v>
      </c>
      <c r="B572" s="103" t="s">
        <v>6224</v>
      </c>
      <c r="C572" s="103" t="s">
        <v>3474</v>
      </c>
      <c r="D572" s="103" t="s">
        <v>330</v>
      </c>
      <c r="E572" s="103" t="s">
        <v>100</v>
      </c>
      <c r="F572" s="103" t="s">
        <v>77</v>
      </c>
      <c r="G572" s="103" t="s">
        <v>88</v>
      </c>
      <c r="H572" s="103" t="s">
        <v>6225</v>
      </c>
      <c r="I572" s="103" t="s">
        <v>143</v>
      </c>
      <c r="J572" s="103" t="s">
        <v>122</v>
      </c>
      <c r="K572" s="103" t="s">
        <v>189</v>
      </c>
      <c r="L572" s="103"/>
      <c r="M572" s="103"/>
      <c r="N572" s="103" t="s">
        <v>6224</v>
      </c>
      <c r="O572" s="103" t="s">
        <v>5813</v>
      </c>
      <c r="P572" s="103">
        <v>17</v>
      </c>
      <c r="Q572" s="103"/>
      <c r="R572" s="103"/>
      <c r="S572" s="103" t="s">
        <v>5962</v>
      </c>
      <c r="T572" s="103">
        <v>231584</v>
      </c>
      <c r="U572" s="103">
        <v>8.5</v>
      </c>
      <c r="V572" s="103" t="s">
        <v>65</v>
      </c>
      <c r="W572" s="103" t="s">
        <v>310</v>
      </c>
    </row>
    <row r="573" spans="1:23" x14ac:dyDescent="0.45">
      <c r="A573" s="103">
        <f t="shared" si="31"/>
        <v>572</v>
      </c>
      <c r="B573" s="103" t="s">
        <v>6224</v>
      </c>
      <c r="C573" s="103" t="s">
        <v>3474</v>
      </c>
      <c r="D573" s="103" t="s">
        <v>330</v>
      </c>
      <c r="E573" s="103" t="s">
        <v>100</v>
      </c>
      <c r="F573" s="103" t="s">
        <v>77</v>
      </c>
      <c r="G573" s="103" t="s">
        <v>88</v>
      </c>
      <c r="H573" s="103" t="s">
        <v>6225</v>
      </c>
      <c r="I573" s="103" t="s">
        <v>143</v>
      </c>
      <c r="J573" s="103" t="s">
        <v>122</v>
      </c>
      <c r="K573" s="103" t="s">
        <v>189</v>
      </c>
      <c r="L573" s="103"/>
      <c r="M573" s="103"/>
      <c r="N573" s="103"/>
      <c r="O573" s="103" t="s">
        <v>5814</v>
      </c>
      <c r="P573" s="103" t="s">
        <v>5806</v>
      </c>
      <c r="Q573" s="103"/>
      <c r="R573" s="103"/>
      <c r="S573" s="103" t="s">
        <v>6131</v>
      </c>
      <c r="T573" s="103">
        <v>231584</v>
      </c>
      <c r="U573" s="103">
        <v>8.5</v>
      </c>
      <c r="V573" s="103" t="s">
        <v>65</v>
      </c>
      <c r="W573" s="103" t="s">
        <v>310</v>
      </c>
    </row>
    <row r="574" spans="1:23" x14ac:dyDescent="0.45">
      <c r="A574" s="103">
        <f t="shared" si="31"/>
        <v>573</v>
      </c>
      <c r="B574" s="103" t="s">
        <v>6224</v>
      </c>
      <c r="C574" s="103" t="s">
        <v>3474</v>
      </c>
      <c r="D574" s="103" t="s">
        <v>330</v>
      </c>
      <c r="E574" s="103" t="s">
        <v>100</v>
      </c>
      <c r="F574" s="103" t="s">
        <v>77</v>
      </c>
      <c r="G574" s="103" t="s">
        <v>88</v>
      </c>
      <c r="H574" s="103" t="s">
        <v>6225</v>
      </c>
      <c r="I574" s="103" t="s">
        <v>143</v>
      </c>
      <c r="J574" s="103" t="s">
        <v>122</v>
      </c>
      <c r="K574" s="103" t="s">
        <v>5788</v>
      </c>
      <c r="L574" s="103"/>
      <c r="M574" s="103"/>
      <c r="N574" s="103" t="s">
        <v>6224</v>
      </c>
      <c r="O574" s="103" t="s">
        <v>5815</v>
      </c>
      <c r="P574" s="103"/>
      <c r="Q574" s="103"/>
      <c r="R574" s="103"/>
      <c r="S574" s="103" t="s">
        <v>6028</v>
      </c>
      <c r="T574" s="103">
        <v>231584</v>
      </c>
      <c r="U574" s="103">
        <v>8.5</v>
      </c>
      <c r="V574" s="103" t="s">
        <v>65</v>
      </c>
      <c r="W574" s="103" t="s">
        <v>310</v>
      </c>
    </row>
    <row r="575" spans="1:23" x14ac:dyDescent="0.45">
      <c r="A575" s="103">
        <f t="shared" si="31"/>
        <v>574</v>
      </c>
      <c r="B575" s="103" t="s">
        <v>6224</v>
      </c>
      <c r="C575" s="103" t="s">
        <v>3474</v>
      </c>
      <c r="D575" s="103" t="s">
        <v>330</v>
      </c>
      <c r="E575" s="103" t="s">
        <v>100</v>
      </c>
      <c r="F575" s="103" t="s">
        <v>77</v>
      </c>
      <c r="G575" s="103" t="s">
        <v>88</v>
      </c>
      <c r="H575" s="103" t="s">
        <v>6225</v>
      </c>
      <c r="I575" s="103" t="s">
        <v>143</v>
      </c>
      <c r="J575" s="103" t="s">
        <v>164</v>
      </c>
      <c r="K575" s="103" t="s">
        <v>6229</v>
      </c>
      <c r="L575" s="103"/>
      <c r="M575" s="103"/>
      <c r="N575" s="103" t="s">
        <v>6224</v>
      </c>
      <c r="O575" s="103" t="s">
        <v>5816</v>
      </c>
      <c r="P575" s="103" t="s">
        <v>5797</v>
      </c>
      <c r="Q575" s="103"/>
      <c r="R575" s="103"/>
      <c r="S575" s="103" t="s">
        <v>5800</v>
      </c>
      <c r="T575" s="103">
        <v>231584</v>
      </c>
      <c r="U575" s="103">
        <v>8.5</v>
      </c>
      <c r="V575" s="103" t="s">
        <v>65</v>
      </c>
      <c r="W575" s="103" t="s">
        <v>310</v>
      </c>
    </row>
    <row r="576" spans="1:23" x14ac:dyDescent="0.45">
      <c r="A576" s="103">
        <f t="shared" si="31"/>
        <v>575</v>
      </c>
      <c r="B576" s="103" t="s">
        <v>6224</v>
      </c>
      <c r="C576" s="103" t="s">
        <v>3474</v>
      </c>
      <c r="D576" s="103" t="s">
        <v>330</v>
      </c>
      <c r="E576" s="103" t="s">
        <v>100</v>
      </c>
      <c r="F576" s="103" t="s">
        <v>77</v>
      </c>
      <c r="G576" s="103" t="s">
        <v>88</v>
      </c>
      <c r="H576" s="103" t="s">
        <v>6225</v>
      </c>
      <c r="I576" s="103" t="s">
        <v>116</v>
      </c>
      <c r="J576" s="103" t="s">
        <v>122</v>
      </c>
      <c r="K576" s="103" t="s">
        <v>288</v>
      </c>
      <c r="L576" s="103" t="s">
        <v>6234</v>
      </c>
      <c r="M576" s="103"/>
      <c r="N576" s="103" t="s">
        <v>6224</v>
      </c>
      <c r="O576" s="103" t="s">
        <v>5817</v>
      </c>
      <c r="P576" s="103" t="s">
        <v>5806</v>
      </c>
      <c r="Q576" s="103"/>
      <c r="R576" s="103"/>
      <c r="S576" s="103" t="s">
        <v>5806</v>
      </c>
      <c r="T576" s="103">
        <v>231584</v>
      </c>
      <c r="U576" s="103">
        <v>8.5</v>
      </c>
      <c r="V576" s="103" t="s">
        <v>65</v>
      </c>
      <c r="W576" s="103" t="s">
        <v>310</v>
      </c>
    </row>
    <row r="577" spans="1:23" x14ac:dyDescent="0.45">
      <c r="A577" s="103">
        <f t="shared" si="31"/>
        <v>576</v>
      </c>
      <c r="B577" s="103" t="s">
        <v>6224</v>
      </c>
      <c r="C577" s="103" t="s">
        <v>3474</v>
      </c>
      <c r="D577" s="103" t="s">
        <v>330</v>
      </c>
      <c r="E577" s="103" t="s">
        <v>100</v>
      </c>
      <c r="F577" s="103" t="s">
        <v>77</v>
      </c>
      <c r="G577" s="103" t="s">
        <v>88</v>
      </c>
      <c r="H577" s="103" t="s">
        <v>6225</v>
      </c>
      <c r="I577" s="103" t="s">
        <v>116</v>
      </c>
      <c r="J577" s="103" t="s">
        <v>122</v>
      </c>
      <c r="K577" s="103" t="s">
        <v>288</v>
      </c>
      <c r="L577" s="103" t="s">
        <v>6235</v>
      </c>
      <c r="M577" s="103"/>
      <c r="N577" s="103" t="s">
        <v>6224</v>
      </c>
      <c r="O577" s="103" t="s">
        <v>5818</v>
      </c>
      <c r="P577" s="103" t="s">
        <v>5806</v>
      </c>
      <c r="Q577" s="103"/>
      <c r="R577" s="103"/>
      <c r="S577" s="103" t="s">
        <v>5806</v>
      </c>
      <c r="T577" s="103">
        <v>231584</v>
      </c>
      <c r="U577" s="103">
        <v>8.5</v>
      </c>
      <c r="V577" s="103" t="s">
        <v>65</v>
      </c>
      <c r="W577" s="103" t="s">
        <v>310</v>
      </c>
    </row>
    <row r="578" spans="1:23" x14ac:dyDescent="0.45">
      <c r="A578" s="103">
        <f t="shared" si="31"/>
        <v>577</v>
      </c>
      <c r="B578" s="103" t="s">
        <v>6224</v>
      </c>
      <c r="C578" s="103" t="s">
        <v>3474</v>
      </c>
      <c r="D578" s="103" t="s">
        <v>330</v>
      </c>
      <c r="E578" s="103" t="s">
        <v>100</v>
      </c>
      <c r="F578" s="103" t="s">
        <v>77</v>
      </c>
      <c r="G578" s="103" t="s">
        <v>88</v>
      </c>
      <c r="H578" s="103" t="s">
        <v>6225</v>
      </c>
      <c r="I578" s="103" t="s">
        <v>116</v>
      </c>
      <c r="J578" s="103" t="s">
        <v>122</v>
      </c>
      <c r="K578" s="103" t="s">
        <v>288</v>
      </c>
      <c r="L578" s="103" t="s">
        <v>6230</v>
      </c>
      <c r="M578" s="103"/>
      <c r="N578" s="103" t="s">
        <v>6224</v>
      </c>
      <c r="O578" s="103" t="s">
        <v>5819</v>
      </c>
      <c r="P578" s="103" t="s">
        <v>5806</v>
      </c>
      <c r="Q578" s="103"/>
      <c r="R578" s="103"/>
      <c r="S578" s="103" t="s">
        <v>5806</v>
      </c>
      <c r="T578" s="103">
        <v>231584</v>
      </c>
      <c r="U578" s="103">
        <v>8.5</v>
      </c>
      <c r="V578" s="103" t="s">
        <v>65</v>
      </c>
      <c r="W578" s="103" t="s">
        <v>310</v>
      </c>
    </row>
    <row r="579" spans="1:23" x14ac:dyDescent="0.45">
      <c r="A579" s="103">
        <f t="shared" si="31"/>
        <v>578</v>
      </c>
      <c r="B579" s="103" t="s">
        <v>6224</v>
      </c>
      <c r="C579" s="103" t="s">
        <v>3474</v>
      </c>
      <c r="D579" s="103" t="s">
        <v>330</v>
      </c>
      <c r="E579" s="103" t="s">
        <v>100</v>
      </c>
      <c r="F579" s="103" t="s">
        <v>77</v>
      </c>
      <c r="G579" s="103" t="s">
        <v>88</v>
      </c>
      <c r="H579" s="103" t="s">
        <v>6225</v>
      </c>
      <c r="I579" s="103" t="s">
        <v>116</v>
      </c>
      <c r="J579" s="103" t="s">
        <v>122</v>
      </c>
      <c r="K579" s="103" t="s">
        <v>288</v>
      </c>
      <c r="L579" s="103" t="s">
        <v>6231</v>
      </c>
      <c r="M579" s="103"/>
      <c r="N579" s="103" t="s">
        <v>6224</v>
      </c>
      <c r="O579" s="103" t="s">
        <v>5820</v>
      </c>
      <c r="P579" s="103" t="s">
        <v>5806</v>
      </c>
      <c r="Q579" s="103"/>
      <c r="R579" s="103"/>
      <c r="S579" s="103" t="s">
        <v>5806</v>
      </c>
      <c r="T579" s="103">
        <v>231584</v>
      </c>
      <c r="U579" s="103">
        <v>8.5</v>
      </c>
      <c r="V579" s="103" t="s">
        <v>65</v>
      </c>
      <c r="W579" s="103" t="s">
        <v>310</v>
      </c>
    </row>
    <row r="580" spans="1:23" x14ac:dyDescent="0.45">
      <c r="A580" s="103">
        <f t="shared" si="31"/>
        <v>579</v>
      </c>
      <c r="B580" s="103" t="s">
        <v>6224</v>
      </c>
      <c r="C580" s="103" t="s">
        <v>3474</v>
      </c>
      <c r="D580" s="103" t="s">
        <v>330</v>
      </c>
      <c r="E580" s="103" t="s">
        <v>100</v>
      </c>
      <c r="F580" s="103" t="s">
        <v>77</v>
      </c>
      <c r="G580" s="103" t="s">
        <v>88</v>
      </c>
      <c r="H580" s="103" t="s">
        <v>6225</v>
      </c>
      <c r="I580" s="103" t="s">
        <v>116</v>
      </c>
      <c r="J580" s="103" t="s">
        <v>122</v>
      </c>
      <c r="K580" s="103" t="s">
        <v>288</v>
      </c>
      <c r="L580" s="103" t="s">
        <v>6232</v>
      </c>
      <c r="M580" s="103"/>
      <c r="N580" s="103" t="s">
        <v>6224</v>
      </c>
      <c r="O580" s="103" t="s">
        <v>5821</v>
      </c>
      <c r="P580" s="103" t="s">
        <v>5806</v>
      </c>
      <c r="Q580" s="103"/>
      <c r="R580" s="103"/>
      <c r="S580" s="103" t="s">
        <v>5806</v>
      </c>
      <c r="T580" s="103">
        <v>231584</v>
      </c>
      <c r="U580" s="103">
        <v>8.5</v>
      </c>
      <c r="V580" s="103" t="s">
        <v>65</v>
      </c>
      <c r="W580" s="103" t="s">
        <v>310</v>
      </c>
    </row>
    <row r="581" spans="1:23" x14ac:dyDescent="0.45">
      <c r="A581" s="103">
        <f t="shared" si="31"/>
        <v>580</v>
      </c>
      <c r="B581" s="103" t="s">
        <v>6224</v>
      </c>
      <c r="C581" s="103" t="s">
        <v>3474</v>
      </c>
      <c r="D581" s="103" t="s">
        <v>330</v>
      </c>
      <c r="E581" s="103" t="s">
        <v>100</v>
      </c>
      <c r="F581" s="103" t="s">
        <v>77</v>
      </c>
      <c r="G581" s="103" t="s">
        <v>88</v>
      </c>
      <c r="H581" s="103" t="s">
        <v>6225</v>
      </c>
      <c r="I581" s="103" t="s">
        <v>116</v>
      </c>
      <c r="J581" s="103" t="s">
        <v>122</v>
      </c>
      <c r="K581" s="103" t="s">
        <v>288</v>
      </c>
      <c r="L581" s="103" t="s">
        <v>6233</v>
      </c>
      <c r="M581" s="103"/>
      <c r="N581" s="103" t="s">
        <v>6224</v>
      </c>
      <c r="O581" s="103" t="s">
        <v>5822</v>
      </c>
      <c r="P581" s="103" t="s">
        <v>5806</v>
      </c>
      <c r="Q581" s="103"/>
      <c r="R581" s="103"/>
      <c r="S581" s="103" t="s">
        <v>5806</v>
      </c>
      <c r="T581" s="103">
        <v>231584</v>
      </c>
      <c r="U581" s="103">
        <v>8.5</v>
      </c>
      <c r="V581" s="103" t="s">
        <v>65</v>
      </c>
      <c r="W581" s="103" t="s">
        <v>310</v>
      </c>
    </row>
    <row r="582" spans="1:23" x14ac:dyDescent="0.45">
      <c r="A582" s="103">
        <f t="shared" ref="A582:A601" si="32">ROW()-1</f>
        <v>581</v>
      </c>
      <c r="B582" s="103" t="s">
        <v>6236</v>
      </c>
      <c r="C582" s="103" t="s">
        <v>6240</v>
      </c>
      <c r="D582" s="103"/>
      <c r="E582" s="103" t="s">
        <v>101</v>
      </c>
      <c r="F582" s="103" t="s">
        <v>75</v>
      </c>
      <c r="G582" s="103" t="s">
        <v>71</v>
      </c>
      <c r="H582" s="103" t="s">
        <v>6241</v>
      </c>
      <c r="I582" s="103" t="s">
        <v>173</v>
      </c>
      <c r="J582" s="103" t="s">
        <v>122</v>
      </c>
      <c r="K582" s="103" t="s">
        <v>184</v>
      </c>
      <c r="L582" s="103"/>
      <c r="M582" s="103"/>
      <c r="N582" s="103" t="s">
        <v>6236</v>
      </c>
      <c r="O582" s="103" t="s">
        <v>47</v>
      </c>
      <c r="P582" s="103" t="s">
        <v>5842</v>
      </c>
      <c r="Q582" s="103"/>
      <c r="R582" s="103"/>
      <c r="S582" s="103" t="s">
        <v>6122</v>
      </c>
      <c r="T582" s="103">
        <v>874912</v>
      </c>
      <c r="U582" s="103">
        <v>8.8000000000000007</v>
      </c>
      <c r="V582" s="103" t="s">
        <v>65</v>
      </c>
      <c r="W582" s="103" t="s">
        <v>310</v>
      </c>
    </row>
    <row r="583" spans="1:23" x14ac:dyDescent="0.45">
      <c r="A583" s="103">
        <f t="shared" si="32"/>
        <v>582</v>
      </c>
      <c r="B583" s="103" t="s">
        <v>6236</v>
      </c>
      <c r="C583" s="103" t="s">
        <v>6240</v>
      </c>
      <c r="D583" s="103"/>
      <c r="E583" s="103" t="s">
        <v>101</v>
      </c>
      <c r="F583" s="103" t="s">
        <v>75</v>
      </c>
      <c r="G583" s="103" t="s">
        <v>71</v>
      </c>
      <c r="H583" s="103" t="s">
        <v>6241</v>
      </c>
      <c r="I583" s="103" t="s">
        <v>173</v>
      </c>
      <c r="J583" s="103" t="s">
        <v>122</v>
      </c>
      <c r="K583" s="103" t="s">
        <v>184</v>
      </c>
      <c r="L583" s="103"/>
      <c r="M583" s="103"/>
      <c r="N583" s="103" t="s">
        <v>6236</v>
      </c>
      <c r="O583" s="103" t="s">
        <v>5580</v>
      </c>
      <c r="P583" s="103" t="s">
        <v>5843</v>
      </c>
      <c r="Q583" s="103"/>
      <c r="R583" s="103"/>
      <c r="S583" s="103" t="s">
        <v>5803</v>
      </c>
      <c r="T583" s="103">
        <v>874912</v>
      </c>
      <c r="U583" s="103">
        <v>8.8000000000000007</v>
      </c>
      <c r="V583" s="103" t="s">
        <v>65</v>
      </c>
      <c r="W583" s="103" t="s">
        <v>310</v>
      </c>
    </row>
    <row r="584" spans="1:23" x14ac:dyDescent="0.45">
      <c r="A584" s="103">
        <f t="shared" si="32"/>
        <v>583</v>
      </c>
      <c r="B584" s="103" t="s">
        <v>6236</v>
      </c>
      <c r="C584" s="103" t="s">
        <v>6240</v>
      </c>
      <c r="D584" s="103"/>
      <c r="E584" s="103" t="s">
        <v>101</v>
      </c>
      <c r="F584" s="103" t="s">
        <v>75</v>
      </c>
      <c r="G584" s="103" t="s">
        <v>71</v>
      </c>
      <c r="H584" s="103" t="s">
        <v>6241</v>
      </c>
      <c r="I584" s="103" t="s">
        <v>143</v>
      </c>
      <c r="J584" s="103" t="s">
        <v>142</v>
      </c>
      <c r="K584" s="103" t="s">
        <v>144</v>
      </c>
      <c r="L584" s="103"/>
      <c r="M584" s="103"/>
      <c r="N584" s="103" t="s">
        <v>6236</v>
      </c>
      <c r="O584" s="103" t="s">
        <v>5812</v>
      </c>
      <c r="P584" s="103" t="s">
        <v>5915</v>
      </c>
      <c r="Q584" s="103"/>
      <c r="R584" s="103"/>
      <c r="S584" s="103" t="s">
        <v>5850</v>
      </c>
      <c r="T584" s="103">
        <v>874912</v>
      </c>
      <c r="U584" s="103">
        <v>8.4</v>
      </c>
      <c r="V584" s="103" t="s">
        <v>65</v>
      </c>
      <c r="W584" s="103" t="s">
        <v>310</v>
      </c>
    </row>
    <row r="585" spans="1:23" x14ac:dyDescent="0.45">
      <c r="A585" s="103">
        <f t="shared" si="32"/>
        <v>584</v>
      </c>
      <c r="B585" s="103" t="s">
        <v>6236</v>
      </c>
      <c r="C585" s="103" t="s">
        <v>6240</v>
      </c>
      <c r="D585" s="103"/>
      <c r="E585" s="103" t="s">
        <v>101</v>
      </c>
      <c r="F585" s="103" t="s">
        <v>75</v>
      </c>
      <c r="G585" s="103" t="s">
        <v>71</v>
      </c>
      <c r="H585" s="103" t="s">
        <v>6241</v>
      </c>
      <c r="I585" s="103"/>
      <c r="J585" s="103" t="s">
        <v>142</v>
      </c>
      <c r="K585" s="103" t="s">
        <v>144</v>
      </c>
      <c r="L585" s="103"/>
      <c r="M585" s="103"/>
      <c r="N585" s="103" t="s">
        <v>6236</v>
      </c>
      <c r="O585" s="103" t="s">
        <v>5581</v>
      </c>
      <c r="P585" s="103">
        <v>8</v>
      </c>
      <c r="Q585" s="103"/>
      <c r="R585" s="103"/>
      <c r="S585" s="103">
        <v>8</v>
      </c>
      <c r="T585" s="103">
        <v>874912</v>
      </c>
      <c r="U585" s="103" t="s">
        <v>5796</v>
      </c>
      <c r="V585" s="103" t="s">
        <v>65</v>
      </c>
      <c r="W585" s="103" t="s">
        <v>310</v>
      </c>
    </row>
    <row r="586" spans="1:23" x14ac:dyDescent="0.45">
      <c r="A586" s="103">
        <f t="shared" si="32"/>
        <v>585</v>
      </c>
      <c r="B586" s="103" t="s">
        <v>6236</v>
      </c>
      <c r="C586" s="103" t="s">
        <v>6240</v>
      </c>
      <c r="D586" s="103"/>
      <c r="E586" s="103" t="s">
        <v>101</v>
      </c>
      <c r="F586" s="103" t="s">
        <v>75</v>
      </c>
      <c r="G586" s="103" t="s">
        <v>71</v>
      </c>
      <c r="H586" s="103" t="s">
        <v>6241</v>
      </c>
      <c r="I586" s="103" t="s">
        <v>143</v>
      </c>
      <c r="J586" s="103" t="s">
        <v>5629</v>
      </c>
      <c r="K586" s="103"/>
      <c r="L586" s="103"/>
      <c r="M586" s="103"/>
      <c r="N586" s="103" t="s">
        <v>6236</v>
      </c>
      <c r="O586" s="103" t="s">
        <v>5813</v>
      </c>
      <c r="P586" s="103" t="s">
        <v>5873</v>
      </c>
      <c r="Q586" s="103"/>
      <c r="R586" s="103"/>
      <c r="S586" s="103" t="s">
        <v>5799</v>
      </c>
      <c r="T586" s="103">
        <v>874912</v>
      </c>
      <c r="U586" s="103" t="s">
        <v>5796</v>
      </c>
      <c r="V586" s="103" t="s">
        <v>65</v>
      </c>
      <c r="W586" s="103" t="s">
        <v>310</v>
      </c>
    </row>
    <row r="587" spans="1:23" x14ac:dyDescent="0.45">
      <c r="A587" s="103">
        <f t="shared" si="32"/>
        <v>586</v>
      </c>
      <c r="B587" s="103" t="s">
        <v>6236</v>
      </c>
      <c r="C587" s="103" t="s">
        <v>6240</v>
      </c>
      <c r="D587" s="103"/>
      <c r="E587" s="103" t="s">
        <v>101</v>
      </c>
      <c r="F587" s="103" t="s">
        <v>75</v>
      </c>
      <c r="G587" s="103" t="s">
        <v>71</v>
      </c>
      <c r="H587" s="103" t="s">
        <v>6241</v>
      </c>
      <c r="I587" s="103" t="s">
        <v>143</v>
      </c>
      <c r="J587" s="103" t="s">
        <v>5629</v>
      </c>
      <c r="K587" s="103"/>
      <c r="L587" s="103"/>
      <c r="M587" s="103"/>
      <c r="N587" s="103"/>
      <c r="O587" s="103" t="s">
        <v>5814</v>
      </c>
      <c r="P587" s="103">
        <v>5</v>
      </c>
      <c r="Q587" s="103"/>
      <c r="R587" s="103"/>
      <c r="S587" s="103" t="s">
        <v>5800</v>
      </c>
      <c r="T587" s="103">
        <v>874912</v>
      </c>
      <c r="U587" s="103">
        <v>8.3000000000000007</v>
      </c>
      <c r="V587" s="103" t="s">
        <v>65</v>
      </c>
      <c r="W587" s="103" t="s">
        <v>310</v>
      </c>
    </row>
    <row r="588" spans="1:23" x14ac:dyDescent="0.45">
      <c r="A588" s="103">
        <f t="shared" si="32"/>
        <v>587</v>
      </c>
      <c r="B588" s="103" t="s">
        <v>6236</v>
      </c>
      <c r="C588" s="103" t="s">
        <v>6240</v>
      </c>
      <c r="D588" s="103"/>
      <c r="E588" s="103" t="s">
        <v>101</v>
      </c>
      <c r="F588" s="103" t="s">
        <v>75</v>
      </c>
      <c r="G588" s="103" t="s">
        <v>71</v>
      </c>
      <c r="H588" s="103" t="s">
        <v>6241</v>
      </c>
      <c r="I588" s="103" t="s">
        <v>173</v>
      </c>
      <c r="J588" s="103" t="s">
        <v>142</v>
      </c>
      <c r="K588" s="103" t="s">
        <v>5898</v>
      </c>
      <c r="L588" s="103"/>
      <c r="M588" s="103"/>
      <c r="N588" s="103" t="s">
        <v>6236</v>
      </c>
      <c r="O588" s="103" t="s">
        <v>5816</v>
      </c>
      <c r="P588" s="103" t="s">
        <v>5902</v>
      </c>
      <c r="Q588" s="103"/>
      <c r="R588" s="103"/>
      <c r="S588" s="103" t="s">
        <v>5790</v>
      </c>
      <c r="T588" s="103">
        <v>874912</v>
      </c>
      <c r="U588" s="103">
        <v>8.8000000000000007</v>
      </c>
      <c r="V588" s="103" t="s">
        <v>65</v>
      </c>
      <c r="W588" s="103" t="s">
        <v>310</v>
      </c>
    </row>
    <row r="589" spans="1:23" x14ac:dyDescent="0.45">
      <c r="A589" s="103">
        <f t="shared" si="32"/>
        <v>588</v>
      </c>
      <c r="B589" s="103" t="s">
        <v>6236</v>
      </c>
      <c r="C589" s="103" t="s">
        <v>6240</v>
      </c>
      <c r="D589" s="103"/>
      <c r="E589" s="103" t="s">
        <v>101</v>
      </c>
      <c r="F589" s="103" t="s">
        <v>75</v>
      </c>
      <c r="G589" s="103" t="s">
        <v>71</v>
      </c>
      <c r="H589" s="103" t="s">
        <v>6241</v>
      </c>
      <c r="I589" s="103" t="s">
        <v>173</v>
      </c>
      <c r="J589" s="103" t="s">
        <v>142</v>
      </c>
      <c r="K589" s="103" t="s">
        <v>5898</v>
      </c>
      <c r="L589" s="103"/>
      <c r="M589" s="103"/>
      <c r="N589" s="103" t="s">
        <v>6236</v>
      </c>
      <c r="O589" s="103" t="s">
        <v>5817</v>
      </c>
      <c r="P589" s="103" t="s">
        <v>5902</v>
      </c>
      <c r="Q589" s="103"/>
      <c r="R589" s="103"/>
      <c r="S589" s="103" t="s">
        <v>5790</v>
      </c>
      <c r="T589" s="103">
        <v>874912</v>
      </c>
      <c r="U589" s="103">
        <v>8.8000000000000007</v>
      </c>
      <c r="V589" s="103" t="s">
        <v>65</v>
      </c>
      <c r="W589" s="103" t="s">
        <v>310</v>
      </c>
    </row>
    <row r="590" spans="1:23" x14ac:dyDescent="0.45">
      <c r="A590" s="103">
        <f t="shared" si="32"/>
        <v>589</v>
      </c>
      <c r="B590" s="103" t="s">
        <v>6236</v>
      </c>
      <c r="C590" s="103" t="s">
        <v>6240</v>
      </c>
      <c r="D590" s="103"/>
      <c r="E590" s="103" t="s">
        <v>101</v>
      </c>
      <c r="F590" s="103" t="s">
        <v>75</v>
      </c>
      <c r="G590" s="103" t="s">
        <v>71</v>
      </c>
      <c r="H590" s="103" t="s">
        <v>6241</v>
      </c>
      <c r="I590" s="103"/>
      <c r="J590" s="103"/>
      <c r="K590" s="103"/>
      <c r="L590" s="103"/>
      <c r="M590" s="103"/>
      <c r="N590" s="103" t="s">
        <v>6236</v>
      </c>
      <c r="O590" s="103" t="s">
        <v>5819</v>
      </c>
      <c r="P590" s="103"/>
      <c r="Q590" s="103"/>
      <c r="R590" s="103"/>
      <c r="S590" s="103"/>
      <c r="T590" s="103">
        <v>874912</v>
      </c>
      <c r="U590" s="103"/>
      <c r="V590" s="103" t="s">
        <v>65</v>
      </c>
      <c r="W590" s="103" t="s">
        <v>310</v>
      </c>
    </row>
    <row r="591" spans="1:23" x14ac:dyDescent="0.45">
      <c r="A591" s="103">
        <f t="shared" si="32"/>
        <v>590</v>
      </c>
      <c r="B591" s="103" t="s">
        <v>6236</v>
      </c>
      <c r="C591" s="103" t="s">
        <v>6240</v>
      </c>
      <c r="D591" s="103"/>
      <c r="E591" s="103" t="s">
        <v>101</v>
      </c>
      <c r="F591" s="103" t="s">
        <v>75</v>
      </c>
      <c r="G591" s="103" t="s">
        <v>71</v>
      </c>
      <c r="H591" s="103" t="s">
        <v>6241</v>
      </c>
      <c r="I591" s="103" t="s">
        <v>173</v>
      </c>
      <c r="J591" s="103" t="s">
        <v>122</v>
      </c>
      <c r="K591" s="103" t="s">
        <v>184</v>
      </c>
      <c r="L591" s="103"/>
      <c r="M591" s="103"/>
      <c r="N591" s="103" t="s">
        <v>6236</v>
      </c>
      <c r="O591" s="103" t="s">
        <v>5820</v>
      </c>
      <c r="P591" s="103" t="s">
        <v>5855</v>
      </c>
      <c r="Q591" s="103"/>
      <c r="R591" s="103"/>
      <c r="S591" s="103" t="s">
        <v>5848</v>
      </c>
      <c r="T591" s="103">
        <v>874912</v>
      </c>
      <c r="U591" s="103">
        <v>8.8000000000000007</v>
      </c>
      <c r="V591" s="103" t="s">
        <v>65</v>
      </c>
      <c r="W591" s="103" t="s">
        <v>310</v>
      </c>
    </row>
    <row r="592" spans="1:23" x14ac:dyDescent="0.45">
      <c r="A592" s="103">
        <f t="shared" si="32"/>
        <v>591</v>
      </c>
      <c r="B592" s="103" t="s">
        <v>6236</v>
      </c>
      <c r="C592" s="103" t="s">
        <v>6240</v>
      </c>
      <c r="D592" s="103"/>
      <c r="E592" s="103" t="s">
        <v>101</v>
      </c>
      <c r="F592" s="103" t="s">
        <v>75</v>
      </c>
      <c r="G592" s="103" t="s">
        <v>71</v>
      </c>
      <c r="H592" s="103" t="s">
        <v>6241</v>
      </c>
      <c r="I592" s="103" t="s">
        <v>173</v>
      </c>
      <c r="J592" s="103" t="s">
        <v>5629</v>
      </c>
      <c r="K592" s="103" t="s">
        <v>6244</v>
      </c>
      <c r="L592" s="103"/>
      <c r="M592" s="103"/>
      <c r="N592" s="103" t="s">
        <v>6236</v>
      </c>
      <c r="O592" s="103" t="s">
        <v>5821</v>
      </c>
      <c r="P592" s="103" t="s">
        <v>6123</v>
      </c>
      <c r="Q592" s="103"/>
      <c r="R592" s="103"/>
      <c r="S592" s="103" t="s">
        <v>5954</v>
      </c>
      <c r="T592" s="103">
        <v>874912</v>
      </c>
      <c r="U592" s="103">
        <v>8.8000000000000007</v>
      </c>
      <c r="V592" s="103" t="s">
        <v>65</v>
      </c>
      <c r="W592" s="103" t="s">
        <v>310</v>
      </c>
    </row>
    <row r="593" spans="1:23" x14ac:dyDescent="0.45">
      <c r="A593" s="103">
        <f t="shared" si="32"/>
        <v>592</v>
      </c>
      <c r="B593" s="103" t="s">
        <v>6236</v>
      </c>
      <c r="C593" s="103" t="s">
        <v>6240</v>
      </c>
      <c r="D593" s="103"/>
      <c r="E593" s="103" t="s">
        <v>101</v>
      </c>
      <c r="F593" s="103" t="s">
        <v>75</v>
      </c>
      <c r="G593" s="103" t="s">
        <v>71</v>
      </c>
      <c r="H593" s="103" t="s">
        <v>6241</v>
      </c>
      <c r="I593" s="103" t="s">
        <v>173</v>
      </c>
      <c r="J593" s="103" t="s">
        <v>5596</v>
      </c>
      <c r="K593" s="103" t="s">
        <v>5905</v>
      </c>
      <c r="L593" s="103" t="s">
        <v>6246</v>
      </c>
      <c r="M593" s="103"/>
      <c r="N593" s="103" t="s">
        <v>6236</v>
      </c>
      <c r="O593" s="103" t="s">
        <v>5859</v>
      </c>
      <c r="P593" s="103" t="s">
        <v>6245</v>
      </c>
      <c r="Q593" s="103"/>
      <c r="R593" s="103"/>
      <c r="S593" s="103" t="s">
        <v>6245</v>
      </c>
      <c r="T593" s="103">
        <v>874912</v>
      </c>
      <c r="U593" s="103">
        <v>9</v>
      </c>
      <c r="V593" s="103" t="s">
        <v>65</v>
      </c>
      <c r="W593" s="103" t="s">
        <v>310</v>
      </c>
    </row>
    <row r="594" spans="1:23" x14ac:dyDescent="0.45">
      <c r="A594" s="103">
        <f t="shared" si="32"/>
        <v>593</v>
      </c>
      <c r="B594" s="103" t="s">
        <v>6236</v>
      </c>
      <c r="C594" s="103" t="s">
        <v>6240</v>
      </c>
      <c r="D594" s="103"/>
      <c r="E594" s="103" t="s">
        <v>101</v>
      </c>
      <c r="F594" s="103" t="s">
        <v>75</v>
      </c>
      <c r="G594" s="103" t="s">
        <v>71</v>
      </c>
      <c r="H594" s="103" t="s">
        <v>6241</v>
      </c>
      <c r="I594" s="103" t="s">
        <v>173</v>
      </c>
      <c r="J594" s="103" t="s">
        <v>5596</v>
      </c>
      <c r="K594" s="103" t="s">
        <v>5905</v>
      </c>
      <c r="L594" s="103" t="s">
        <v>6247</v>
      </c>
      <c r="M594" s="103"/>
      <c r="N594" s="103" t="s">
        <v>6236</v>
      </c>
      <c r="O594" s="103" t="s">
        <v>5860</v>
      </c>
      <c r="P594" s="103" t="s">
        <v>6245</v>
      </c>
      <c r="Q594" s="103"/>
      <c r="R594" s="103"/>
      <c r="S594" s="103" t="s">
        <v>6245</v>
      </c>
      <c r="T594" s="103">
        <v>874912</v>
      </c>
      <c r="U594" s="103">
        <v>9</v>
      </c>
      <c r="V594" s="103" t="s">
        <v>65</v>
      </c>
      <c r="W594" s="103" t="s">
        <v>310</v>
      </c>
    </row>
    <row r="595" spans="1:23" x14ac:dyDescent="0.45">
      <c r="A595" s="103">
        <f t="shared" si="32"/>
        <v>594</v>
      </c>
      <c r="B595" s="103" t="s">
        <v>6236</v>
      </c>
      <c r="C595" s="103" t="s">
        <v>3330</v>
      </c>
      <c r="D595" s="103" t="s">
        <v>330</v>
      </c>
      <c r="E595" s="103" t="s">
        <v>73</v>
      </c>
      <c r="F595" s="103" t="s">
        <v>72</v>
      </c>
      <c r="G595" s="103" t="s">
        <v>71</v>
      </c>
      <c r="H595" s="103" t="s">
        <v>6248</v>
      </c>
      <c r="I595" s="103" t="s">
        <v>259</v>
      </c>
      <c r="J595" s="103" t="s">
        <v>122</v>
      </c>
      <c r="K595" s="103" t="s">
        <v>6158</v>
      </c>
      <c r="L595" s="103"/>
      <c r="M595" s="103" t="s">
        <v>6252</v>
      </c>
      <c r="N595" s="103" t="s">
        <v>6236</v>
      </c>
      <c r="O595" s="103" t="s">
        <v>47</v>
      </c>
      <c r="P595" s="103" t="s">
        <v>5886</v>
      </c>
      <c r="Q595" s="103"/>
      <c r="R595" s="103"/>
      <c r="S595" s="103" t="s">
        <v>5886</v>
      </c>
      <c r="T595" s="103">
        <v>233578</v>
      </c>
      <c r="U595" s="103">
        <v>4.5</v>
      </c>
      <c r="V595" s="103" t="s">
        <v>65</v>
      </c>
      <c r="W595" s="103" t="s">
        <v>310</v>
      </c>
    </row>
    <row r="596" spans="1:23" x14ac:dyDescent="0.45">
      <c r="A596" s="103">
        <f t="shared" si="32"/>
        <v>595</v>
      </c>
      <c r="B596" s="103" t="s">
        <v>6236</v>
      </c>
      <c r="C596" s="103" t="s">
        <v>3330</v>
      </c>
      <c r="D596" s="103" t="s">
        <v>330</v>
      </c>
      <c r="E596" s="103" t="s">
        <v>73</v>
      </c>
      <c r="F596" s="103" t="s">
        <v>72</v>
      </c>
      <c r="G596" s="103" t="s">
        <v>71</v>
      </c>
      <c r="H596" s="103" t="s">
        <v>6248</v>
      </c>
      <c r="I596" s="103"/>
      <c r="J596" s="103"/>
      <c r="K596" s="103"/>
      <c r="L596" s="103"/>
      <c r="M596" s="103" t="s">
        <v>6252</v>
      </c>
      <c r="N596" s="103" t="s">
        <v>6236</v>
      </c>
      <c r="O596" s="103" t="s">
        <v>5580</v>
      </c>
      <c r="P596" s="103"/>
      <c r="Q596" s="103"/>
      <c r="R596" s="103"/>
      <c r="S596" s="103"/>
      <c r="T596" s="103">
        <v>233578</v>
      </c>
      <c r="U596" s="103"/>
      <c r="V596" s="103" t="s">
        <v>65</v>
      </c>
      <c r="W596" s="103" t="s">
        <v>310</v>
      </c>
    </row>
    <row r="597" spans="1:23" x14ac:dyDescent="0.45">
      <c r="A597" s="103">
        <f t="shared" si="32"/>
        <v>596</v>
      </c>
      <c r="B597" s="103" t="s">
        <v>6236</v>
      </c>
      <c r="C597" s="103" t="s">
        <v>3330</v>
      </c>
      <c r="D597" s="103" t="s">
        <v>330</v>
      </c>
      <c r="E597" s="103" t="s">
        <v>73</v>
      </c>
      <c r="F597" s="103" t="s">
        <v>72</v>
      </c>
      <c r="G597" s="103" t="s">
        <v>71</v>
      </c>
      <c r="H597" s="103" t="s">
        <v>6248</v>
      </c>
      <c r="I597" s="103" t="s">
        <v>259</v>
      </c>
      <c r="J597" s="103" t="s">
        <v>122</v>
      </c>
      <c r="K597" s="103" t="s">
        <v>6158</v>
      </c>
      <c r="L597" s="103"/>
      <c r="M597" s="103"/>
      <c r="N597" s="103" t="s">
        <v>6236</v>
      </c>
      <c r="O597" s="103" t="s">
        <v>5812</v>
      </c>
      <c r="P597" s="103" t="s">
        <v>5791</v>
      </c>
      <c r="Q597" s="103"/>
      <c r="R597" s="103"/>
      <c r="S597" s="103">
        <v>7</v>
      </c>
      <c r="T597" s="103">
        <v>233578</v>
      </c>
      <c r="U597" s="103">
        <v>4.5</v>
      </c>
      <c r="V597" s="103" t="s">
        <v>65</v>
      </c>
      <c r="W597" s="103" t="s">
        <v>310</v>
      </c>
    </row>
    <row r="598" spans="1:23" x14ac:dyDescent="0.45">
      <c r="A598" s="103">
        <f t="shared" si="32"/>
        <v>597</v>
      </c>
      <c r="B598" s="103" t="s">
        <v>6236</v>
      </c>
      <c r="C598" s="103" t="s">
        <v>3330</v>
      </c>
      <c r="D598" s="103" t="s">
        <v>330</v>
      </c>
      <c r="E598" s="103" t="s">
        <v>73</v>
      </c>
      <c r="F598" s="103" t="s">
        <v>72</v>
      </c>
      <c r="G598" s="103" t="s">
        <v>71</v>
      </c>
      <c r="H598" s="103" t="s">
        <v>6248</v>
      </c>
      <c r="I598" s="103"/>
      <c r="J598" s="103" t="s">
        <v>122</v>
      </c>
      <c r="K598" s="103" t="s">
        <v>6158</v>
      </c>
      <c r="L598" s="103"/>
      <c r="M598" s="103"/>
      <c r="N598" s="103" t="s">
        <v>6236</v>
      </c>
      <c r="O598" s="103" t="s">
        <v>5581</v>
      </c>
      <c r="P598" s="103">
        <v>7</v>
      </c>
      <c r="Q598" s="103"/>
      <c r="R598" s="103"/>
      <c r="S598" s="103" t="s">
        <v>5967</v>
      </c>
      <c r="T598" s="103">
        <v>233578</v>
      </c>
      <c r="U598" s="103">
        <v>4.5</v>
      </c>
      <c r="V598" s="103" t="s">
        <v>65</v>
      </c>
      <c r="W598" s="103" t="s">
        <v>310</v>
      </c>
    </row>
    <row r="599" spans="1:23" x14ac:dyDescent="0.45">
      <c r="A599" s="103">
        <f t="shared" si="32"/>
        <v>598</v>
      </c>
      <c r="B599" s="103" t="s">
        <v>6236</v>
      </c>
      <c r="C599" s="103" t="s">
        <v>3330</v>
      </c>
      <c r="D599" s="103" t="s">
        <v>330</v>
      </c>
      <c r="E599" s="103" t="s">
        <v>73</v>
      </c>
      <c r="F599" s="103" t="s">
        <v>72</v>
      </c>
      <c r="G599" s="103" t="s">
        <v>71</v>
      </c>
      <c r="H599" s="103" t="s">
        <v>6248</v>
      </c>
      <c r="I599" s="103" t="s">
        <v>259</v>
      </c>
      <c r="J599" s="103" t="s">
        <v>164</v>
      </c>
      <c r="K599" s="103" t="s">
        <v>6251</v>
      </c>
      <c r="L599" s="103"/>
      <c r="M599" s="103"/>
      <c r="N599" s="103" t="s">
        <v>6236</v>
      </c>
      <c r="O599" s="103" t="s">
        <v>5813</v>
      </c>
      <c r="P599" s="103">
        <v>6</v>
      </c>
      <c r="Q599" s="103"/>
      <c r="R599" s="103"/>
      <c r="S599" s="103">
        <v>6</v>
      </c>
      <c r="T599" s="103">
        <v>233578</v>
      </c>
      <c r="U599" s="103">
        <v>4.5</v>
      </c>
      <c r="V599" s="103" t="s">
        <v>65</v>
      </c>
      <c r="W599" s="103" t="s">
        <v>310</v>
      </c>
    </row>
    <row r="600" spans="1:23" x14ac:dyDescent="0.45">
      <c r="A600" s="103">
        <f t="shared" si="32"/>
        <v>599</v>
      </c>
      <c r="B600" s="103" t="s">
        <v>6236</v>
      </c>
      <c r="C600" s="103" t="s">
        <v>3330</v>
      </c>
      <c r="D600" s="103" t="s">
        <v>330</v>
      </c>
      <c r="E600" s="103" t="s">
        <v>73</v>
      </c>
      <c r="F600" s="103" t="s">
        <v>72</v>
      </c>
      <c r="G600" s="103" t="s">
        <v>71</v>
      </c>
      <c r="H600" s="103" t="s">
        <v>6248</v>
      </c>
      <c r="I600" s="103" t="s">
        <v>259</v>
      </c>
      <c r="J600" s="103" t="s">
        <v>164</v>
      </c>
      <c r="K600" s="103" t="s">
        <v>6251</v>
      </c>
      <c r="L600" s="103"/>
      <c r="M600" s="103"/>
      <c r="N600" s="103"/>
      <c r="O600" s="103" t="s">
        <v>5814</v>
      </c>
      <c r="P600" s="103">
        <v>6</v>
      </c>
      <c r="Q600" s="103"/>
      <c r="R600" s="103"/>
      <c r="S600" s="103">
        <v>6</v>
      </c>
      <c r="T600" s="103">
        <v>233578</v>
      </c>
      <c r="U600" s="103">
        <v>4.5</v>
      </c>
      <c r="V600" s="103" t="s">
        <v>65</v>
      </c>
      <c r="W600" s="103" t="s">
        <v>310</v>
      </c>
    </row>
    <row r="601" spans="1:23" x14ac:dyDescent="0.45">
      <c r="A601" s="103">
        <f t="shared" si="32"/>
        <v>600</v>
      </c>
      <c r="B601" s="103" t="s">
        <v>6236</v>
      </c>
      <c r="C601" s="103" t="s">
        <v>3330</v>
      </c>
      <c r="D601" s="103" t="s">
        <v>330</v>
      </c>
      <c r="E601" s="103" t="s">
        <v>73</v>
      </c>
      <c r="F601" s="103" t="s">
        <v>72</v>
      </c>
      <c r="G601" s="103" t="s">
        <v>71</v>
      </c>
      <c r="H601" s="103" t="s">
        <v>6248</v>
      </c>
      <c r="I601" s="103"/>
      <c r="J601" s="103"/>
      <c r="K601" s="103"/>
      <c r="L601" s="103"/>
      <c r="M601" s="103"/>
      <c r="N601" s="103" t="s">
        <v>6236</v>
      </c>
      <c r="O601" s="103" t="s">
        <v>5819</v>
      </c>
      <c r="P601" s="103"/>
      <c r="Q601" s="103"/>
      <c r="R601" s="103"/>
      <c r="S601" s="103"/>
      <c r="T601" s="103">
        <v>233578</v>
      </c>
      <c r="U601" s="103"/>
      <c r="V601" s="103" t="s">
        <v>65</v>
      </c>
      <c r="W601" s="103" t="s">
        <v>310</v>
      </c>
    </row>
    <row r="602" spans="1:23" x14ac:dyDescent="0.45">
      <c r="A602" s="103">
        <f t="shared" ref="A602:A615" si="33">ROW()-1</f>
        <v>601</v>
      </c>
      <c r="B602" s="103" t="s">
        <v>6224</v>
      </c>
      <c r="C602" s="103" t="s">
        <v>3474</v>
      </c>
      <c r="D602" s="103" t="s">
        <v>330</v>
      </c>
      <c r="E602" s="103" t="s">
        <v>100</v>
      </c>
      <c r="F602" s="103" t="s">
        <v>77</v>
      </c>
      <c r="G602" s="103" t="s">
        <v>88</v>
      </c>
      <c r="H602" s="103" t="s">
        <v>5973</v>
      </c>
      <c r="I602" s="103" t="s">
        <v>143</v>
      </c>
      <c r="J602" s="103" t="s">
        <v>122</v>
      </c>
      <c r="K602" s="103" t="s">
        <v>5788</v>
      </c>
      <c r="L602" s="103"/>
      <c r="M602" s="103"/>
      <c r="N602" s="103" t="s">
        <v>6224</v>
      </c>
      <c r="O602" s="103" t="s">
        <v>47</v>
      </c>
      <c r="P602" s="103" t="s">
        <v>5803</v>
      </c>
      <c r="Q602" s="103"/>
      <c r="R602" s="103"/>
      <c r="S602" s="103" t="s">
        <v>5804</v>
      </c>
      <c r="T602" s="103">
        <v>293796</v>
      </c>
      <c r="U602" s="103">
        <v>8.5</v>
      </c>
      <c r="V602" s="103" t="s">
        <v>5823</v>
      </c>
      <c r="W602" s="103" t="s">
        <v>310</v>
      </c>
    </row>
    <row r="603" spans="1:23" x14ac:dyDescent="0.45">
      <c r="A603" s="103">
        <f t="shared" si="33"/>
        <v>602</v>
      </c>
      <c r="B603" s="103" t="s">
        <v>6224</v>
      </c>
      <c r="C603" s="103" t="s">
        <v>3474</v>
      </c>
      <c r="D603" s="103" t="s">
        <v>330</v>
      </c>
      <c r="E603" s="103" t="s">
        <v>100</v>
      </c>
      <c r="F603" s="103" t="s">
        <v>77</v>
      </c>
      <c r="G603" s="103" t="s">
        <v>88</v>
      </c>
      <c r="H603" s="103" t="s">
        <v>5973</v>
      </c>
      <c r="I603" s="103" t="s">
        <v>143</v>
      </c>
      <c r="J603" s="103" t="s">
        <v>122</v>
      </c>
      <c r="K603" s="103" t="s">
        <v>5788</v>
      </c>
      <c r="L603" s="103"/>
      <c r="M603" s="103"/>
      <c r="N603" s="103" t="s">
        <v>6224</v>
      </c>
      <c r="O603" s="103" t="s">
        <v>5580</v>
      </c>
      <c r="P603" s="103" t="s">
        <v>5803</v>
      </c>
      <c r="Q603" s="103"/>
      <c r="R603" s="103"/>
      <c r="S603" s="103" t="s">
        <v>5807</v>
      </c>
      <c r="T603" s="103">
        <v>293796</v>
      </c>
      <c r="U603" s="103">
        <v>8.5</v>
      </c>
      <c r="V603" s="103" t="s">
        <v>5823</v>
      </c>
      <c r="W603" s="103" t="s">
        <v>310</v>
      </c>
    </row>
    <row r="604" spans="1:23" x14ac:dyDescent="0.45">
      <c r="A604" s="103">
        <f t="shared" si="33"/>
        <v>603</v>
      </c>
      <c r="B604" s="103" t="s">
        <v>6224</v>
      </c>
      <c r="C604" s="103" t="s">
        <v>3474</v>
      </c>
      <c r="D604" s="103" t="s">
        <v>330</v>
      </c>
      <c r="E604" s="103" t="s">
        <v>100</v>
      </c>
      <c r="F604" s="103" t="s">
        <v>77</v>
      </c>
      <c r="G604" s="103" t="s">
        <v>88</v>
      </c>
      <c r="H604" s="103" t="s">
        <v>5973</v>
      </c>
      <c r="I604" s="103" t="s">
        <v>143</v>
      </c>
      <c r="J604" s="103" t="s">
        <v>122</v>
      </c>
      <c r="K604" s="103" t="s">
        <v>189</v>
      </c>
      <c r="L604" s="103"/>
      <c r="M604" s="103"/>
      <c r="N604" s="103" t="s">
        <v>6224</v>
      </c>
      <c r="O604" s="103" t="s">
        <v>5812</v>
      </c>
      <c r="P604" s="103" t="s">
        <v>5959</v>
      </c>
      <c r="Q604" s="103"/>
      <c r="R604" s="103"/>
      <c r="S604" s="103" t="s">
        <v>5960</v>
      </c>
      <c r="T604" s="103">
        <v>293796</v>
      </c>
      <c r="U604" s="103">
        <v>8.5</v>
      </c>
      <c r="V604" s="103" t="s">
        <v>5823</v>
      </c>
      <c r="W604" s="103" t="s">
        <v>310</v>
      </c>
    </row>
    <row r="605" spans="1:23" x14ac:dyDescent="0.45">
      <c r="A605" s="103">
        <f t="shared" si="33"/>
        <v>604</v>
      </c>
      <c r="B605" s="103" t="s">
        <v>6224</v>
      </c>
      <c r="C605" s="103" t="s">
        <v>3474</v>
      </c>
      <c r="D605" s="103" t="s">
        <v>330</v>
      </c>
      <c r="E605" s="103" t="s">
        <v>100</v>
      </c>
      <c r="F605" s="103" t="s">
        <v>77</v>
      </c>
      <c r="G605" s="103" t="s">
        <v>88</v>
      </c>
      <c r="H605" s="103" t="s">
        <v>5973</v>
      </c>
      <c r="I605" s="103" t="s">
        <v>143</v>
      </c>
      <c r="J605" s="103" t="s">
        <v>122</v>
      </c>
      <c r="K605" s="103" t="s">
        <v>189</v>
      </c>
      <c r="L605" s="103"/>
      <c r="M605" s="103"/>
      <c r="N605" s="103" t="s">
        <v>6224</v>
      </c>
      <c r="O605" s="103" t="s">
        <v>5581</v>
      </c>
      <c r="P605" s="103" t="s">
        <v>6253</v>
      </c>
      <c r="Q605" s="103"/>
      <c r="R605" s="103"/>
      <c r="S605" s="103" t="s">
        <v>5962</v>
      </c>
      <c r="T605" s="103">
        <v>293796</v>
      </c>
      <c r="U605" s="103">
        <v>8.5</v>
      </c>
      <c r="V605" s="103" t="s">
        <v>5823</v>
      </c>
      <c r="W605" s="103" t="s">
        <v>310</v>
      </c>
    </row>
    <row r="606" spans="1:23" x14ac:dyDescent="0.45">
      <c r="A606" s="103">
        <f t="shared" si="33"/>
        <v>605</v>
      </c>
      <c r="B606" s="103" t="s">
        <v>6224</v>
      </c>
      <c r="C606" s="103" t="s">
        <v>3474</v>
      </c>
      <c r="D606" s="103" t="s">
        <v>330</v>
      </c>
      <c r="E606" s="103" t="s">
        <v>100</v>
      </c>
      <c r="F606" s="103" t="s">
        <v>77</v>
      </c>
      <c r="G606" s="103" t="s">
        <v>88</v>
      </c>
      <c r="H606" s="103" t="s">
        <v>5973</v>
      </c>
      <c r="I606" s="103" t="s">
        <v>143</v>
      </c>
      <c r="J606" s="103" t="s">
        <v>122</v>
      </c>
      <c r="K606" s="103" t="s">
        <v>189</v>
      </c>
      <c r="L606" s="103"/>
      <c r="M606" s="103"/>
      <c r="N606" s="103" t="s">
        <v>6224</v>
      </c>
      <c r="O606" s="103" t="s">
        <v>5813</v>
      </c>
      <c r="P606" s="103" t="s">
        <v>5960</v>
      </c>
      <c r="Q606" s="103"/>
      <c r="R606" s="103"/>
      <c r="S606" s="103" t="s">
        <v>5963</v>
      </c>
      <c r="T606" s="103">
        <v>293796</v>
      </c>
      <c r="U606" s="103">
        <v>8.5</v>
      </c>
      <c r="V606" s="103" t="s">
        <v>5823</v>
      </c>
      <c r="W606" s="103" t="s">
        <v>310</v>
      </c>
    </row>
    <row r="607" spans="1:23" x14ac:dyDescent="0.45">
      <c r="A607" s="103">
        <f t="shared" si="33"/>
        <v>606</v>
      </c>
      <c r="B607" s="103" t="s">
        <v>6224</v>
      </c>
      <c r="C607" s="103" t="s">
        <v>3474</v>
      </c>
      <c r="D607" s="103" t="s">
        <v>330</v>
      </c>
      <c r="E607" s="103" t="s">
        <v>100</v>
      </c>
      <c r="F607" s="103" t="s">
        <v>77</v>
      </c>
      <c r="G607" s="103" t="s">
        <v>88</v>
      </c>
      <c r="H607" s="103" t="s">
        <v>5973</v>
      </c>
      <c r="I607" s="103" t="s">
        <v>143</v>
      </c>
      <c r="J607" s="103" t="s">
        <v>122</v>
      </c>
      <c r="K607" s="103" t="s">
        <v>189</v>
      </c>
      <c r="L607" s="103"/>
      <c r="M607" s="103"/>
      <c r="N607" s="103" t="s">
        <v>6224</v>
      </c>
      <c r="O607" s="103" t="s">
        <v>5814</v>
      </c>
      <c r="P607" s="103" t="s">
        <v>5960</v>
      </c>
      <c r="Q607" s="103"/>
      <c r="R607" s="103"/>
      <c r="S607" s="103" t="s">
        <v>6254</v>
      </c>
      <c r="T607" s="103">
        <v>293796</v>
      </c>
      <c r="U607" s="103">
        <v>8.5</v>
      </c>
      <c r="V607" s="103" t="s">
        <v>5823</v>
      </c>
      <c r="W607" s="103" t="s">
        <v>310</v>
      </c>
    </row>
    <row r="608" spans="1:23" x14ac:dyDescent="0.45">
      <c r="A608" s="103">
        <f t="shared" si="33"/>
        <v>607</v>
      </c>
      <c r="B608" s="103" t="s">
        <v>6224</v>
      </c>
      <c r="C608" s="103" t="s">
        <v>3474</v>
      </c>
      <c r="D608" s="103" t="s">
        <v>330</v>
      </c>
      <c r="E608" s="103" t="s">
        <v>100</v>
      </c>
      <c r="F608" s="103" t="s">
        <v>77</v>
      </c>
      <c r="G608" s="103" t="s">
        <v>88</v>
      </c>
      <c r="H608" s="103" t="s">
        <v>5973</v>
      </c>
      <c r="I608" s="103" t="s">
        <v>5965</v>
      </c>
      <c r="J608" s="103" t="s">
        <v>122</v>
      </c>
      <c r="K608" s="103" t="s">
        <v>288</v>
      </c>
      <c r="L608" s="103"/>
      <c r="M608" s="103"/>
      <c r="N608" s="103" t="s">
        <v>6224</v>
      </c>
      <c r="O608" s="103" t="s">
        <v>5815</v>
      </c>
      <c r="P608" s="103" t="s">
        <v>5889</v>
      </c>
      <c r="Q608" s="103"/>
      <c r="R608" s="103"/>
      <c r="S608" s="103">
        <v>7</v>
      </c>
      <c r="T608" s="103">
        <v>293796</v>
      </c>
      <c r="U608" s="103">
        <v>8.5</v>
      </c>
      <c r="V608" s="103" t="s">
        <v>5823</v>
      </c>
      <c r="W608" s="103" t="s">
        <v>310</v>
      </c>
    </row>
    <row r="609" spans="1:23" x14ac:dyDescent="0.45">
      <c r="A609" s="103">
        <f t="shared" si="33"/>
        <v>608</v>
      </c>
      <c r="B609" s="103" t="s">
        <v>6224</v>
      </c>
      <c r="C609" s="103" t="s">
        <v>3474</v>
      </c>
      <c r="D609" s="103" t="s">
        <v>330</v>
      </c>
      <c r="E609" s="103" t="s">
        <v>100</v>
      </c>
      <c r="F609" s="103" t="s">
        <v>77</v>
      </c>
      <c r="G609" s="103" t="s">
        <v>88</v>
      </c>
      <c r="H609" s="103" t="s">
        <v>5973</v>
      </c>
      <c r="I609" s="103" t="s">
        <v>5965</v>
      </c>
      <c r="J609" s="103" t="s">
        <v>122</v>
      </c>
      <c r="K609" s="103" t="s">
        <v>288</v>
      </c>
      <c r="L609" s="103"/>
      <c r="M609" s="103"/>
      <c r="N609" s="103" t="s">
        <v>6224</v>
      </c>
      <c r="O609" s="103" t="s">
        <v>5816</v>
      </c>
      <c r="P609" s="103">
        <v>7</v>
      </c>
      <c r="Q609" s="103"/>
      <c r="R609" s="103"/>
      <c r="S609" s="103" t="s">
        <v>5917</v>
      </c>
      <c r="T609" s="103">
        <v>293796</v>
      </c>
      <c r="U609" s="103">
        <v>8.5</v>
      </c>
      <c r="V609" s="103" t="s">
        <v>5823</v>
      </c>
      <c r="W609" s="103" t="s">
        <v>310</v>
      </c>
    </row>
    <row r="610" spans="1:23" x14ac:dyDescent="0.45">
      <c r="A610" s="103">
        <f t="shared" si="33"/>
        <v>609</v>
      </c>
      <c r="B610" s="103" t="s">
        <v>6224</v>
      </c>
      <c r="C610" s="103" t="s">
        <v>3474</v>
      </c>
      <c r="D610" s="103" t="s">
        <v>330</v>
      </c>
      <c r="E610" s="103" t="s">
        <v>100</v>
      </c>
      <c r="F610" s="103" t="s">
        <v>77</v>
      </c>
      <c r="G610" s="103" t="s">
        <v>88</v>
      </c>
      <c r="H610" s="103" t="s">
        <v>5973</v>
      </c>
      <c r="I610" s="103" t="s">
        <v>5965</v>
      </c>
      <c r="J610" s="103" t="s">
        <v>122</v>
      </c>
      <c r="K610" s="103" t="s">
        <v>288</v>
      </c>
      <c r="L610" s="103"/>
      <c r="M610" s="103"/>
      <c r="N610" s="103" t="s">
        <v>6224</v>
      </c>
      <c r="O610" s="103" t="s">
        <v>5817</v>
      </c>
      <c r="P610" s="103">
        <v>14</v>
      </c>
      <c r="Q610" s="103"/>
      <c r="R610" s="103"/>
      <c r="S610" s="103" t="s">
        <v>6037</v>
      </c>
      <c r="T610" s="103">
        <v>293796</v>
      </c>
      <c r="U610" s="103">
        <v>8.5</v>
      </c>
      <c r="V610" s="103" t="s">
        <v>5823</v>
      </c>
      <c r="W610" s="103" t="s">
        <v>310</v>
      </c>
    </row>
    <row r="611" spans="1:23" x14ac:dyDescent="0.45">
      <c r="A611" s="103">
        <f t="shared" si="33"/>
        <v>610</v>
      </c>
      <c r="B611" s="103" t="s">
        <v>6224</v>
      </c>
      <c r="C611" s="103" t="s">
        <v>3474</v>
      </c>
      <c r="D611" s="103" t="s">
        <v>330</v>
      </c>
      <c r="E611" s="103" t="s">
        <v>100</v>
      </c>
      <c r="F611" s="103" t="s">
        <v>77</v>
      </c>
      <c r="G611" s="103" t="s">
        <v>88</v>
      </c>
      <c r="H611" s="103" t="s">
        <v>5973</v>
      </c>
      <c r="I611" s="103" t="s">
        <v>5965</v>
      </c>
      <c r="J611" s="103" t="s">
        <v>122</v>
      </c>
      <c r="K611" s="103" t="s">
        <v>288</v>
      </c>
      <c r="L611" s="103"/>
      <c r="M611" s="103"/>
      <c r="N611" s="103" t="s">
        <v>6224</v>
      </c>
      <c r="O611" s="103" t="s">
        <v>5815</v>
      </c>
      <c r="P611" s="103" t="s">
        <v>5807</v>
      </c>
      <c r="Q611" s="103"/>
      <c r="R611" s="103"/>
      <c r="S611" s="103" t="s">
        <v>6060</v>
      </c>
      <c r="T611" s="103">
        <v>293796</v>
      </c>
      <c r="U611" s="103">
        <v>8.5</v>
      </c>
      <c r="V611" s="103" t="s">
        <v>5823</v>
      </c>
      <c r="W611" s="103" t="s">
        <v>310</v>
      </c>
    </row>
    <row r="612" spans="1:23" x14ac:dyDescent="0.45">
      <c r="A612" s="103">
        <f t="shared" si="33"/>
        <v>611</v>
      </c>
      <c r="B612" s="103" t="s">
        <v>6224</v>
      </c>
      <c r="C612" s="103" t="s">
        <v>3474</v>
      </c>
      <c r="D612" s="103" t="s">
        <v>330</v>
      </c>
      <c r="E612" s="103" t="s">
        <v>100</v>
      </c>
      <c r="F612" s="103" t="s">
        <v>77</v>
      </c>
      <c r="G612" s="103" t="s">
        <v>88</v>
      </c>
      <c r="H612" s="103" t="s">
        <v>5973</v>
      </c>
      <c r="I612" s="103" t="s">
        <v>5965</v>
      </c>
      <c r="J612" s="103" t="s">
        <v>122</v>
      </c>
      <c r="K612" s="103" t="s">
        <v>288</v>
      </c>
      <c r="L612" s="103"/>
      <c r="M612" s="103"/>
      <c r="N612" s="103" t="s">
        <v>6224</v>
      </c>
      <c r="O612" s="103" t="s">
        <v>5819</v>
      </c>
      <c r="P612" s="103" t="s">
        <v>5968</v>
      </c>
      <c r="Q612" s="103"/>
      <c r="R612" s="103"/>
      <c r="S612" s="103" t="s">
        <v>5918</v>
      </c>
      <c r="T612" s="103">
        <v>293796</v>
      </c>
      <c r="U612" s="103">
        <v>8.5</v>
      </c>
      <c r="V612" s="103" t="s">
        <v>5823</v>
      </c>
      <c r="W612" s="103" t="s">
        <v>310</v>
      </c>
    </row>
    <row r="613" spans="1:23" x14ac:dyDescent="0.45">
      <c r="A613" s="103">
        <f t="shared" si="33"/>
        <v>612</v>
      </c>
      <c r="B613" s="103" t="s">
        <v>6224</v>
      </c>
      <c r="C613" s="103" t="s">
        <v>3474</v>
      </c>
      <c r="D613" s="103" t="s">
        <v>330</v>
      </c>
      <c r="E613" s="103" t="s">
        <v>100</v>
      </c>
      <c r="F613" s="103" t="s">
        <v>77</v>
      </c>
      <c r="G613" s="103" t="s">
        <v>88</v>
      </c>
      <c r="H613" s="103" t="s">
        <v>5973</v>
      </c>
      <c r="I613" s="103" t="s">
        <v>5965</v>
      </c>
      <c r="J613" s="103" t="s">
        <v>122</v>
      </c>
      <c r="K613" s="103" t="s">
        <v>288</v>
      </c>
      <c r="L613" s="103"/>
      <c r="M613" s="103"/>
      <c r="N613" s="103" t="s">
        <v>6224</v>
      </c>
      <c r="O613" s="103" t="s">
        <v>5820</v>
      </c>
      <c r="P613" s="103">
        <v>10</v>
      </c>
      <c r="Q613" s="103"/>
      <c r="R613" s="103"/>
      <c r="S613" s="103">
        <v>9</v>
      </c>
      <c r="T613" s="103">
        <v>293796</v>
      </c>
      <c r="U613" s="103">
        <v>8.5</v>
      </c>
      <c r="V613" s="103" t="s">
        <v>5823</v>
      </c>
      <c r="W613" s="103" t="s">
        <v>310</v>
      </c>
    </row>
    <row r="614" spans="1:23" x14ac:dyDescent="0.45">
      <c r="A614" s="103">
        <f t="shared" si="33"/>
        <v>613</v>
      </c>
      <c r="B614" s="103" t="s">
        <v>6224</v>
      </c>
      <c r="C614" s="103" t="s">
        <v>3474</v>
      </c>
      <c r="D614" s="103" t="s">
        <v>330</v>
      </c>
      <c r="E614" s="103" t="s">
        <v>100</v>
      </c>
      <c r="F614" s="103" t="s">
        <v>77</v>
      </c>
      <c r="G614" s="103" t="s">
        <v>88</v>
      </c>
      <c r="H614" s="103" t="s">
        <v>5973</v>
      </c>
      <c r="I614" s="103" t="s">
        <v>5965</v>
      </c>
      <c r="J614" s="103" t="s">
        <v>122</v>
      </c>
      <c r="K614" s="103" t="s">
        <v>288</v>
      </c>
      <c r="L614" s="103"/>
      <c r="M614" s="103"/>
      <c r="N614" s="103" t="s">
        <v>6224</v>
      </c>
      <c r="O614" s="103" t="s">
        <v>5821</v>
      </c>
      <c r="P614" s="103" t="s">
        <v>6027</v>
      </c>
      <c r="Q614" s="103"/>
      <c r="R614" s="103"/>
      <c r="S614" s="103" t="s">
        <v>6209</v>
      </c>
      <c r="T614" s="103">
        <v>293796</v>
      </c>
      <c r="U614" s="103">
        <v>8.5</v>
      </c>
      <c r="V614" s="103" t="s">
        <v>5823</v>
      </c>
      <c r="W614" s="103" t="s">
        <v>310</v>
      </c>
    </row>
    <row r="615" spans="1:23" x14ac:dyDescent="0.45">
      <c r="A615" s="103">
        <f t="shared" si="33"/>
        <v>614</v>
      </c>
      <c r="B615" s="103" t="s">
        <v>6224</v>
      </c>
      <c r="C615" s="103" t="s">
        <v>3474</v>
      </c>
      <c r="D615" s="103" t="s">
        <v>330</v>
      </c>
      <c r="E615" s="103" t="s">
        <v>100</v>
      </c>
      <c r="F615" s="103" t="s">
        <v>77</v>
      </c>
      <c r="G615" s="103" t="s">
        <v>88</v>
      </c>
      <c r="H615" s="103" t="s">
        <v>5973</v>
      </c>
      <c r="I615" s="103" t="s">
        <v>5965</v>
      </c>
      <c r="J615" s="103" t="s">
        <v>115</v>
      </c>
      <c r="K615" s="103" t="s">
        <v>5966</v>
      </c>
      <c r="L615" s="103"/>
      <c r="M615" s="103"/>
      <c r="N615" s="103" t="s">
        <v>6224</v>
      </c>
      <c r="O615" s="103" t="s">
        <v>5822</v>
      </c>
      <c r="P615" s="103" t="s">
        <v>5797</v>
      </c>
      <c r="Q615" s="103"/>
      <c r="R615" s="103"/>
      <c r="S615" s="103" t="s">
        <v>5855</v>
      </c>
      <c r="T615" s="103">
        <v>293796</v>
      </c>
      <c r="U615" s="103">
        <v>8.5</v>
      </c>
      <c r="V615" s="103" t="s">
        <v>5823</v>
      </c>
      <c r="W615" s="103" t="s">
        <v>310</v>
      </c>
    </row>
    <row r="616" spans="1:23" x14ac:dyDescent="0.45">
      <c r="A616" s="103">
        <f t="shared" ref="A616:A629" si="34">ROW()-1</f>
        <v>615</v>
      </c>
      <c r="B616" s="103" t="s">
        <v>6255</v>
      </c>
      <c r="C616" s="103" t="s">
        <v>3474</v>
      </c>
      <c r="D616" s="103" t="s">
        <v>330</v>
      </c>
      <c r="E616" s="103" t="s">
        <v>100</v>
      </c>
      <c r="F616" s="103" t="s">
        <v>77</v>
      </c>
      <c r="G616" s="103" t="s">
        <v>88</v>
      </c>
      <c r="H616" s="103" t="s">
        <v>6256</v>
      </c>
      <c r="I616" s="103" t="s">
        <v>143</v>
      </c>
      <c r="J616" s="103" t="s">
        <v>115</v>
      </c>
      <c r="K616" s="103" t="s">
        <v>5652</v>
      </c>
      <c r="L616" s="103"/>
      <c r="M616" s="103"/>
      <c r="N616" s="103" t="s">
        <v>6255</v>
      </c>
      <c r="O616" s="103" t="s">
        <v>47</v>
      </c>
      <c r="P616" s="103" t="s">
        <v>6122</v>
      </c>
      <c r="Q616" s="103"/>
      <c r="R616" s="103"/>
      <c r="S616" s="103">
        <v>13</v>
      </c>
      <c r="T616" s="103">
        <v>233353</v>
      </c>
      <c r="U616" s="103">
        <v>8.5</v>
      </c>
      <c r="V616" s="103" t="s">
        <v>5823</v>
      </c>
      <c r="W616" s="103" t="s">
        <v>310</v>
      </c>
    </row>
    <row r="617" spans="1:23" x14ac:dyDescent="0.45">
      <c r="A617" s="103">
        <f t="shared" si="34"/>
        <v>616</v>
      </c>
      <c r="B617" s="103" t="s">
        <v>6255</v>
      </c>
      <c r="C617" s="103" t="s">
        <v>3474</v>
      </c>
      <c r="D617" s="103" t="s">
        <v>330</v>
      </c>
      <c r="E617" s="103" t="s">
        <v>100</v>
      </c>
      <c r="F617" s="103" t="s">
        <v>77</v>
      </c>
      <c r="G617" s="103" t="s">
        <v>88</v>
      </c>
      <c r="H617" s="103" t="s">
        <v>6256</v>
      </c>
      <c r="I617" s="103" t="s">
        <v>143</v>
      </c>
      <c r="J617" s="103" t="s">
        <v>115</v>
      </c>
      <c r="K617" s="103" t="s">
        <v>5652</v>
      </c>
      <c r="L617" s="103"/>
      <c r="M617" s="103"/>
      <c r="N617" s="103" t="s">
        <v>6255</v>
      </c>
      <c r="O617" s="103" t="s">
        <v>5580</v>
      </c>
      <c r="P617" s="103" t="s">
        <v>6012</v>
      </c>
      <c r="Q617" s="103"/>
      <c r="R617" s="103"/>
      <c r="S617" s="103" t="s">
        <v>5831</v>
      </c>
      <c r="T617" s="103">
        <v>233353</v>
      </c>
      <c r="U617" s="103">
        <v>8.5</v>
      </c>
      <c r="V617" s="103" t="s">
        <v>5823</v>
      </c>
      <c r="W617" s="103" t="s">
        <v>310</v>
      </c>
    </row>
    <row r="618" spans="1:23" x14ac:dyDescent="0.45">
      <c r="A618" s="103">
        <f t="shared" si="34"/>
        <v>617</v>
      </c>
      <c r="B618" s="103" t="s">
        <v>6255</v>
      </c>
      <c r="C618" s="103" t="s">
        <v>3474</v>
      </c>
      <c r="D618" s="103" t="s">
        <v>330</v>
      </c>
      <c r="E618" s="103" t="s">
        <v>100</v>
      </c>
      <c r="F618" s="103" t="s">
        <v>77</v>
      </c>
      <c r="G618" s="103" t="s">
        <v>88</v>
      </c>
      <c r="H618" s="103" t="s">
        <v>6256</v>
      </c>
      <c r="I618" s="103" t="s">
        <v>143</v>
      </c>
      <c r="J618" s="103" t="s">
        <v>122</v>
      </c>
      <c r="K618" s="103" t="s">
        <v>189</v>
      </c>
      <c r="L618" s="103"/>
      <c r="M618" s="103"/>
      <c r="N618" s="103" t="s">
        <v>6255</v>
      </c>
      <c r="O618" s="103" t="s">
        <v>5812</v>
      </c>
      <c r="P618" s="103" t="s">
        <v>6259</v>
      </c>
      <c r="Q618" s="103"/>
      <c r="R618" s="103"/>
      <c r="S618" s="103">
        <v>21</v>
      </c>
      <c r="T618" s="103">
        <v>233353</v>
      </c>
      <c r="U618" s="103">
        <v>8.3000000000000007</v>
      </c>
      <c r="V618" s="103" t="s">
        <v>5823</v>
      </c>
      <c r="W618" s="103" t="s">
        <v>310</v>
      </c>
    </row>
    <row r="619" spans="1:23" x14ac:dyDescent="0.45">
      <c r="A619" s="103">
        <f t="shared" si="34"/>
        <v>618</v>
      </c>
      <c r="B619" s="103" t="s">
        <v>6255</v>
      </c>
      <c r="C619" s="103" t="s">
        <v>3474</v>
      </c>
      <c r="D619" s="103" t="s">
        <v>330</v>
      </c>
      <c r="E619" s="103" t="s">
        <v>100</v>
      </c>
      <c r="F619" s="103" t="s">
        <v>77</v>
      </c>
      <c r="G619" s="103" t="s">
        <v>88</v>
      </c>
      <c r="H619" s="103" t="s">
        <v>6256</v>
      </c>
      <c r="I619" s="103" t="s">
        <v>143</v>
      </c>
      <c r="J619" s="103" t="s">
        <v>122</v>
      </c>
      <c r="K619" s="103" t="s">
        <v>189</v>
      </c>
      <c r="L619" s="103"/>
      <c r="M619" s="103"/>
      <c r="N619" s="103" t="s">
        <v>6255</v>
      </c>
      <c r="O619" s="103" t="s">
        <v>5581</v>
      </c>
      <c r="P619" s="103" t="s">
        <v>6260</v>
      </c>
      <c r="Q619" s="103"/>
      <c r="R619" s="103"/>
      <c r="S619" s="103" t="s">
        <v>5993</v>
      </c>
      <c r="T619" s="103">
        <v>233353</v>
      </c>
      <c r="U619" s="103">
        <v>8.3000000000000007</v>
      </c>
      <c r="V619" s="103" t="s">
        <v>5823</v>
      </c>
      <c r="W619" s="103" t="s">
        <v>310</v>
      </c>
    </row>
    <row r="620" spans="1:23" x14ac:dyDescent="0.45">
      <c r="A620" s="103">
        <f t="shared" si="34"/>
        <v>619</v>
      </c>
      <c r="B620" s="103" t="s">
        <v>6255</v>
      </c>
      <c r="C620" s="103" t="s">
        <v>3474</v>
      </c>
      <c r="D620" s="103" t="s">
        <v>330</v>
      </c>
      <c r="E620" s="103" t="s">
        <v>100</v>
      </c>
      <c r="F620" s="103" t="s">
        <v>77</v>
      </c>
      <c r="G620" s="103" t="s">
        <v>88</v>
      </c>
      <c r="H620" s="103" t="s">
        <v>6256</v>
      </c>
      <c r="I620" s="103" t="s">
        <v>143</v>
      </c>
      <c r="J620" s="103" t="s">
        <v>122</v>
      </c>
      <c r="K620" s="103" t="s">
        <v>189</v>
      </c>
      <c r="L620" s="103"/>
      <c r="M620" s="103"/>
      <c r="N620" s="103" t="s">
        <v>6255</v>
      </c>
      <c r="O620" s="103" t="s">
        <v>5813</v>
      </c>
      <c r="P620" s="103" t="s">
        <v>5851</v>
      </c>
      <c r="Q620" s="103"/>
      <c r="R620" s="103"/>
      <c r="S620" s="103" t="s">
        <v>6040</v>
      </c>
      <c r="T620" s="103">
        <v>233353</v>
      </c>
      <c r="U620" s="103">
        <v>8.1999999999999993</v>
      </c>
      <c r="V620" s="103" t="s">
        <v>5823</v>
      </c>
      <c r="W620" s="103" t="s">
        <v>310</v>
      </c>
    </row>
    <row r="621" spans="1:23" x14ac:dyDescent="0.45">
      <c r="A621" s="103">
        <f t="shared" si="34"/>
        <v>620</v>
      </c>
      <c r="B621" s="103" t="s">
        <v>6255</v>
      </c>
      <c r="C621" s="103" t="s">
        <v>3474</v>
      </c>
      <c r="D621" s="103" t="s">
        <v>330</v>
      </c>
      <c r="E621" s="103" t="s">
        <v>100</v>
      </c>
      <c r="F621" s="103" t="s">
        <v>77</v>
      </c>
      <c r="G621" s="103" t="s">
        <v>88</v>
      </c>
      <c r="H621" s="103" t="s">
        <v>6256</v>
      </c>
      <c r="I621" s="103" t="s">
        <v>143</v>
      </c>
      <c r="J621" s="103" t="s">
        <v>122</v>
      </c>
      <c r="K621" s="103" t="s">
        <v>189</v>
      </c>
      <c r="L621" s="103"/>
      <c r="M621" s="103"/>
      <c r="N621" s="103" t="s">
        <v>6255</v>
      </c>
      <c r="O621" s="103" t="s">
        <v>5814</v>
      </c>
      <c r="P621" s="103" t="s">
        <v>5832</v>
      </c>
      <c r="Q621" s="103"/>
      <c r="R621" s="103"/>
      <c r="S621" s="103">
        <v>13</v>
      </c>
      <c r="T621" s="103">
        <v>233353</v>
      </c>
      <c r="U621" s="103">
        <v>8.3000000000000007</v>
      </c>
      <c r="V621" s="103" t="s">
        <v>5823</v>
      </c>
      <c r="W621" s="103" t="s">
        <v>310</v>
      </c>
    </row>
    <row r="622" spans="1:23" x14ac:dyDescent="0.45">
      <c r="A622" s="103">
        <f t="shared" si="34"/>
        <v>621</v>
      </c>
      <c r="B622" s="103" t="s">
        <v>6255</v>
      </c>
      <c r="C622" s="103" t="s">
        <v>3474</v>
      </c>
      <c r="D622" s="103" t="s">
        <v>330</v>
      </c>
      <c r="E622" s="103" t="s">
        <v>100</v>
      </c>
      <c r="F622" s="103" t="s">
        <v>77</v>
      </c>
      <c r="G622" s="103" t="s">
        <v>88</v>
      </c>
      <c r="H622" s="103" t="s">
        <v>6256</v>
      </c>
      <c r="I622" s="103" t="s">
        <v>116</v>
      </c>
      <c r="J622" s="103" t="s">
        <v>122</v>
      </c>
      <c r="K622" s="103" t="s">
        <v>288</v>
      </c>
      <c r="L622" s="103"/>
      <c r="M622" s="103"/>
      <c r="N622" s="103" t="s">
        <v>6255</v>
      </c>
      <c r="O622" s="103" t="s">
        <v>5815</v>
      </c>
      <c r="P622" s="103">
        <v>14</v>
      </c>
      <c r="Q622" s="103"/>
      <c r="R622" s="103"/>
      <c r="S622" s="103">
        <v>14</v>
      </c>
      <c r="T622" s="103">
        <v>233353</v>
      </c>
      <c r="U622" s="103">
        <v>8.1999999999999993</v>
      </c>
      <c r="V622" s="103" t="s">
        <v>5823</v>
      </c>
      <c r="W622" s="103" t="s">
        <v>310</v>
      </c>
    </row>
    <row r="623" spans="1:23" x14ac:dyDescent="0.45">
      <c r="A623" s="103">
        <f t="shared" si="34"/>
        <v>622</v>
      </c>
      <c r="B623" s="103" t="s">
        <v>6255</v>
      </c>
      <c r="C623" s="103" t="s">
        <v>3474</v>
      </c>
      <c r="D623" s="103" t="s">
        <v>330</v>
      </c>
      <c r="E623" s="103" t="s">
        <v>100</v>
      </c>
      <c r="F623" s="103" t="s">
        <v>77</v>
      </c>
      <c r="G623" s="103" t="s">
        <v>88</v>
      </c>
      <c r="H623" s="103" t="s">
        <v>6256</v>
      </c>
      <c r="I623" s="103" t="s">
        <v>116</v>
      </c>
      <c r="J623" s="103" t="s">
        <v>122</v>
      </c>
      <c r="K623" s="103" t="s">
        <v>288</v>
      </c>
      <c r="L623" s="103"/>
      <c r="M623" s="103"/>
      <c r="N623" s="103" t="s">
        <v>6255</v>
      </c>
      <c r="O623" s="103" t="s">
        <v>5816</v>
      </c>
      <c r="P623" s="103" t="s">
        <v>6261</v>
      </c>
      <c r="Q623" s="103"/>
      <c r="R623" s="103"/>
      <c r="S623" s="103" t="s">
        <v>5883</v>
      </c>
      <c r="T623" s="103">
        <v>233353</v>
      </c>
      <c r="U623" s="103">
        <v>3</v>
      </c>
      <c r="V623" s="103" t="s">
        <v>5823</v>
      </c>
      <c r="W623" s="103" t="s">
        <v>310</v>
      </c>
    </row>
    <row r="624" spans="1:23" x14ac:dyDescent="0.45">
      <c r="A624" s="103">
        <f t="shared" si="34"/>
        <v>623</v>
      </c>
      <c r="B624" s="103" t="s">
        <v>6255</v>
      </c>
      <c r="C624" s="103" t="s">
        <v>3474</v>
      </c>
      <c r="D624" s="103" t="s">
        <v>330</v>
      </c>
      <c r="E624" s="103" t="s">
        <v>100</v>
      </c>
      <c r="F624" s="103" t="s">
        <v>77</v>
      </c>
      <c r="G624" s="103" t="s">
        <v>88</v>
      </c>
      <c r="H624" s="103" t="s">
        <v>6256</v>
      </c>
      <c r="I624" s="103" t="s">
        <v>116</v>
      </c>
      <c r="J624" s="103" t="s">
        <v>122</v>
      </c>
      <c r="K624" s="103" t="s">
        <v>288</v>
      </c>
      <c r="L624" s="103"/>
      <c r="M624" s="103"/>
      <c r="N624" s="103" t="s">
        <v>6255</v>
      </c>
      <c r="O624" s="103" t="s">
        <v>5817</v>
      </c>
      <c r="P624" s="103" t="s">
        <v>5803</v>
      </c>
      <c r="Q624" s="103"/>
      <c r="R624" s="103"/>
      <c r="S624" s="103" t="s">
        <v>5803</v>
      </c>
      <c r="T624" s="103">
        <v>233353</v>
      </c>
      <c r="U624" s="103">
        <v>8.1999999999999993</v>
      </c>
      <c r="V624" s="103" t="s">
        <v>5823</v>
      </c>
      <c r="W624" s="103" t="s">
        <v>310</v>
      </c>
    </row>
    <row r="625" spans="1:23" x14ac:dyDescent="0.45">
      <c r="A625" s="103">
        <f t="shared" si="34"/>
        <v>624</v>
      </c>
      <c r="B625" s="103" t="s">
        <v>6255</v>
      </c>
      <c r="C625" s="103" t="s">
        <v>3474</v>
      </c>
      <c r="D625" s="103" t="s">
        <v>330</v>
      </c>
      <c r="E625" s="103" t="s">
        <v>100</v>
      </c>
      <c r="F625" s="103" t="s">
        <v>77</v>
      </c>
      <c r="G625" s="103" t="s">
        <v>88</v>
      </c>
      <c r="H625" s="103" t="s">
        <v>6256</v>
      </c>
      <c r="I625" s="103" t="s">
        <v>116</v>
      </c>
      <c r="J625" s="103" t="s">
        <v>122</v>
      </c>
      <c r="K625" s="103" t="s">
        <v>288</v>
      </c>
      <c r="L625" s="103"/>
      <c r="M625" s="103"/>
      <c r="N625" s="103" t="s">
        <v>6255</v>
      </c>
      <c r="O625" s="103" t="s">
        <v>5815</v>
      </c>
      <c r="P625" s="103" t="s">
        <v>6131</v>
      </c>
      <c r="Q625" s="103"/>
      <c r="R625" s="103"/>
      <c r="S625" s="103" t="s">
        <v>6037</v>
      </c>
      <c r="T625" s="103">
        <v>233353</v>
      </c>
      <c r="U625" s="103">
        <v>8.1</v>
      </c>
      <c r="V625" s="103" t="s">
        <v>5823</v>
      </c>
      <c r="W625" s="103" t="s">
        <v>310</v>
      </c>
    </row>
    <row r="626" spans="1:23" x14ac:dyDescent="0.45">
      <c r="A626" s="103">
        <f t="shared" si="34"/>
        <v>625</v>
      </c>
      <c r="B626" s="103" t="s">
        <v>6255</v>
      </c>
      <c r="C626" s="103" t="s">
        <v>3474</v>
      </c>
      <c r="D626" s="103" t="s">
        <v>330</v>
      </c>
      <c r="E626" s="103" t="s">
        <v>100</v>
      </c>
      <c r="F626" s="103" t="s">
        <v>77</v>
      </c>
      <c r="G626" s="103" t="s">
        <v>88</v>
      </c>
      <c r="H626" s="103" t="s">
        <v>6256</v>
      </c>
      <c r="I626" s="103" t="s">
        <v>116</v>
      </c>
      <c r="J626" s="103" t="s">
        <v>122</v>
      </c>
      <c r="K626" s="103" t="s">
        <v>288</v>
      </c>
      <c r="L626" s="103"/>
      <c r="M626" s="103"/>
      <c r="N626" s="103" t="s">
        <v>6255</v>
      </c>
      <c r="O626" s="103" t="s">
        <v>5819</v>
      </c>
      <c r="P626" s="103" t="s">
        <v>6086</v>
      </c>
      <c r="Q626" s="103"/>
      <c r="R626" s="103"/>
      <c r="S626" s="103" t="s">
        <v>5920</v>
      </c>
      <c r="T626" s="103">
        <v>233353</v>
      </c>
      <c r="U626" s="103">
        <v>8.1</v>
      </c>
      <c r="V626" s="103" t="s">
        <v>5823</v>
      </c>
      <c r="W626" s="103" t="s">
        <v>310</v>
      </c>
    </row>
    <row r="627" spans="1:23" x14ac:dyDescent="0.45">
      <c r="A627" s="103">
        <f t="shared" si="34"/>
        <v>626</v>
      </c>
      <c r="B627" s="103" t="s">
        <v>6255</v>
      </c>
      <c r="C627" s="103" t="s">
        <v>3474</v>
      </c>
      <c r="D627" s="103" t="s">
        <v>330</v>
      </c>
      <c r="E627" s="103" t="s">
        <v>100</v>
      </c>
      <c r="F627" s="103" t="s">
        <v>77</v>
      </c>
      <c r="G627" s="103" t="s">
        <v>88</v>
      </c>
      <c r="H627" s="103" t="s">
        <v>6256</v>
      </c>
      <c r="I627" s="103" t="s">
        <v>116</v>
      </c>
      <c r="J627" s="103" t="s">
        <v>122</v>
      </c>
      <c r="K627" s="103" t="s">
        <v>288</v>
      </c>
      <c r="L627" s="103"/>
      <c r="M627" s="103"/>
      <c r="N627" s="103" t="s">
        <v>6255</v>
      </c>
      <c r="O627" s="103" t="s">
        <v>5820</v>
      </c>
      <c r="P627" s="103" t="s">
        <v>6262</v>
      </c>
      <c r="Q627" s="103"/>
      <c r="R627" s="103"/>
      <c r="S627" s="103" t="s">
        <v>5850</v>
      </c>
      <c r="T627" s="103">
        <v>233353</v>
      </c>
      <c r="U627" s="103">
        <v>8.1</v>
      </c>
      <c r="V627" s="103" t="s">
        <v>5823</v>
      </c>
      <c r="W627" s="103" t="s">
        <v>310</v>
      </c>
    </row>
    <row r="628" spans="1:23" x14ac:dyDescent="0.45">
      <c r="A628" s="103">
        <f t="shared" si="34"/>
        <v>627</v>
      </c>
      <c r="B628" s="103" t="s">
        <v>6255</v>
      </c>
      <c r="C628" s="103" t="s">
        <v>3474</v>
      </c>
      <c r="D628" s="103" t="s">
        <v>330</v>
      </c>
      <c r="E628" s="103" t="s">
        <v>100</v>
      </c>
      <c r="F628" s="103" t="s">
        <v>77</v>
      </c>
      <c r="G628" s="103" t="s">
        <v>88</v>
      </c>
      <c r="H628" s="103" t="s">
        <v>6256</v>
      </c>
      <c r="I628" s="103" t="s">
        <v>116</v>
      </c>
      <c r="J628" s="103" t="s">
        <v>122</v>
      </c>
      <c r="K628" s="103" t="s">
        <v>288</v>
      </c>
      <c r="L628" s="103"/>
      <c r="M628" s="103"/>
      <c r="N628" s="103" t="s">
        <v>6255</v>
      </c>
      <c r="O628" s="103" t="s">
        <v>5821</v>
      </c>
      <c r="P628" s="103" t="s">
        <v>5842</v>
      </c>
      <c r="Q628" s="103"/>
      <c r="R628" s="103"/>
      <c r="S628" s="103">
        <v>14</v>
      </c>
      <c r="T628" s="103">
        <v>233353</v>
      </c>
      <c r="U628" s="103">
        <v>8.1999999999999993</v>
      </c>
      <c r="V628" s="103" t="s">
        <v>5823</v>
      </c>
      <c r="W628" s="103" t="s">
        <v>310</v>
      </c>
    </row>
    <row r="629" spans="1:23" x14ac:dyDescent="0.45">
      <c r="A629" s="103">
        <f t="shared" si="34"/>
        <v>628</v>
      </c>
      <c r="B629" s="103" t="s">
        <v>6255</v>
      </c>
      <c r="C629" s="103" t="s">
        <v>3474</v>
      </c>
      <c r="D629" s="103" t="s">
        <v>330</v>
      </c>
      <c r="E629" s="103" t="s">
        <v>100</v>
      </c>
      <c r="F629" s="103" t="s">
        <v>77</v>
      </c>
      <c r="G629" s="103" t="s">
        <v>88</v>
      </c>
      <c r="H629" s="103" t="s">
        <v>6256</v>
      </c>
      <c r="I629" s="103" t="s">
        <v>116</v>
      </c>
      <c r="J629" s="103" t="s">
        <v>122</v>
      </c>
      <c r="K629" s="103" t="s">
        <v>288</v>
      </c>
      <c r="L629" s="103"/>
      <c r="M629" s="103"/>
      <c r="N629" s="103" t="s">
        <v>6255</v>
      </c>
      <c r="O629" s="103" t="s">
        <v>5822</v>
      </c>
      <c r="P629" s="103" t="s">
        <v>6122</v>
      </c>
      <c r="Q629" s="103"/>
      <c r="R629" s="103"/>
      <c r="S629" s="103" t="s">
        <v>6263</v>
      </c>
      <c r="T629" s="103">
        <v>233353</v>
      </c>
      <c r="U629" s="103">
        <v>8.5</v>
      </c>
      <c r="V629" s="103" t="s">
        <v>5823</v>
      </c>
      <c r="W629" s="103" t="s">
        <v>310</v>
      </c>
    </row>
    <row r="630" spans="1:23" x14ac:dyDescent="0.45">
      <c r="A630" s="103">
        <f t="shared" ref="A630:A636" si="35">ROW()-1</f>
        <v>629</v>
      </c>
      <c r="B630" s="103" t="s">
        <v>6236</v>
      </c>
      <c r="C630" s="103" t="s">
        <v>6264</v>
      </c>
      <c r="D630" s="103"/>
      <c r="E630" s="103" t="s">
        <v>73</v>
      </c>
      <c r="F630" s="103" t="s">
        <v>72</v>
      </c>
      <c r="G630" s="103" t="s">
        <v>71</v>
      </c>
      <c r="H630" s="103" t="s">
        <v>6266</v>
      </c>
      <c r="I630" s="103" t="s">
        <v>278</v>
      </c>
      <c r="J630" s="103" t="s">
        <v>122</v>
      </c>
      <c r="K630" s="103" t="s">
        <v>186</v>
      </c>
      <c r="L630" s="103" t="s">
        <v>6269</v>
      </c>
      <c r="M630" s="103"/>
      <c r="N630" s="103" t="s">
        <v>6236</v>
      </c>
      <c r="O630" s="103" t="s">
        <v>5812</v>
      </c>
      <c r="P630" s="103">
        <v>13</v>
      </c>
      <c r="Q630" s="103"/>
      <c r="R630" s="103"/>
      <c r="S630" s="103">
        <v>13</v>
      </c>
      <c r="T630" s="103">
        <v>173345</v>
      </c>
      <c r="U630" s="103">
        <v>7.5</v>
      </c>
      <c r="V630" s="103" t="s">
        <v>65</v>
      </c>
      <c r="W630" s="103" t="s">
        <v>310</v>
      </c>
    </row>
    <row r="631" spans="1:23" x14ac:dyDescent="0.45">
      <c r="A631" s="103">
        <f t="shared" si="35"/>
        <v>630</v>
      </c>
      <c r="B631" s="103" t="s">
        <v>6236</v>
      </c>
      <c r="C631" s="103" t="s">
        <v>6264</v>
      </c>
      <c r="D631" s="103"/>
      <c r="E631" s="103" t="s">
        <v>73</v>
      </c>
      <c r="F631" s="103" t="s">
        <v>72</v>
      </c>
      <c r="G631" s="103" t="s">
        <v>71</v>
      </c>
      <c r="H631" s="103" t="s">
        <v>6266</v>
      </c>
      <c r="I631" s="103"/>
      <c r="J631" s="103" t="s">
        <v>122</v>
      </c>
      <c r="K631" s="103" t="s">
        <v>186</v>
      </c>
      <c r="L631" s="103" t="s">
        <v>6270</v>
      </c>
      <c r="M631" s="103"/>
      <c r="N631" s="103" t="s">
        <v>6236</v>
      </c>
      <c r="O631" s="103" t="s">
        <v>5581</v>
      </c>
      <c r="P631" s="103">
        <v>13</v>
      </c>
      <c r="Q631" s="103"/>
      <c r="R631" s="103"/>
      <c r="S631" s="103">
        <v>13</v>
      </c>
      <c r="T631" s="103">
        <v>173345</v>
      </c>
      <c r="U631" s="103">
        <v>7.5</v>
      </c>
      <c r="V631" s="103" t="s">
        <v>65</v>
      </c>
      <c r="W631" s="103" t="s">
        <v>310</v>
      </c>
    </row>
    <row r="632" spans="1:23" x14ac:dyDescent="0.45">
      <c r="A632" s="103">
        <f t="shared" si="35"/>
        <v>631</v>
      </c>
      <c r="B632" s="103" t="s">
        <v>6236</v>
      </c>
      <c r="C632" s="103" t="s">
        <v>6264</v>
      </c>
      <c r="D632" s="103"/>
      <c r="E632" s="103" t="s">
        <v>73</v>
      </c>
      <c r="F632" s="103" t="s">
        <v>72</v>
      </c>
      <c r="G632" s="103" t="s">
        <v>71</v>
      </c>
      <c r="H632" s="103" t="s">
        <v>6266</v>
      </c>
      <c r="I632" s="103" t="s">
        <v>278</v>
      </c>
      <c r="J632" s="103" t="s">
        <v>122</v>
      </c>
      <c r="K632" s="103" t="s">
        <v>186</v>
      </c>
      <c r="L632" s="103" t="s">
        <v>6271</v>
      </c>
      <c r="M632" s="103"/>
      <c r="N632" s="103" t="s">
        <v>6236</v>
      </c>
      <c r="O632" s="103" t="s">
        <v>5813</v>
      </c>
      <c r="P632" s="103">
        <v>13</v>
      </c>
      <c r="Q632" s="103"/>
      <c r="R632" s="103"/>
      <c r="S632" s="103">
        <v>13</v>
      </c>
      <c r="T632" s="103">
        <v>173345</v>
      </c>
      <c r="U632" s="103">
        <v>7.5</v>
      </c>
      <c r="V632" s="103" t="s">
        <v>65</v>
      </c>
      <c r="W632" s="103" t="s">
        <v>310</v>
      </c>
    </row>
    <row r="633" spans="1:23" x14ac:dyDescent="0.45">
      <c r="A633" s="103">
        <f t="shared" si="35"/>
        <v>632</v>
      </c>
      <c r="B633" s="103" t="s">
        <v>6236</v>
      </c>
      <c r="C633" s="103" t="s">
        <v>6264</v>
      </c>
      <c r="D633" s="103"/>
      <c r="E633" s="103" t="s">
        <v>73</v>
      </c>
      <c r="F633" s="103" t="s">
        <v>72</v>
      </c>
      <c r="G633" s="103" t="s">
        <v>71</v>
      </c>
      <c r="H633" s="103" t="s">
        <v>6266</v>
      </c>
      <c r="I633" s="103" t="s">
        <v>278</v>
      </c>
      <c r="J633" s="103" t="s">
        <v>122</v>
      </c>
      <c r="K633" s="103" t="s">
        <v>186</v>
      </c>
      <c r="L633" s="103" t="s">
        <v>6272</v>
      </c>
      <c r="M633" s="103"/>
      <c r="N633" s="103"/>
      <c r="O633" s="103" t="s">
        <v>5814</v>
      </c>
      <c r="P633" s="103">
        <v>13</v>
      </c>
      <c r="Q633" s="103"/>
      <c r="R633" s="103"/>
      <c r="S633" s="103">
        <v>13</v>
      </c>
      <c r="T633" s="103">
        <v>173345</v>
      </c>
      <c r="U633" s="103">
        <v>7.5</v>
      </c>
      <c r="V633" s="103" t="s">
        <v>65</v>
      </c>
      <c r="W633" s="103" t="s">
        <v>310</v>
      </c>
    </row>
    <row r="634" spans="1:23" x14ac:dyDescent="0.45">
      <c r="A634" s="103">
        <f t="shared" si="35"/>
        <v>633</v>
      </c>
      <c r="B634" s="103" t="s">
        <v>6236</v>
      </c>
      <c r="C634" s="103" t="s">
        <v>6264</v>
      </c>
      <c r="D634" s="103"/>
      <c r="E634" s="103" t="s">
        <v>73</v>
      </c>
      <c r="F634" s="103" t="s">
        <v>72</v>
      </c>
      <c r="G634" s="103" t="s">
        <v>71</v>
      </c>
      <c r="H634" s="103" t="s">
        <v>6266</v>
      </c>
      <c r="I634" s="103"/>
      <c r="J634" s="103"/>
      <c r="K634" s="103"/>
      <c r="L634" s="103"/>
      <c r="M634" s="103"/>
      <c r="N634" s="103" t="s">
        <v>6236</v>
      </c>
      <c r="O634" s="103" t="s">
        <v>5819</v>
      </c>
      <c r="P634" s="103"/>
      <c r="Q634" s="103"/>
      <c r="R634" s="103"/>
      <c r="S634" s="103"/>
      <c r="T634" s="103">
        <v>173345</v>
      </c>
      <c r="U634" s="103"/>
      <c r="V634" s="103" t="s">
        <v>65</v>
      </c>
      <c r="W634" s="103" t="s">
        <v>310</v>
      </c>
    </row>
    <row r="635" spans="1:23" x14ac:dyDescent="0.45">
      <c r="A635" s="103">
        <f t="shared" si="35"/>
        <v>634</v>
      </c>
      <c r="B635" s="103" t="s">
        <v>6236</v>
      </c>
      <c r="C635" s="103" t="s">
        <v>6264</v>
      </c>
      <c r="D635" s="103"/>
      <c r="E635" s="103" t="s">
        <v>73</v>
      </c>
      <c r="F635" s="103" t="s">
        <v>72</v>
      </c>
      <c r="G635" s="103" t="s">
        <v>71</v>
      </c>
      <c r="H635" s="103" t="s">
        <v>6266</v>
      </c>
      <c r="I635" s="103" t="s">
        <v>278</v>
      </c>
      <c r="J635" s="103" t="s">
        <v>164</v>
      </c>
      <c r="K635" s="103" t="s">
        <v>5636</v>
      </c>
      <c r="L635" s="103"/>
      <c r="M635" s="103"/>
      <c r="N635" s="103" t="s">
        <v>6236</v>
      </c>
      <c r="O635" s="103" t="s">
        <v>47</v>
      </c>
      <c r="P635" s="103" t="s">
        <v>5850</v>
      </c>
      <c r="Q635" s="103"/>
      <c r="R635" s="103"/>
      <c r="S635" s="103" t="s">
        <v>5921</v>
      </c>
      <c r="T635" s="103">
        <v>173345</v>
      </c>
      <c r="U635" s="103">
        <v>7.1</v>
      </c>
      <c r="V635" s="103" t="s">
        <v>5823</v>
      </c>
      <c r="W635" s="103" t="s">
        <v>310</v>
      </c>
    </row>
    <row r="636" spans="1:23" x14ac:dyDescent="0.45">
      <c r="A636" s="103">
        <f t="shared" si="35"/>
        <v>635</v>
      </c>
      <c r="B636" s="103" t="s">
        <v>6236</v>
      </c>
      <c r="C636" s="103" t="s">
        <v>6264</v>
      </c>
      <c r="D636" s="103"/>
      <c r="E636" s="103" t="s">
        <v>73</v>
      </c>
      <c r="F636" s="103" t="s">
        <v>72</v>
      </c>
      <c r="G636" s="103" t="s">
        <v>71</v>
      </c>
      <c r="H636" s="103" t="s">
        <v>6266</v>
      </c>
      <c r="I636" s="103" t="s">
        <v>278</v>
      </c>
      <c r="J636" s="103" t="s">
        <v>164</v>
      </c>
      <c r="K636" s="103" t="s">
        <v>5636</v>
      </c>
      <c r="L636" s="103"/>
      <c r="M636" s="103"/>
      <c r="N636" s="103" t="s">
        <v>6236</v>
      </c>
      <c r="O636" s="103" t="s">
        <v>5580</v>
      </c>
      <c r="P636" s="103" t="s">
        <v>6027</v>
      </c>
      <c r="Q636" s="103"/>
      <c r="R636" s="103"/>
      <c r="S636" s="103">
        <v>8</v>
      </c>
      <c r="T636" s="103">
        <v>173345</v>
      </c>
      <c r="U636" s="103">
        <v>7.1</v>
      </c>
      <c r="V636" s="103" t="s">
        <v>5823</v>
      </c>
      <c r="W636" s="103" t="s">
        <v>310</v>
      </c>
    </row>
    <row r="637" spans="1:23" x14ac:dyDescent="0.45">
      <c r="A637" s="103">
        <f t="shared" ref="A637:A646" si="36">ROW()-1</f>
        <v>636</v>
      </c>
      <c r="B637" s="103" t="s">
        <v>6236</v>
      </c>
      <c r="C637" s="103" t="s">
        <v>1018</v>
      </c>
      <c r="D637" s="103" t="s">
        <v>330</v>
      </c>
      <c r="E637" s="103" t="s">
        <v>70</v>
      </c>
      <c r="F637" s="103" t="s">
        <v>72</v>
      </c>
      <c r="G637" s="103" t="s">
        <v>71</v>
      </c>
      <c r="H637" s="103" t="s">
        <v>6274</v>
      </c>
      <c r="I637" s="103" t="s">
        <v>6277</v>
      </c>
      <c r="J637" s="103" t="s">
        <v>164</v>
      </c>
      <c r="K637" s="103" t="s">
        <v>6278</v>
      </c>
      <c r="L637" s="103"/>
      <c r="M637" s="103" t="s">
        <v>6279</v>
      </c>
      <c r="N637" s="103" t="s">
        <v>6236</v>
      </c>
      <c r="O637" s="103" t="s">
        <v>47</v>
      </c>
      <c r="P637" s="103" t="s">
        <v>6262</v>
      </c>
      <c r="Q637" s="103"/>
      <c r="R637" s="103"/>
      <c r="S637" s="103" t="s">
        <v>6262</v>
      </c>
      <c r="T637" s="103">
        <v>134224</v>
      </c>
      <c r="U637" s="103">
        <v>5.5</v>
      </c>
      <c r="V637" s="103" t="s">
        <v>65</v>
      </c>
      <c r="W637" s="103" t="s">
        <v>310</v>
      </c>
    </row>
    <row r="638" spans="1:23" x14ac:dyDescent="0.45">
      <c r="A638" s="103">
        <f t="shared" si="36"/>
        <v>637</v>
      </c>
      <c r="B638" s="103" t="s">
        <v>6236</v>
      </c>
      <c r="C638" s="103" t="s">
        <v>1018</v>
      </c>
      <c r="D638" s="103" t="s">
        <v>330</v>
      </c>
      <c r="E638" s="103" t="s">
        <v>70</v>
      </c>
      <c r="F638" s="103" t="s">
        <v>72</v>
      </c>
      <c r="G638" s="103" t="s">
        <v>71</v>
      </c>
      <c r="H638" s="103" t="s">
        <v>6274</v>
      </c>
      <c r="I638" s="103" t="s">
        <v>6277</v>
      </c>
      <c r="J638" s="103" t="s">
        <v>164</v>
      </c>
      <c r="K638" s="103" t="s">
        <v>6278</v>
      </c>
      <c r="L638" s="103"/>
      <c r="M638" s="103" t="s">
        <v>6279</v>
      </c>
      <c r="N638" s="103" t="s">
        <v>6236</v>
      </c>
      <c r="O638" s="103" t="s">
        <v>5580</v>
      </c>
      <c r="P638" s="103" t="s">
        <v>6262</v>
      </c>
      <c r="Q638" s="103"/>
      <c r="R638" s="103"/>
      <c r="S638" s="103" t="s">
        <v>6262</v>
      </c>
      <c r="T638" s="103">
        <v>134224</v>
      </c>
      <c r="U638" s="103">
        <v>5.5</v>
      </c>
      <c r="V638" s="103" t="s">
        <v>65</v>
      </c>
      <c r="W638" s="103" t="s">
        <v>310</v>
      </c>
    </row>
    <row r="639" spans="1:23" x14ac:dyDescent="0.45">
      <c r="A639" s="103">
        <f t="shared" si="36"/>
        <v>638</v>
      </c>
      <c r="B639" s="103" t="s">
        <v>6236</v>
      </c>
      <c r="C639" s="103" t="s">
        <v>1018</v>
      </c>
      <c r="D639" s="103" t="s">
        <v>330</v>
      </c>
      <c r="E639" s="103" t="s">
        <v>70</v>
      </c>
      <c r="F639" s="103" t="s">
        <v>72</v>
      </c>
      <c r="G639" s="103" t="s">
        <v>71</v>
      </c>
      <c r="H639" s="103" t="s">
        <v>6274</v>
      </c>
      <c r="I639" s="103" t="s">
        <v>6277</v>
      </c>
      <c r="J639" s="103" t="s">
        <v>136</v>
      </c>
      <c r="K639" s="103" t="s">
        <v>6276</v>
      </c>
      <c r="L639" s="103"/>
      <c r="M639" s="103"/>
      <c r="N639" s="103" t="s">
        <v>6236</v>
      </c>
      <c r="O639" s="103" t="s">
        <v>5581</v>
      </c>
      <c r="P639" s="103" t="s">
        <v>5948</v>
      </c>
      <c r="Q639" s="103"/>
      <c r="R639" s="103"/>
      <c r="S639" s="103" t="s">
        <v>5948</v>
      </c>
      <c r="T639" s="103">
        <v>134224</v>
      </c>
      <c r="U639" s="103">
        <v>4.5</v>
      </c>
      <c r="V639" s="103" t="s">
        <v>5823</v>
      </c>
      <c r="W639" s="103" t="s">
        <v>310</v>
      </c>
    </row>
    <row r="640" spans="1:23" x14ac:dyDescent="0.45">
      <c r="A640" s="103">
        <f t="shared" si="36"/>
        <v>639</v>
      </c>
      <c r="B640" s="103" t="s">
        <v>6236</v>
      </c>
      <c r="C640" s="103" t="s">
        <v>1018</v>
      </c>
      <c r="D640" s="103" t="s">
        <v>330</v>
      </c>
      <c r="E640" s="103" t="s">
        <v>70</v>
      </c>
      <c r="F640" s="103" t="s">
        <v>72</v>
      </c>
      <c r="G640" s="103" t="s">
        <v>71</v>
      </c>
      <c r="H640" s="103" t="s">
        <v>6274</v>
      </c>
      <c r="I640" s="103" t="s">
        <v>6277</v>
      </c>
      <c r="J640" s="103" t="s">
        <v>136</v>
      </c>
      <c r="K640" s="103" t="s">
        <v>6276</v>
      </c>
      <c r="L640" s="103"/>
      <c r="M640" s="103"/>
      <c r="N640" s="103" t="s">
        <v>6236</v>
      </c>
      <c r="O640" s="103" t="s">
        <v>5813</v>
      </c>
      <c r="P640" s="103" t="s">
        <v>6067</v>
      </c>
      <c r="Q640" s="103"/>
      <c r="R640" s="103"/>
      <c r="S640" s="103" t="s">
        <v>6218</v>
      </c>
      <c r="T640" s="103">
        <v>134224</v>
      </c>
      <c r="U640" s="103">
        <v>4</v>
      </c>
      <c r="V640" s="103" t="s">
        <v>5823</v>
      </c>
      <c r="W640" s="103" t="s">
        <v>310</v>
      </c>
    </row>
    <row r="641" spans="1:23" x14ac:dyDescent="0.45">
      <c r="A641" s="103">
        <f t="shared" si="36"/>
        <v>640</v>
      </c>
      <c r="B641" s="103" t="s">
        <v>6280</v>
      </c>
      <c r="C641" s="103" t="s">
        <v>1018</v>
      </c>
      <c r="D641" s="103" t="s">
        <v>330</v>
      </c>
      <c r="E641" s="103" t="s">
        <v>70</v>
      </c>
      <c r="F641" s="103" t="s">
        <v>72</v>
      </c>
      <c r="G641" s="103" t="s">
        <v>71</v>
      </c>
      <c r="H641" s="103" t="s">
        <v>6281</v>
      </c>
      <c r="I641" s="103" t="s">
        <v>6277</v>
      </c>
      <c r="J641" s="103" t="s">
        <v>164</v>
      </c>
      <c r="K641" s="103" t="s">
        <v>6278</v>
      </c>
      <c r="L641" s="103"/>
      <c r="M641" s="103" t="s">
        <v>6288</v>
      </c>
      <c r="N641" s="103" t="s">
        <v>6280</v>
      </c>
      <c r="O641" s="103" t="s">
        <v>47</v>
      </c>
      <c r="P641" s="103" t="s">
        <v>5886</v>
      </c>
      <c r="Q641" s="103"/>
      <c r="R641" s="103"/>
      <c r="S641" s="103" t="s">
        <v>5886</v>
      </c>
      <c r="T641" s="103">
        <v>93180</v>
      </c>
      <c r="U641" s="103">
        <v>5.5</v>
      </c>
      <c r="V641" s="103" t="s">
        <v>65</v>
      </c>
      <c r="W641" s="103" t="s">
        <v>310</v>
      </c>
    </row>
    <row r="642" spans="1:23" x14ac:dyDescent="0.45">
      <c r="A642" s="103">
        <f t="shared" si="36"/>
        <v>641</v>
      </c>
      <c r="B642" s="103" t="s">
        <v>6280</v>
      </c>
      <c r="C642" s="103" t="s">
        <v>1018</v>
      </c>
      <c r="D642" s="103" t="s">
        <v>330</v>
      </c>
      <c r="E642" s="103" t="s">
        <v>70</v>
      </c>
      <c r="F642" s="103" t="s">
        <v>72</v>
      </c>
      <c r="G642" s="103" t="s">
        <v>71</v>
      </c>
      <c r="H642" s="103" t="s">
        <v>6281</v>
      </c>
      <c r="I642" s="103" t="s">
        <v>6277</v>
      </c>
      <c r="J642" s="103" t="s">
        <v>164</v>
      </c>
      <c r="K642" s="103" t="s">
        <v>6278</v>
      </c>
      <c r="L642" s="103"/>
      <c r="M642" s="103" t="s">
        <v>6288</v>
      </c>
      <c r="N642" s="103" t="s">
        <v>6280</v>
      </c>
      <c r="O642" s="103" t="s">
        <v>5580</v>
      </c>
      <c r="P642" s="103" t="s">
        <v>5886</v>
      </c>
      <c r="Q642" s="103"/>
      <c r="R642" s="103"/>
      <c r="S642" s="103" t="s">
        <v>5886</v>
      </c>
      <c r="T642" s="103">
        <v>93180</v>
      </c>
      <c r="U642" s="103">
        <v>5.5</v>
      </c>
      <c r="V642" s="103" t="s">
        <v>65</v>
      </c>
      <c r="W642" s="103" t="s">
        <v>310</v>
      </c>
    </row>
    <row r="643" spans="1:23" x14ac:dyDescent="0.45">
      <c r="A643" s="103">
        <f t="shared" si="36"/>
        <v>642</v>
      </c>
      <c r="B643" s="103" t="s">
        <v>6280</v>
      </c>
      <c r="C643" s="103" t="s">
        <v>1018</v>
      </c>
      <c r="D643" s="103" t="s">
        <v>330</v>
      </c>
      <c r="E643" s="103" t="s">
        <v>70</v>
      </c>
      <c r="F643" s="103" t="s">
        <v>72</v>
      </c>
      <c r="G643" s="103" t="s">
        <v>71</v>
      </c>
      <c r="H643" s="103" t="s">
        <v>6281</v>
      </c>
      <c r="I643" s="103" t="s">
        <v>6285</v>
      </c>
      <c r="J643" s="103" t="s">
        <v>136</v>
      </c>
      <c r="K643" s="103" t="s">
        <v>6284</v>
      </c>
      <c r="L643" s="103"/>
      <c r="M643" s="103"/>
      <c r="N643" s="103" t="s">
        <v>6280</v>
      </c>
      <c r="O643" s="103" t="s">
        <v>5812</v>
      </c>
      <c r="P643" s="103" t="s">
        <v>6286</v>
      </c>
      <c r="Q643" s="103"/>
      <c r="R643" s="103"/>
      <c r="S643" s="103" t="s">
        <v>6057</v>
      </c>
      <c r="T643" s="103">
        <v>93180</v>
      </c>
      <c r="U643" s="103">
        <v>4.5</v>
      </c>
      <c r="V643" s="103" t="s">
        <v>5823</v>
      </c>
      <c r="W643" s="103" t="s">
        <v>310</v>
      </c>
    </row>
    <row r="644" spans="1:23" x14ac:dyDescent="0.45">
      <c r="A644" s="103">
        <f t="shared" si="36"/>
        <v>643</v>
      </c>
      <c r="B644" s="103" t="s">
        <v>6280</v>
      </c>
      <c r="C644" s="103" t="s">
        <v>1018</v>
      </c>
      <c r="D644" s="103" t="s">
        <v>330</v>
      </c>
      <c r="E644" s="103" t="s">
        <v>70</v>
      </c>
      <c r="F644" s="103" t="s">
        <v>72</v>
      </c>
      <c r="G644" s="103" t="s">
        <v>71</v>
      </c>
      <c r="H644" s="103" t="s">
        <v>6281</v>
      </c>
      <c r="I644" s="103" t="s">
        <v>6285</v>
      </c>
      <c r="J644" s="103" t="s">
        <v>136</v>
      </c>
      <c r="K644" s="103" t="s">
        <v>6284</v>
      </c>
      <c r="L644" s="103"/>
      <c r="M644" s="103"/>
      <c r="N644" s="103" t="s">
        <v>6280</v>
      </c>
      <c r="O644" s="103" t="s">
        <v>5581</v>
      </c>
      <c r="P644" s="103" t="s">
        <v>6287</v>
      </c>
      <c r="Q644" s="103"/>
      <c r="R644" s="103"/>
      <c r="S644" s="103" t="s">
        <v>5948</v>
      </c>
      <c r="T644" s="103">
        <v>93180</v>
      </c>
      <c r="U644" s="103">
        <v>4</v>
      </c>
      <c r="V644" s="103" t="s">
        <v>5823</v>
      </c>
      <c r="W644" s="103" t="s">
        <v>310</v>
      </c>
    </row>
    <row r="645" spans="1:23" x14ac:dyDescent="0.45">
      <c r="A645" s="103">
        <f t="shared" si="36"/>
        <v>644</v>
      </c>
      <c r="B645" s="103" t="s">
        <v>6280</v>
      </c>
      <c r="C645" s="103" t="s">
        <v>1018</v>
      </c>
      <c r="D645" s="103" t="s">
        <v>330</v>
      </c>
      <c r="E645" s="103" t="s">
        <v>70</v>
      </c>
      <c r="F645" s="103" t="s">
        <v>72</v>
      </c>
      <c r="G645" s="103" t="s">
        <v>71</v>
      </c>
      <c r="H645" s="103" t="s">
        <v>6281</v>
      </c>
      <c r="I645" s="103" t="s">
        <v>6285</v>
      </c>
      <c r="J645" s="103" t="s">
        <v>136</v>
      </c>
      <c r="K645" s="103" t="s">
        <v>6284</v>
      </c>
      <c r="L645" s="103"/>
      <c r="M645" s="103"/>
      <c r="N645" s="103" t="s">
        <v>6280</v>
      </c>
      <c r="O645" s="103" t="s">
        <v>5813</v>
      </c>
      <c r="P645" s="103">
        <v>4</v>
      </c>
      <c r="Q645" s="103"/>
      <c r="R645" s="103"/>
      <c r="S645" s="103" t="s">
        <v>5792</v>
      </c>
      <c r="T645" s="103">
        <v>93180</v>
      </c>
      <c r="U645" s="103">
        <v>4.2</v>
      </c>
      <c r="V645" s="103" t="s">
        <v>5823</v>
      </c>
      <c r="W645" s="103" t="s">
        <v>310</v>
      </c>
    </row>
    <row r="646" spans="1:23" x14ac:dyDescent="0.45">
      <c r="A646" s="103">
        <f t="shared" si="36"/>
        <v>645</v>
      </c>
      <c r="B646" s="103" t="s">
        <v>6280</v>
      </c>
      <c r="C646" s="103" t="s">
        <v>1018</v>
      </c>
      <c r="D646" s="103" t="s">
        <v>330</v>
      </c>
      <c r="E646" s="103" t="s">
        <v>70</v>
      </c>
      <c r="F646" s="103" t="s">
        <v>72</v>
      </c>
      <c r="G646" s="103" t="s">
        <v>71</v>
      </c>
      <c r="H646" s="103" t="s">
        <v>6281</v>
      </c>
      <c r="I646" s="103" t="s">
        <v>6285</v>
      </c>
      <c r="J646" s="103" t="s">
        <v>136</v>
      </c>
      <c r="K646" s="103" t="s">
        <v>6284</v>
      </c>
      <c r="L646" s="103"/>
      <c r="M646" s="103"/>
      <c r="N646" s="103" t="s">
        <v>6280</v>
      </c>
      <c r="O646" s="103" t="s">
        <v>5814</v>
      </c>
      <c r="P646" s="103" t="s">
        <v>6286</v>
      </c>
      <c r="Q646" s="103"/>
      <c r="R646" s="103"/>
      <c r="S646" s="103" t="s">
        <v>5792</v>
      </c>
      <c r="T646" s="103">
        <v>93180</v>
      </c>
      <c r="U646" s="103">
        <v>4.0999999999999996</v>
      </c>
      <c r="V646" s="103" t="s">
        <v>5823</v>
      </c>
      <c r="W646" s="103" t="s">
        <v>310</v>
      </c>
    </row>
    <row r="647" spans="1:23" x14ac:dyDescent="0.45">
      <c r="A647" s="103">
        <f t="shared" ref="A647:A653" si="37">ROW()-1</f>
        <v>646</v>
      </c>
      <c r="B647" s="103" t="s">
        <v>6280</v>
      </c>
      <c r="C647" s="103" t="s">
        <v>5476</v>
      </c>
      <c r="D647" s="103" t="s">
        <v>330</v>
      </c>
      <c r="E647" s="103" t="s">
        <v>73</v>
      </c>
      <c r="F647" s="103" t="s">
        <v>72</v>
      </c>
      <c r="G647" s="103" t="s">
        <v>71</v>
      </c>
      <c r="H647" s="103" t="s">
        <v>6289</v>
      </c>
      <c r="I647" s="103" t="s">
        <v>106</v>
      </c>
      <c r="J647" s="103" t="s">
        <v>142</v>
      </c>
      <c r="K647" s="103" t="s">
        <v>6294</v>
      </c>
      <c r="L647" s="103">
        <v>1005929543</v>
      </c>
      <c r="M647" s="103"/>
      <c r="N647" s="103" t="s">
        <v>6280</v>
      </c>
      <c r="O647" s="103" t="s">
        <v>5813</v>
      </c>
      <c r="P647" s="103">
        <v>13</v>
      </c>
      <c r="Q647" s="103"/>
      <c r="R647" s="103"/>
      <c r="S647" s="103">
        <v>13</v>
      </c>
      <c r="T647" s="103">
        <v>316584</v>
      </c>
      <c r="U647" s="103">
        <v>8.5</v>
      </c>
      <c r="V647" s="103" t="s">
        <v>65</v>
      </c>
      <c r="W647" s="103" t="s">
        <v>310</v>
      </c>
    </row>
    <row r="648" spans="1:23" x14ac:dyDescent="0.45">
      <c r="A648" s="103">
        <f t="shared" si="37"/>
        <v>647</v>
      </c>
      <c r="B648" s="103" t="s">
        <v>6280</v>
      </c>
      <c r="C648" s="103" t="s">
        <v>5476</v>
      </c>
      <c r="D648" s="103" t="s">
        <v>330</v>
      </c>
      <c r="E648" s="103" t="s">
        <v>73</v>
      </c>
      <c r="F648" s="103" t="s">
        <v>72</v>
      </c>
      <c r="G648" s="103" t="s">
        <v>71</v>
      </c>
      <c r="H648" s="103" t="s">
        <v>6289</v>
      </c>
      <c r="I648" s="103" t="s">
        <v>106</v>
      </c>
      <c r="J648" s="103" t="s">
        <v>142</v>
      </c>
      <c r="K648" s="103" t="s">
        <v>6294</v>
      </c>
      <c r="L648" s="103">
        <v>1005912983</v>
      </c>
      <c r="M648" s="103"/>
      <c r="N648" s="103"/>
      <c r="O648" s="103" t="s">
        <v>5814</v>
      </c>
      <c r="P648" s="103">
        <v>13</v>
      </c>
      <c r="Q648" s="103"/>
      <c r="R648" s="103"/>
      <c r="S648" s="103">
        <v>13</v>
      </c>
      <c r="T648" s="103">
        <v>316584</v>
      </c>
      <c r="U648" s="103">
        <v>8.5</v>
      </c>
      <c r="V648" s="103" t="s">
        <v>65</v>
      </c>
      <c r="W648" s="103" t="s">
        <v>310</v>
      </c>
    </row>
    <row r="649" spans="1:23" x14ac:dyDescent="0.45">
      <c r="A649" s="103">
        <f t="shared" si="37"/>
        <v>648</v>
      </c>
      <c r="B649" s="103" t="s">
        <v>6280</v>
      </c>
      <c r="C649" s="103" t="s">
        <v>5476</v>
      </c>
      <c r="D649" s="103" t="s">
        <v>330</v>
      </c>
      <c r="E649" s="103" t="s">
        <v>73</v>
      </c>
      <c r="F649" s="103" t="s">
        <v>72</v>
      </c>
      <c r="G649" s="103" t="s">
        <v>71</v>
      </c>
      <c r="H649" s="103" t="s">
        <v>6289</v>
      </c>
      <c r="I649" s="103"/>
      <c r="J649" s="103"/>
      <c r="K649" s="103"/>
      <c r="L649" s="103"/>
      <c r="M649" s="103"/>
      <c r="N649" s="103" t="s">
        <v>6280</v>
      </c>
      <c r="O649" s="103" t="s">
        <v>5819</v>
      </c>
      <c r="P649" s="103"/>
      <c r="Q649" s="103"/>
      <c r="R649" s="103"/>
      <c r="S649" s="103"/>
      <c r="T649" s="103">
        <v>316584</v>
      </c>
      <c r="U649" s="103"/>
      <c r="V649" s="103" t="s">
        <v>65</v>
      </c>
      <c r="W649" s="103" t="s">
        <v>310</v>
      </c>
    </row>
    <row r="650" spans="1:23" x14ac:dyDescent="0.45">
      <c r="A650" s="103">
        <f t="shared" si="37"/>
        <v>649</v>
      </c>
      <c r="B650" s="103" t="s">
        <v>6280</v>
      </c>
      <c r="C650" s="103" t="s">
        <v>5476</v>
      </c>
      <c r="D650" s="103" t="s">
        <v>330</v>
      </c>
      <c r="E650" s="103" t="s">
        <v>73</v>
      </c>
      <c r="F650" s="103" t="s">
        <v>72</v>
      </c>
      <c r="G650" s="103" t="s">
        <v>71</v>
      </c>
      <c r="H650" s="103" t="s">
        <v>6289</v>
      </c>
      <c r="I650" s="103" t="s">
        <v>106</v>
      </c>
      <c r="J650" s="103" t="s">
        <v>214</v>
      </c>
      <c r="K650" s="103" t="s">
        <v>6292</v>
      </c>
      <c r="L650" s="103"/>
      <c r="M650" s="103"/>
      <c r="N650" s="103" t="s">
        <v>6280</v>
      </c>
      <c r="O650" s="103" t="s">
        <v>47</v>
      </c>
      <c r="P650" s="103" t="s">
        <v>5844</v>
      </c>
      <c r="Q650" s="103"/>
      <c r="R650" s="103"/>
      <c r="S650" s="103" t="s">
        <v>6041</v>
      </c>
      <c r="T650" s="103">
        <v>316584</v>
      </c>
      <c r="U650" s="103">
        <v>8.3000000000000007</v>
      </c>
      <c r="V650" s="103" t="s">
        <v>5823</v>
      </c>
      <c r="W650" s="103" t="s">
        <v>310</v>
      </c>
    </row>
    <row r="651" spans="1:23" x14ac:dyDescent="0.45">
      <c r="A651" s="103">
        <f t="shared" si="37"/>
        <v>650</v>
      </c>
      <c r="B651" s="103" t="s">
        <v>6280</v>
      </c>
      <c r="C651" s="103" t="s">
        <v>5476</v>
      </c>
      <c r="D651" s="103" t="s">
        <v>330</v>
      </c>
      <c r="E651" s="103" t="s">
        <v>73</v>
      </c>
      <c r="F651" s="103" t="s">
        <v>72</v>
      </c>
      <c r="G651" s="103" t="s">
        <v>71</v>
      </c>
      <c r="H651" s="103" t="s">
        <v>6289</v>
      </c>
      <c r="I651" s="103" t="s">
        <v>106</v>
      </c>
      <c r="J651" s="103" t="s">
        <v>214</v>
      </c>
      <c r="K651" s="103" t="s">
        <v>6292</v>
      </c>
      <c r="L651" s="103"/>
      <c r="M651" s="103"/>
      <c r="N651" s="103" t="s">
        <v>6280</v>
      </c>
      <c r="O651" s="103" t="s">
        <v>5580</v>
      </c>
      <c r="P651" s="103" t="s">
        <v>6293</v>
      </c>
      <c r="Q651" s="103"/>
      <c r="R651" s="103"/>
      <c r="S651" s="103" t="s">
        <v>6010</v>
      </c>
      <c r="T651" s="103">
        <v>316584</v>
      </c>
      <c r="U651" s="103">
        <v>8.4</v>
      </c>
      <c r="V651" s="103" t="s">
        <v>5823</v>
      </c>
      <c r="W651" s="103" t="s">
        <v>310</v>
      </c>
    </row>
    <row r="652" spans="1:23" x14ac:dyDescent="0.45">
      <c r="A652" s="103">
        <f t="shared" si="37"/>
        <v>651</v>
      </c>
      <c r="B652" s="103" t="s">
        <v>6280</v>
      </c>
      <c r="C652" s="103" t="s">
        <v>5476</v>
      </c>
      <c r="D652" s="103" t="s">
        <v>330</v>
      </c>
      <c r="E652" s="103" t="s">
        <v>73</v>
      </c>
      <c r="F652" s="103" t="s">
        <v>72</v>
      </c>
      <c r="G652" s="103" t="s">
        <v>71</v>
      </c>
      <c r="H652" s="103" t="s">
        <v>6289</v>
      </c>
      <c r="I652" s="103" t="s">
        <v>106</v>
      </c>
      <c r="J652" s="103" t="s">
        <v>122</v>
      </c>
      <c r="K652" s="103" t="s">
        <v>288</v>
      </c>
      <c r="L652" s="103"/>
      <c r="M652" s="103"/>
      <c r="N652" s="103" t="s">
        <v>6280</v>
      </c>
      <c r="O652" s="103" t="s">
        <v>5812</v>
      </c>
      <c r="P652" s="103" t="s">
        <v>5968</v>
      </c>
      <c r="Q652" s="103"/>
      <c r="R652" s="103"/>
      <c r="S652" s="103">
        <v>11</v>
      </c>
      <c r="T652" s="103">
        <v>316584</v>
      </c>
      <c r="U652" s="103">
        <v>8.3000000000000007</v>
      </c>
      <c r="V652" s="103" t="s">
        <v>5823</v>
      </c>
      <c r="W652" s="103" t="s">
        <v>310</v>
      </c>
    </row>
    <row r="653" spans="1:23" x14ac:dyDescent="0.45">
      <c r="A653" s="103">
        <f t="shared" si="37"/>
        <v>652</v>
      </c>
      <c r="B653" s="103" t="s">
        <v>6280</v>
      </c>
      <c r="C653" s="103" t="s">
        <v>5476</v>
      </c>
      <c r="D653" s="103" t="s">
        <v>330</v>
      </c>
      <c r="E653" s="103" t="s">
        <v>73</v>
      </c>
      <c r="F653" s="103" t="s">
        <v>72</v>
      </c>
      <c r="G653" s="103" t="s">
        <v>71</v>
      </c>
      <c r="H653" s="103" t="s">
        <v>6289</v>
      </c>
      <c r="I653" s="103" t="s">
        <v>106</v>
      </c>
      <c r="J653" s="103" t="s">
        <v>122</v>
      </c>
      <c r="K653" s="103" t="s">
        <v>288</v>
      </c>
      <c r="L653" s="103"/>
      <c r="M653" s="103"/>
      <c r="N653" s="103" t="s">
        <v>6280</v>
      </c>
      <c r="O653" s="103" t="s">
        <v>5581</v>
      </c>
      <c r="P653" s="103" t="s">
        <v>5857</v>
      </c>
      <c r="Q653" s="103"/>
      <c r="R653" s="103"/>
      <c r="S653" s="103" t="s">
        <v>5919</v>
      </c>
      <c r="T653" s="103">
        <v>316584</v>
      </c>
      <c r="U653" s="103" t="s">
        <v>5796</v>
      </c>
      <c r="V653" s="103" t="s">
        <v>5823</v>
      </c>
      <c r="W653" s="103" t="s">
        <v>310</v>
      </c>
    </row>
    <row r="654" spans="1:23" x14ac:dyDescent="0.45">
      <c r="A654" s="103">
        <f t="shared" ref="A654:A659" si="38">ROW()-1</f>
        <v>653</v>
      </c>
      <c r="B654" s="103" t="s">
        <v>6280</v>
      </c>
      <c r="C654" s="103" t="s">
        <v>6295</v>
      </c>
      <c r="D654" s="103"/>
      <c r="E654" s="103" t="s">
        <v>73</v>
      </c>
      <c r="F654" s="103" t="s">
        <v>72</v>
      </c>
      <c r="G654" s="103" t="s">
        <v>71</v>
      </c>
      <c r="H654" s="103" t="s">
        <v>6296</v>
      </c>
      <c r="I654" s="103" t="s">
        <v>198</v>
      </c>
      <c r="J654" s="103" t="s">
        <v>178</v>
      </c>
      <c r="K654" s="103" t="s">
        <v>6299</v>
      </c>
      <c r="L654" s="103">
        <v>7953664420</v>
      </c>
      <c r="M654" s="103"/>
      <c r="N654" s="103" t="s">
        <v>6280</v>
      </c>
      <c r="O654" s="103" t="s">
        <v>47</v>
      </c>
      <c r="P654" s="103" t="s">
        <v>6026</v>
      </c>
      <c r="Q654" s="103"/>
      <c r="R654" s="103"/>
      <c r="S654" s="103" t="s">
        <v>6026</v>
      </c>
      <c r="T654" s="103">
        <v>272804</v>
      </c>
      <c r="U654" s="103">
        <v>8.3000000000000007</v>
      </c>
      <c r="V654" s="103" t="s">
        <v>65</v>
      </c>
      <c r="W654" s="103" t="s">
        <v>310</v>
      </c>
    </row>
    <row r="655" spans="1:23" x14ac:dyDescent="0.45">
      <c r="A655" s="103">
        <f t="shared" si="38"/>
        <v>654</v>
      </c>
      <c r="B655" s="103" t="s">
        <v>6280</v>
      </c>
      <c r="C655" s="103" t="s">
        <v>6295</v>
      </c>
      <c r="D655" s="103"/>
      <c r="E655" s="103" t="s">
        <v>73</v>
      </c>
      <c r="F655" s="103" t="s">
        <v>72</v>
      </c>
      <c r="G655" s="103" t="s">
        <v>71</v>
      </c>
      <c r="H655" s="103" t="s">
        <v>6296</v>
      </c>
      <c r="I655" s="103" t="s">
        <v>198</v>
      </c>
      <c r="J655" s="103" t="s">
        <v>178</v>
      </c>
      <c r="K655" s="103" t="s">
        <v>6299</v>
      </c>
      <c r="L655" s="103">
        <v>7953664992</v>
      </c>
      <c r="M655" s="103"/>
      <c r="N655" s="103" t="s">
        <v>6280</v>
      </c>
      <c r="O655" s="103" t="s">
        <v>5580</v>
      </c>
      <c r="P655" s="103" t="s">
        <v>6026</v>
      </c>
      <c r="Q655" s="103"/>
      <c r="R655" s="103"/>
      <c r="S655" s="103" t="s">
        <v>6026</v>
      </c>
      <c r="T655" s="103">
        <v>272804</v>
      </c>
      <c r="U655" s="103">
        <v>8.3000000000000007</v>
      </c>
      <c r="V655" s="103" t="s">
        <v>65</v>
      </c>
      <c r="W655" s="103" t="s">
        <v>310</v>
      </c>
    </row>
    <row r="656" spans="1:23" x14ac:dyDescent="0.45">
      <c r="A656" s="103">
        <f t="shared" si="38"/>
        <v>655</v>
      </c>
      <c r="B656" s="103" t="s">
        <v>6280</v>
      </c>
      <c r="C656" s="103" t="s">
        <v>6295</v>
      </c>
      <c r="D656" s="103"/>
      <c r="E656" s="103" t="s">
        <v>73</v>
      </c>
      <c r="F656" s="103" t="s">
        <v>72</v>
      </c>
      <c r="G656" s="103" t="s">
        <v>71</v>
      </c>
      <c r="H656" s="103" t="s">
        <v>6296</v>
      </c>
      <c r="I656" s="103" t="s">
        <v>198</v>
      </c>
      <c r="J656" s="103" t="s">
        <v>122</v>
      </c>
      <c r="K656" s="103" t="s">
        <v>6298</v>
      </c>
      <c r="L656" s="103"/>
      <c r="M656" s="103"/>
      <c r="N656" s="103" t="s">
        <v>6280</v>
      </c>
      <c r="O656" s="103" t="s">
        <v>5813</v>
      </c>
      <c r="P656" s="103" t="s">
        <v>5857</v>
      </c>
      <c r="Q656" s="103"/>
      <c r="R656" s="103"/>
      <c r="S656" s="103" t="s">
        <v>5848</v>
      </c>
      <c r="T656" s="103">
        <v>272804</v>
      </c>
      <c r="U656" s="103">
        <v>8.1</v>
      </c>
      <c r="V656" s="103" t="s">
        <v>5823</v>
      </c>
      <c r="W656" s="103" t="s">
        <v>310</v>
      </c>
    </row>
    <row r="657" spans="1:23" x14ac:dyDescent="0.45">
      <c r="A657" s="103">
        <f t="shared" si="38"/>
        <v>656</v>
      </c>
      <c r="B657" s="103" t="s">
        <v>6280</v>
      </c>
      <c r="C657" s="103" t="s">
        <v>6295</v>
      </c>
      <c r="D657" s="103"/>
      <c r="E657" s="103" t="s">
        <v>73</v>
      </c>
      <c r="F657" s="103" t="s">
        <v>72</v>
      </c>
      <c r="G657" s="103" t="s">
        <v>71</v>
      </c>
      <c r="H657" s="103" t="s">
        <v>6296</v>
      </c>
      <c r="I657" s="103" t="s">
        <v>198</v>
      </c>
      <c r="J657" s="103" t="s">
        <v>122</v>
      </c>
      <c r="K657" s="103" t="s">
        <v>6298</v>
      </c>
      <c r="L657" s="103"/>
      <c r="M657" s="103"/>
      <c r="N657" s="103"/>
      <c r="O657" s="103" t="s">
        <v>5814</v>
      </c>
      <c r="P657" s="103" t="s">
        <v>6262</v>
      </c>
      <c r="Q657" s="103"/>
      <c r="R657" s="103"/>
      <c r="S657" s="103" t="s">
        <v>5854</v>
      </c>
      <c r="T657" s="103">
        <v>272804</v>
      </c>
      <c r="U657" s="103">
        <v>8.1</v>
      </c>
      <c r="V657" s="103" t="s">
        <v>5823</v>
      </c>
      <c r="W657" s="103" t="s">
        <v>310</v>
      </c>
    </row>
    <row r="658" spans="1:23" x14ac:dyDescent="0.45">
      <c r="A658" s="103">
        <f t="shared" si="38"/>
        <v>657</v>
      </c>
      <c r="B658" s="103" t="s">
        <v>6280</v>
      </c>
      <c r="C658" s="103" t="s">
        <v>6295</v>
      </c>
      <c r="D658" s="103"/>
      <c r="E658" s="103" t="s">
        <v>73</v>
      </c>
      <c r="F658" s="103" t="s">
        <v>72</v>
      </c>
      <c r="G658" s="103" t="s">
        <v>71</v>
      </c>
      <c r="H658" s="103" t="s">
        <v>6296</v>
      </c>
      <c r="I658" s="103" t="s">
        <v>198</v>
      </c>
      <c r="J658" s="103" t="s">
        <v>118</v>
      </c>
      <c r="K658" s="103" t="s">
        <v>131</v>
      </c>
      <c r="L658" s="103"/>
      <c r="M658" s="103"/>
      <c r="N658" s="103" t="s">
        <v>6280</v>
      </c>
      <c r="O658" s="103" t="s">
        <v>5812</v>
      </c>
      <c r="P658" s="103" t="s">
        <v>5855</v>
      </c>
      <c r="Q658" s="103"/>
      <c r="R658" s="103"/>
      <c r="S658" s="103" t="s">
        <v>5922</v>
      </c>
      <c r="T658" s="103">
        <v>272804</v>
      </c>
      <c r="U658" s="103">
        <v>8.1999999999999993</v>
      </c>
      <c r="V658" s="103" t="s">
        <v>5823</v>
      </c>
      <c r="W658" s="103" t="s">
        <v>310</v>
      </c>
    </row>
    <row r="659" spans="1:23" x14ac:dyDescent="0.45">
      <c r="A659" s="103">
        <f t="shared" si="38"/>
        <v>658</v>
      </c>
      <c r="B659" s="103" t="s">
        <v>6280</v>
      </c>
      <c r="C659" s="103" t="s">
        <v>6295</v>
      </c>
      <c r="D659" s="103"/>
      <c r="E659" s="103" t="s">
        <v>73</v>
      </c>
      <c r="F659" s="103" t="s">
        <v>72</v>
      </c>
      <c r="G659" s="103" t="s">
        <v>71</v>
      </c>
      <c r="H659" s="103" t="s">
        <v>6296</v>
      </c>
      <c r="I659" s="103" t="s">
        <v>198</v>
      </c>
      <c r="J659" s="103" t="s">
        <v>118</v>
      </c>
      <c r="K659" s="103" t="s">
        <v>131</v>
      </c>
      <c r="L659" s="103"/>
      <c r="M659" s="103"/>
      <c r="N659" s="103" t="s">
        <v>6280</v>
      </c>
      <c r="O659" s="103" t="s">
        <v>5581</v>
      </c>
      <c r="P659" s="103" t="s">
        <v>5857</v>
      </c>
      <c r="Q659" s="103"/>
      <c r="R659" s="103"/>
      <c r="S659" s="103" t="s">
        <v>5969</v>
      </c>
      <c r="T659" s="103">
        <v>272804</v>
      </c>
      <c r="U659" s="103">
        <v>8.1999999999999993</v>
      </c>
      <c r="V659" s="103" t="s">
        <v>5823</v>
      </c>
      <c r="W659" s="103" t="s">
        <v>310</v>
      </c>
    </row>
    <row r="660" spans="1:23" x14ac:dyDescent="0.45">
      <c r="A660" s="103">
        <f t="shared" ref="A660:A672" si="39">ROW()-1</f>
        <v>659</v>
      </c>
      <c r="B660" s="103" t="s">
        <v>6280</v>
      </c>
      <c r="C660" s="103" t="s">
        <v>1018</v>
      </c>
      <c r="D660" s="103" t="s">
        <v>330</v>
      </c>
      <c r="E660" s="103" t="s">
        <v>100</v>
      </c>
      <c r="F660" s="103" t="s">
        <v>72</v>
      </c>
      <c r="G660" s="103" t="s">
        <v>71</v>
      </c>
      <c r="H660" s="103" t="s">
        <v>6300</v>
      </c>
      <c r="I660" s="103" t="s">
        <v>143</v>
      </c>
      <c r="J660" s="103" t="s">
        <v>122</v>
      </c>
      <c r="K660" s="103" t="s">
        <v>5788</v>
      </c>
      <c r="L660" s="103" t="s">
        <v>6307</v>
      </c>
      <c r="M660" s="103"/>
      <c r="N660" s="103" t="s">
        <v>6280</v>
      </c>
      <c r="O660" s="103" t="s">
        <v>47</v>
      </c>
      <c r="P660" s="103">
        <v>15</v>
      </c>
      <c r="Q660" s="103"/>
      <c r="R660" s="103"/>
      <c r="S660" s="103">
        <v>15</v>
      </c>
      <c r="T660" s="103">
        <v>718821</v>
      </c>
      <c r="U660" s="103">
        <v>8.5</v>
      </c>
      <c r="V660" s="103" t="s">
        <v>65</v>
      </c>
      <c r="W660" s="103" t="s">
        <v>310</v>
      </c>
    </row>
    <row r="661" spans="1:23" x14ac:dyDescent="0.45">
      <c r="A661" s="103">
        <f t="shared" si="39"/>
        <v>660</v>
      </c>
      <c r="B661" s="103" t="s">
        <v>6280</v>
      </c>
      <c r="C661" s="103" t="s">
        <v>1018</v>
      </c>
      <c r="D661" s="103" t="s">
        <v>330</v>
      </c>
      <c r="E661" s="103" t="s">
        <v>100</v>
      </c>
      <c r="F661" s="103" t="s">
        <v>72</v>
      </c>
      <c r="G661" s="103" t="s">
        <v>71</v>
      </c>
      <c r="H661" s="103" t="s">
        <v>6300</v>
      </c>
      <c r="I661" s="103" t="s">
        <v>143</v>
      </c>
      <c r="J661" s="103" t="s">
        <v>122</v>
      </c>
      <c r="K661" s="103" t="s">
        <v>5788</v>
      </c>
      <c r="L661" s="103" t="s">
        <v>6308</v>
      </c>
      <c r="M661" s="103"/>
      <c r="N661" s="103" t="s">
        <v>6280</v>
      </c>
      <c r="O661" s="103" t="s">
        <v>5580</v>
      </c>
      <c r="P661" s="103">
        <v>15</v>
      </c>
      <c r="Q661" s="103"/>
      <c r="R661" s="103"/>
      <c r="S661" s="103">
        <v>15</v>
      </c>
      <c r="T661" s="103">
        <v>718821</v>
      </c>
      <c r="U661" s="103">
        <v>8.5</v>
      </c>
      <c r="V661" s="103" t="s">
        <v>65</v>
      </c>
      <c r="W661" s="103" t="s">
        <v>310</v>
      </c>
    </row>
    <row r="662" spans="1:23" x14ac:dyDescent="0.45">
      <c r="A662" s="103">
        <f t="shared" si="39"/>
        <v>661</v>
      </c>
      <c r="B662" s="103" t="s">
        <v>6280</v>
      </c>
      <c r="C662" s="103" t="s">
        <v>1018</v>
      </c>
      <c r="D662" s="103" t="s">
        <v>330</v>
      </c>
      <c r="E662" s="103" t="s">
        <v>100</v>
      </c>
      <c r="F662" s="103" t="s">
        <v>72</v>
      </c>
      <c r="G662" s="103" t="s">
        <v>71</v>
      </c>
      <c r="H662" s="103" t="s">
        <v>6300</v>
      </c>
      <c r="I662" s="103" t="s">
        <v>143</v>
      </c>
      <c r="J662" s="103" t="s">
        <v>122</v>
      </c>
      <c r="K662" s="103" t="s">
        <v>189</v>
      </c>
      <c r="L662" s="103" t="s">
        <v>6303</v>
      </c>
      <c r="M662" s="103"/>
      <c r="N662" s="103" t="s">
        <v>6280</v>
      </c>
      <c r="O662" s="103" t="s">
        <v>5812</v>
      </c>
      <c r="P662" s="103" t="s">
        <v>6094</v>
      </c>
      <c r="Q662" s="103"/>
      <c r="R662" s="103"/>
      <c r="S662" s="103" t="s">
        <v>6094</v>
      </c>
      <c r="T662" s="103">
        <v>718821</v>
      </c>
      <c r="U662" s="103">
        <v>8.5</v>
      </c>
      <c r="V662" s="103" t="s">
        <v>65</v>
      </c>
      <c r="W662" s="103" t="s">
        <v>310</v>
      </c>
    </row>
    <row r="663" spans="1:23" x14ac:dyDescent="0.45">
      <c r="A663" s="103">
        <f t="shared" si="39"/>
        <v>662</v>
      </c>
      <c r="B663" s="103" t="s">
        <v>6280</v>
      </c>
      <c r="C663" s="103" t="s">
        <v>1018</v>
      </c>
      <c r="D663" s="103" t="s">
        <v>330</v>
      </c>
      <c r="E663" s="103" t="s">
        <v>100</v>
      </c>
      <c r="F663" s="103" t="s">
        <v>72</v>
      </c>
      <c r="G663" s="103" t="s">
        <v>71</v>
      </c>
      <c r="H663" s="103" t="s">
        <v>6300</v>
      </c>
      <c r="I663" s="103"/>
      <c r="J663" s="103" t="s">
        <v>122</v>
      </c>
      <c r="K663" s="103" t="s">
        <v>189</v>
      </c>
      <c r="L663" s="103" t="s">
        <v>6304</v>
      </c>
      <c r="M663" s="103"/>
      <c r="N663" s="103" t="s">
        <v>6280</v>
      </c>
      <c r="O663" s="103" t="s">
        <v>5581</v>
      </c>
      <c r="P663" s="103" t="s">
        <v>6094</v>
      </c>
      <c r="Q663" s="103"/>
      <c r="R663" s="103"/>
      <c r="S663" s="103" t="s">
        <v>6094</v>
      </c>
      <c r="T663" s="103">
        <v>718821</v>
      </c>
      <c r="U663" s="103">
        <v>8.5</v>
      </c>
      <c r="V663" s="103" t="s">
        <v>65</v>
      </c>
      <c r="W663" s="103" t="s">
        <v>310</v>
      </c>
    </row>
    <row r="664" spans="1:23" x14ac:dyDescent="0.45">
      <c r="A664" s="103">
        <f t="shared" si="39"/>
        <v>663</v>
      </c>
      <c r="B664" s="103" t="s">
        <v>6280</v>
      </c>
      <c r="C664" s="103" t="s">
        <v>1018</v>
      </c>
      <c r="D664" s="103" t="s">
        <v>330</v>
      </c>
      <c r="E664" s="103" t="s">
        <v>100</v>
      </c>
      <c r="F664" s="103" t="s">
        <v>72</v>
      </c>
      <c r="G664" s="103" t="s">
        <v>71</v>
      </c>
      <c r="H664" s="103" t="s">
        <v>6300</v>
      </c>
      <c r="I664" s="103" t="s">
        <v>143</v>
      </c>
      <c r="J664" s="103" t="s">
        <v>122</v>
      </c>
      <c r="K664" s="103" t="s">
        <v>189</v>
      </c>
      <c r="L664" s="103" t="s">
        <v>6305</v>
      </c>
      <c r="M664" s="103"/>
      <c r="N664" s="103" t="s">
        <v>6280</v>
      </c>
      <c r="O664" s="103" t="s">
        <v>5813</v>
      </c>
      <c r="P664" s="103" t="s">
        <v>6094</v>
      </c>
      <c r="Q664" s="103"/>
      <c r="R664" s="103"/>
      <c r="S664" s="103" t="s">
        <v>6094</v>
      </c>
      <c r="T664" s="103">
        <v>718821</v>
      </c>
      <c r="U664" s="103">
        <v>8.5</v>
      </c>
      <c r="V664" s="103" t="s">
        <v>65</v>
      </c>
      <c r="W664" s="103" t="s">
        <v>310</v>
      </c>
    </row>
    <row r="665" spans="1:23" x14ac:dyDescent="0.45">
      <c r="A665" s="103">
        <f t="shared" si="39"/>
        <v>664</v>
      </c>
      <c r="B665" s="103" t="s">
        <v>6280</v>
      </c>
      <c r="C665" s="103" t="s">
        <v>1018</v>
      </c>
      <c r="D665" s="103" t="s">
        <v>330</v>
      </c>
      <c r="E665" s="103" t="s">
        <v>100</v>
      </c>
      <c r="F665" s="103" t="s">
        <v>72</v>
      </c>
      <c r="G665" s="103" t="s">
        <v>71</v>
      </c>
      <c r="H665" s="103" t="s">
        <v>6300</v>
      </c>
      <c r="I665" s="103" t="s">
        <v>143</v>
      </c>
      <c r="J665" s="103" t="s">
        <v>122</v>
      </c>
      <c r="K665" s="103" t="s">
        <v>189</v>
      </c>
      <c r="L665" s="103" t="s">
        <v>6306</v>
      </c>
      <c r="M665" s="103"/>
      <c r="N665" s="103"/>
      <c r="O665" s="103" t="s">
        <v>5814</v>
      </c>
      <c r="P665" s="103" t="s">
        <v>6094</v>
      </c>
      <c r="Q665" s="103"/>
      <c r="R665" s="103"/>
      <c r="S665" s="103" t="s">
        <v>6094</v>
      </c>
      <c r="T665" s="103">
        <v>718821</v>
      </c>
      <c r="U665" s="103">
        <v>8.5</v>
      </c>
      <c r="V665" s="103" t="s">
        <v>65</v>
      </c>
      <c r="W665" s="103" t="s">
        <v>310</v>
      </c>
    </row>
    <row r="666" spans="1:23" x14ac:dyDescent="0.45">
      <c r="A666" s="103">
        <f t="shared" si="39"/>
        <v>665</v>
      </c>
      <c r="B666" s="103" t="s">
        <v>6280</v>
      </c>
      <c r="C666" s="103" t="s">
        <v>1018</v>
      </c>
      <c r="D666" s="103" t="s">
        <v>330</v>
      </c>
      <c r="E666" s="103" t="s">
        <v>100</v>
      </c>
      <c r="F666" s="103" t="s">
        <v>72</v>
      </c>
      <c r="G666" s="103" t="s">
        <v>71</v>
      </c>
      <c r="H666" s="103" t="s">
        <v>6300</v>
      </c>
      <c r="I666" s="103"/>
      <c r="J666" s="103"/>
      <c r="K666" s="103"/>
      <c r="L666" s="103"/>
      <c r="M666" s="103"/>
      <c r="N666" s="103" t="s">
        <v>6280</v>
      </c>
      <c r="O666" s="103" t="s">
        <v>5819</v>
      </c>
      <c r="P666" s="103"/>
      <c r="Q666" s="103"/>
      <c r="R666" s="103"/>
      <c r="S666" s="103"/>
      <c r="T666" s="103">
        <v>718821</v>
      </c>
      <c r="U666" s="103"/>
      <c r="V666" s="103" t="s">
        <v>65</v>
      </c>
      <c r="W666" s="103" t="s">
        <v>310</v>
      </c>
    </row>
    <row r="667" spans="1:23" x14ac:dyDescent="0.45">
      <c r="A667" s="103">
        <f t="shared" si="39"/>
        <v>666</v>
      </c>
      <c r="B667" s="103" t="s">
        <v>6280</v>
      </c>
      <c r="C667" s="103" t="s">
        <v>2194</v>
      </c>
      <c r="D667" s="103" t="s">
        <v>330</v>
      </c>
      <c r="E667" s="103" t="s">
        <v>73</v>
      </c>
      <c r="F667" s="103" t="s">
        <v>72</v>
      </c>
      <c r="G667" s="103" t="s">
        <v>71</v>
      </c>
      <c r="H667" s="103" t="s">
        <v>6309</v>
      </c>
      <c r="I667" s="103" t="s">
        <v>191</v>
      </c>
      <c r="J667" s="103" t="s">
        <v>122</v>
      </c>
      <c r="K667" s="103" t="s">
        <v>192</v>
      </c>
      <c r="L667" s="103" t="s">
        <v>6314</v>
      </c>
      <c r="M667" s="103"/>
      <c r="N667" s="103" t="s">
        <v>6280</v>
      </c>
      <c r="O667" s="103" t="s">
        <v>47</v>
      </c>
      <c r="P667" s="103">
        <v>13</v>
      </c>
      <c r="Q667" s="103"/>
      <c r="R667" s="103"/>
      <c r="S667" s="103">
        <v>13</v>
      </c>
      <c r="T667" s="103">
        <v>628328</v>
      </c>
      <c r="U667" s="103">
        <v>8.5</v>
      </c>
      <c r="V667" s="103" t="s">
        <v>65</v>
      </c>
      <c r="W667" s="103" t="s">
        <v>310</v>
      </c>
    </row>
    <row r="668" spans="1:23" x14ac:dyDescent="0.45">
      <c r="A668" s="103">
        <f t="shared" si="39"/>
        <v>667</v>
      </c>
      <c r="B668" s="103" t="s">
        <v>6280</v>
      </c>
      <c r="C668" s="103" t="s">
        <v>2194</v>
      </c>
      <c r="D668" s="103" t="s">
        <v>330</v>
      </c>
      <c r="E668" s="103" t="s">
        <v>73</v>
      </c>
      <c r="F668" s="103" t="s">
        <v>72</v>
      </c>
      <c r="G668" s="103" t="s">
        <v>71</v>
      </c>
      <c r="H668" s="103" t="s">
        <v>6309</v>
      </c>
      <c r="I668" s="103" t="s">
        <v>191</v>
      </c>
      <c r="J668" s="103" t="s">
        <v>122</v>
      </c>
      <c r="K668" s="103" t="s">
        <v>192</v>
      </c>
      <c r="L668" s="103" t="s">
        <v>6315</v>
      </c>
      <c r="M668" s="103"/>
      <c r="N668" s="103" t="s">
        <v>6280</v>
      </c>
      <c r="O668" s="103" t="s">
        <v>5580</v>
      </c>
      <c r="P668" s="103">
        <v>13</v>
      </c>
      <c r="Q668" s="103"/>
      <c r="R668" s="103"/>
      <c r="S668" s="103">
        <v>13</v>
      </c>
      <c r="T668" s="103">
        <v>628328</v>
      </c>
      <c r="U668" s="103">
        <v>8.5</v>
      </c>
      <c r="V668" s="103" t="s">
        <v>65</v>
      </c>
      <c r="W668" s="103" t="s">
        <v>310</v>
      </c>
    </row>
    <row r="669" spans="1:23" x14ac:dyDescent="0.45">
      <c r="A669" s="103">
        <f t="shared" si="39"/>
        <v>668</v>
      </c>
      <c r="B669" s="103" t="s">
        <v>6280</v>
      </c>
      <c r="C669" s="103" t="s">
        <v>2194</v>
      </c>
      <c r="D669" s="103" t="s">
        <v>330</v>
      </c>
      <c r="E669" s="103" t="s">
        <v>73</v>
      </c>
      <c r="F669" s="103" t="s">
        <v>72</v>
      </c>
      <c r="G669" s="103" t="s">
        <v>71</v>
      </c>
      <c r="H669" s="103" t="s">
        <v>6309</v>
      </c>
      <c r="I669" s="103" t="s">
        <v>191</v>
      </c>
      <c r="J669" s="103" t="s">
        <v>122</v>
      </c>
      <c r="K669" s="103" t="s">
        <v>192</v>
      </c>
      <c r="L669" s="103" t="s">
        <v>6316</v>
      </c>
      <c r="M669" s="103"/>
      <c r="N669" s="103" t="s">
        <v>6280</v>
      </c>
      <c r="O669" s="103" t="s">
        <v>5812</v>
      </c>
      <c r="P669" s="103">
        <v>13</v>
      </c>
      <c r="Q669" s="103"/>
      <c r="R669" s="103"/>
      <c r="S669" s="103">
        <v>13</v>
      </c>
      <c r="T669" s="103">
        <v>628328</v>
      </c>
      <c r="U669" s="103">
        <v>8.5</v>
      </c>
      <c r="V669" s="103" t="s">
        <v>65</v>
      </c>
      <c r="W669" s="103" t="s">
        <v>310</v>
      </c>
    </row>
    <row r="670" spans="1:23" x14ac:dyDescent="0.45">
      <c r="A670" s="103">
        <f t="shared" si="39"/>
        <v>669</v>
      </c>
      <c r="B670" s="103" t="s">
        <v>6280</v>
      </c>
      <c r="C670" s="103" t="s">
        <v>2194</v>
      </c>
      <c r="D670" s="103" t="s">
        <v>330</v>
      </c>
      <c r="E670" s="103" t="s">
        <v>73</v>
      </c>
      <c r="F670" s="103" t="s">
        <v>72</v>
      </c>
      <c r="G670" s="103" t="s">
        <v>71</v>
      </c>
      <c r="H670" s="103" t="s">
        <v>6309</v>
      </c>
      <c r="I670" s="103"/>
      <c r="J670" s="103" t="s">
        <v>122</v>
      </c>
      <c r="K670" s="103" t="s">
        <v>192</v>
      </c>
      <c r="L670" s="103" t="s">
        <v>6317</v>
      </c>
      <c r="M670" s="103"/>
      <c r="N670" s="103" t="s">
        <v>6280</v>
      </c>
      <c r="O670" s="103" t="s">
        <v>5581</v>
      </c>
      <c r="P670" s="103">
        <v>13</v>
      </c>
      <c r="Q670" s="103"/>
      <c r="R670" s="103"/>
      <c r="S670" s="103">
        <v>13</v>
      </c>
      <c r="T670" s="103">
        <v>628328</v>
      </c>
      <c r="U670" s="103">
        <v>8.5</v>
      </c>
      <c r="V670" s="103" t="s">
        <v>65</v>
      </c>
      <c r="W670" s="103" t="s">
        <v>310</v>
      </c>
    </row>
    <row r="671" spans="1:23" x14ac:dyDescent="0.45">
      <c r="A671" s="103">
        <f t="shared" si="39"/>
        <v>670</v>
      </c>
      <c r="B671" s="103" t="s">
        <v>6280</v>
      </c>
      <c r="C671" s="103" t="s">
        <v>2194</v>
      </c>
      <c r="D671" s="103" t="s">
        <v>330</v>
      </c>
      <c r="E671" s="103" t="s">
        <v>73</v>
      </c>
      <c r="F671" s="103" t="s">
        <v>72</v>
      </c>
      <c r="G671" s="103" t="s">
        <v>71</v>
      </c>
      <c r="H671" s="103" t="s">
        <v>6309</v>
      </c>
      <c r="I671" s="103" t="s">
        <v>191</v>
      </c>
      <c r="J671" s="103" t="s">
        <v>122</v>
      </c>
      <c r="K671" s="103" t="s">
        <v>192</v>
      </c>
      <c r="L671" s="103"/>
      <c r="M671" s="103"/>
      <c r="N671" s="103" t="s">
        <v>6280</v>
      </c>
      <c r="O671" s="103" t="s">
        <v>5813</v>
      </c>
      <c r="P671" s="103" t="s">
        <v>5789</v>
      </c>
      <c r="Q671" s="103"/>
      <c r="R671" s="103"/>
      <c r="S671" s="103" t="s">
        <v>5918</v>
      </c>
      <c r="T671" s="103">
        <v>628328</v>
      </c>
      <c r="U671" s="103" t="s">
        <v>5796</v>
      </c>
      <c r="V671" s="103" t="s">
        <v>5823</v>
      </c>
      <c r="W671" s="103" t="s">
        <v>310</v>
      </c>
    </row>
    <row r="672" spans="1:23" x14ac:dyDescent="0.45">
      <c r="A672" s="103">
        <f t="shared" si="39"/>
        <v>671</v>
      </c>
      <c r="B672" s="103" t="s">
        <v>6280</v>
      </c>
      <c r="C672" s="103" t="s">
        <v>2194</v>
      </c>
      <c r="D672" s="103" t="s">
        <v>330</v>
      </c>
      <c r="E672" s="103" t="s">
        <v>73</v>
      </c>
      <c r="F672" s="103" t="s">
        <v>72</v>
      </c>
      <c r="G672" s="103" t="s">
        <v>71</v>
      </c>
      <c r="H672" s="103" t="s">
        <v>6309</v>
      </c>
      <c r="I672" s="103" t="s">
        <v>191</v>
      </c>
      <c r="J672" s="103" t="s">
        <v>217</v>
      </c>
      <c r="K672" s="103" t="s">
        <v>6312</v>
      </c>
      <c r="L672" s="103"/>
      <c r="M672" s="103"/>
      <c r="N672" s="103" t="s">
        <v>6280</v>
      </c>
      <c r="O672" s="103" t="s">
        <v>5814</v>
      </c>
      <c r="P672" s="103" t="s">
        <v>5791</v>
      </c>
      <c r="Q672" s="103"/>
      <c r="R672" s="103"/>
      <c r="S672" s="103" t="s">
        <v>6313</v>
      </c>
      <c r="T672" s="103">
        <v>628328</v>
      </c>
      <c r="U672" s="103">
        <v>8.1999999999999993</v>
      </c>
      <c r="V672" s="103" t="s">
        <v>5823</v>
      </c>
      <c r="W672" s="103" t="s">
        <v>310</v>
      </c>
    </row>
    <row r="673" spans="1:23" x14ac:dyDescent="0.45">
      <c r="A673" s="103">
        <f t="shared" ref="A673:A679" si="40">ROW()-1</f>
        <v>672</v>
      </c>
      <c r="B673" s="103" t="s">
        <v>6280</v>
      </c>
      <c r="C673" s="103" t="s">
        <v>6318</v>
      </c>
      <c r="D673" s="103"/>
      <c r="E673" s="103" t="s">
        <v>100</v>
      </c>
      <c r="F673" s="103" t="s">
        <v>72</v>
      </c>
      <c r="G673" s="103" t="s">
        <v>88</v>
      </c>
      <c r="H673" s="103" t="s">
        <v>6319</v>
      </c>
      <c r="I673" s="103" t="s">
        <v>143</v>
      </c>
      <c r="J673" s="103" t="s">
        <v>122</v>
      </c>
      <c r="K673" s="103" t="s">
        <v>5788</v>
      </c>
      <c r="L673" s="103" t="s">
        <v>6326</v>
      </c>
      <c r="M673" s="103"/>
      <c r="N673" s="103" t="s">
        <v>6280</v>
      </c>
      <c r="O673" s="103" t="s">
        <v>47</v>
      </c>
      <c r="P673" s="103">
        <v>15</v>
      </c>
      <c r="Q673" s="103"/>
      <c r="R673" s="103"/>
      <c r="S673" s="103">
        <v>15</v>
      </c>
      <c r="T673" s="103">
        <v>840466</v>
      </c>
      <c r="U673" s="103">
        <v>8.5</v>
      </c>
      <c r="V673" s="103" t="s">
        <v>65</v>
      </c>
      <c r="W673" s="103" t="s">
        <v>310</v>
      </c>
    </row>
    <row r="674" spans="1:23" x14ac:dyDescent="0.45">
      <c r="A674" s="103">
        <f t="shared" si="40"/>
        <v>673</v>
      </c>
      <c r="B674" s="103" t="s">
        <v>6280</v>
      </c>
      <c r="C674" s="103" t="s">
        <v>6318</v>
      </c>
      <c r="D674" s="103"/>
      <c r="E674" s="103" t="s">
        <v>100</v>
      </c>
      <c r="F674" s="103" t="s">
        <v>72</v>
      </c>
      <c r="G674" s="103" t="s">
        <v>88</v>
      </c>
      <c r="H674" s="103" t="s">
        <v>6319</v>
      </c>
      <c r="I674" s="103" t="s">
        <v>143</v>
      </c>
      <c r="J674" s="103" t="s">
        <v>122</v>
      </c>
      <c r="K674" s="103" t="s">
        <v>5788</v>
      </c>
      <c r="L674" s="103" t="s">
        <v>6327</v>
      </c>
      <c r="M674" s="103"/>
      <c r="N674" s="103" t="s">
        <v>6280</v>
      </c>
      <c r="O674" s="103" t="s">
        <v>5580</v>
      </c>
      <c r="P674" s="103">
        <v>15</v>
      </c>
      <c r="Q674" s="103"/>
      <c r="R674" s="103"/>
      <c r="S674" s="103">
        <v>15</v>
      </c>
      <c r="T674" s="103">
        <v>840466</v>
      </c>
      <c r="U674" s="103">
        <v>8.5</v>
      </c>
      <c r="V674" s="103" t="s">
        <v>65</v>
      </c>
      <c r="W674" s="103" t="s">
        <v>310</v>
      </c>
    </row>
    <row r="675" spans="1:23" x14ac:dyDescent="0.45">
      <c r="A675" s="103">
        <f t="shared" si="40"/>
        <v>674</v>
      </c>
      <c r="B675" s="103" t="s">
        <v>6280</v>
      </c>
      <c r="C675" s="103" t="s">
        <v>6318</v>
      </c>
      <c r="D675" s="103"/>
      <c r="E675" s="103" t="s">
        <v>100</v>
      </c>
      <c r="F675" s="103" t="s">
        <v>72</v>
      </c>
      <c r="G675" s="103" t="s">
        <v>88</v>
      </c>
      <c r="H675" s="103" t="s">
        <v>6319</v>
      </c>
      <c r="I675" s="103" t="s">
        <v>143</v>
      </c>
      <c r="J675" s="103" t="s">
        <v>122</v>
      </c>
      <c r="K675" s="103" t="s">
        <v>189</v>
      </c>
      <c r="L675" s="103" t="s">
        <v>6322</v>
      </c>
      <c r="M675" s="103"/>
      <c r="N675" s="103" t="s">
        <v>6280</v>
      </c>
      <c r="O675" s="103" t="s">
        <v>5812</v>
      </c>
      <c r="P675" s="103" t="s">
        <v>6094</v>
      </c>
      <c r="Q675" s="103"/>
      <c r="R675" s="103"/>
      <c r="S675" s="103" t="s">
        <v>6094</v>
      </c>
      <c r="T675" s="103">
        <v>840466</v>
      </c>
      <c r="U675" s="103">
        <v>8.5</v>
      </c>
      <c r="V675" s="103" t="s">
        <v>65</v>
      </c>
      <c r="W675" s="103" t="s">
        <v>310</v>
      </c>
    </row>
    <row r="676" spans="1:23" x14ac:dyDescent="0.45">
      <c r="A676" s="103">
        <f t="shared" si="40"/>
        <v>675</v>
      </c>
      <c r="B676" s="103" t="s">
        <v>6280</v>
      </c>
      <c r="C676" s="103" t="s">
        <v>6318</v>
      </c>
      <c r="D676" s="103"/>
      <c r="E676" s="103" t="s">
        <v>100</v>
      </c>
      <c r="F676" s="103" t="s">
        <v>72</v>
      </c>
      <c r="G676" s="103" t="s">
        <v>88</v>
      </c>
      <c r="H676" s="103" t="s">
        <v>6319</v>
      </c>
      <c r="I676" s="103"/>
      <c r="J676" s="103" t="s">
        <v>122</v>
      </c>
      <c r="K676" s="103" t="s">
        <v>189</v>
      </c>
      <c r="L676" s="103" t="s">
        <v>6323</v>
      </c>
      <c r="M676" s="103"/>
      <c r="N676" s="103" t="s">
        <v>6280</v>
      </c>
      <c r="O676" s="103" t="s">
        <v>5581</v>
      </c>
      <c r="P676" s="103" t="s">
        <v>6094</v>
      </c>
      <c r="Q676" s="103"/>
      <c r="R676" s="103"/>
      <c r="S676" s="103" t="s">
        <v>6094</v>
      </c>
      <c r="T676" s="103">
        <v>840466</v>
      </c>
      <c r="U676" s="103">
        <v>8.5</v>
      </c>
      <c r="V676" s="103" t="s">
        <v>65</v>
      </c>
      <c r="W676" s="103" t="s">
        <v>310</v>
      </c>
    </row>
    <row r="677" spans="1:23" x14ac:dyDescent="0.45">
      <c r="A677" s="103">
        <f t="shared" si="40"/>
        <v>676</v>
      </c>
      <c r="B677" s="103" t="s">
        <v>6280</v>
      </c>
      <c r="C677" s="103" t="s">
        <v>6318</v>
      </c>
      <c r="D677" s="103"/>
      <c r="E677" s="103" t="s">
        <v>100</v>
      </c>
      <c r="F677" s="103" t="s">
        <v>72</v>
      </c>
      <c r="G677" s="103" t="s">
        <v>88</v>
      </c>
      <c r="H677" s="103" t="s">
        <v>6319</v>
      </c>
      <c r="I677" s="103" t="s">
        <v>143</v>
      </c>
      <c r="J677" s="103" t="s">
        <v>122</v>
      </c>
      <c r="K677" s="103" t="s">
        <v>189</v>
      </c>
      <c r="L677" s="103" t="s">
        <v>6324</v>
      </c>
      <c r="M677" s="103"/>
      <c r="N677" s="103" t="s">
        <v>6280</v>
      </c>
      <c r="O677" s="103" t="s">
        <v>5813</v>
      </c>
      <c r="P677" s="103" t="s">
        <v>6094</v>
      </c>
      <c r="Q677" s="103"/>
      <c r="R677" s="103"/>
      <c r="S677" s="103" t="s">
        <v>6094</v>
      </c>
      <c r="T677" s="103">
        <v>840466</v>
      </c>
      <c r="U677" s="103">
        <v>8.5</v>
      </c>
      <c r="V677" s="103" t="s">
        <v>65</v>
      </c>
      <c r="W677" s="103" t="s">
        <v>310</v>
      </c>
    </row>
    <row r="678" spans="1:23" x14ac:dyDescent="0.45">
      <c r="A678" s="103">
        <f t="shared" si="40"/>
        <v>677</v>
      </c>
      <c r="B678" s="103" t="s">
        <v>6280</v>
      </c>
      <c r="C678" s="103" t="s">
        <v>6318</v>
      </c>
      <c r="D678" s="103"/>
      <c r="E678" s="103" t="s">
        <v>100</v>
      </c>
      <c r="F678" s="103" t="s">
        <v>72</v>
      </c>
      <c r="G678" s="103" t="s">
        <v>88</v>
      </c>
      <c r="H678" s="103" t="s">
        <v>6319</v>
      </c>
      <c r="I678" s="103" t="s">
        <v>143</v>
      </c>
      <c r="J678" s="103" t="s">
        <v>122</v>
      </c>
      <c r="K678" s="103" t="s">
        <v>189</v>
      </c>
      <c r="L678" s="103" t="s">
        <v>6325</v>
      </c>
      <c r="M678" s="103"/>
      <c r="N678" s="103"/>
      <c r="O678" s="103" t="s">
        <v>5814</v>
      </c>
      <c r="P678" s="103" t="s">
        <v>6094</v>
      </c>
      <c r="Q678" s="103"/>
      <c r="R678" s="103"/>
      <c r="S678" s="103" t="s">
        <v>6094</v>
      </c>
      <c r="T678" s="103">
        <v>840466</v>
      </c>
      <c r="U678" s="103">
        <v>8.5</v>
      </c>
      <c r="V678" s="103" t="s">
        <v>65</v>
      </c>
      <c r="W678" s="103" t="s">
        <v>310</v>
      </c>
    </row>
    <row r="679" spans="1:23" x14ac:dyDescent="0.45">
      <c r="A679" s="103">
        <f t="shared" si="40"/>
        <v>678</v>
      </c>
      <c r="B679" s="103" t="s">
        <v>6280</v>
      </c>
      <c r="C679" s="103" t="s">
        <v>6318</v>
      </c>
      <c r="D679" s="103"/>
      <c r="E679" s="103" t="s">
        <v>100</v>
      </c>
      <c r="F679" s="103" t="s">
        <v>72</v>
      </c>
      <c r="G679" s="103" t="s">
        <v>88</v>
      </c>
      <c r="H679" s="103" t="s">
        <v>6319</v>
      </c>
      <c r="I679" s="103"/>
      <c r="J679" s="103"/>
      <c r="K679" s="103"/>
      <c r="L679" s="103"/>
      <c r="M679" s="103"/>
      <c r="N679" s="103" t="s">
        <v>6280</v>
      </c>
      <c r="O679" s="103" t="s">
        <v>5819</v>
      </c>
      <c r="P679" s="103"/>
      <c r="Q679" s="103"/>
      <c r="R679" s="103"/>
      <c r="S679" s="103"/>
      <c r="T679" s="103">
        <v>840466</v>
      </c>
      <c r="U679" s="103"/>
      <c r="V679" s="103" t="s">
        <v>65</v>
      </c>
      <c r="W679" s="103" t="s">
        <v>310</v>
      </c>
    </row>
    <row r="680" spans="1:23" x14ac:dyDescent="0.45">
      <c r="A680" s="103">
        <f t="shared" ref="A680:A718" si="41">ROW()-1</f>
        <v>679</v>
      </c>
      <c r="B680" s="103" t="s">
        <v>6280</v>
      </c>
      <c r="C680" s="103" t="s">
        <v>1812</v>
      </c>
      <c r="D680" s="103" t="s">
        <v>632</v>
      </c>
      <c r="E680" s="103" t="s">
        <v>70</v>
      </c>
      <c r="F680" s="103" t="s">
        <v>72</v>
      </c>
      <c r="G680" s="103" t="s">
        <v>71</v>
      </c>
      <c r="H680" s="103" t="s">
        <v>6328</v>
      </c>
      <c r="I680" s="103" t="s">
        <v>134</v>
      </c>
      <c r="J680" s="103" t="s">
        <v>122</v>
      </c>
      <c r="K680" s="103" t="s">
        <v>186</v>
      </c>
      <c r="L680" s="103" t="s">
        <v>6331</v>
      </c>
      <c r="M680" s="103"/>
      <c r="N680" s="103" t="s">
        <v>6280</v>
      </c>
      <c r="O680" s="103" t="s">
        <v>47</v>
      </c>
      <c r="P680" s="103" t="s">
        <v>5806</v>
      </c>
      <c r="Q680" s="103"/>
      <c r="R680" s="103"/>
      <c r="S680" s="103" t="s">
        <v>5806</v>
      </c>
      <c r="T680" s="103">
        <v>197965</v>
      </c>
      <c r="U680" s="103">
        <v>8.5</v>
      </c>
      <c r="V680" s="103" t="s">
        <v>65</v>
      </c>
      <c r="W680" s="103" t="s">
        <v>310</v>
      </c>
    </row>
    <row r="681" spans="1:23" x14ac:dyDescent="0.45">
      <c r="A681" s="103">
        <f t="shared" si="41"/>
        <v>680</v>
      </c>
      <c r="B681" s="103" t="s">
        <v>6280</v>
      </c>
      <c r="C681" s="103" t="s">
        <v>1812</v>
      </c>
      <c r="D681" s="103" t="s">
        <v>632</v>
      </c>
      <c r="E681" s="103" t="s">
        <v>70</v>
      </c>
      <c r="F681" s="103" t="s">
        <v>72</v>
      </c>
      <c r="G681" s="103" t="s">
        <v>71</v>
      </c>
      <c r="H681" s="103" t="s">
        <v>6328</v>
      </c>
      <c r="I681" s="103" t="s">
        <v>134</v>
      </c>
      <c r="J681" s="103" t="s">
        <v>122</v>
      </c>
      <c r="K681" s="103" t="s">
        <v>186</v>
      </c>
      <c r="L681" s="103" t="s">
        <v>6332</v>
      </c>
      <c r="M681" s="103"/>
      <c r="N681" s="103" t="s">
        <v>6280</v>
      </c>
      <c r="O681" s="103" t="s">
        <v>5580</v>
      </c>
      <c r="P681" s="103" t="s">
        <v>5806</v>
      </c>
      <c r="Q681" s="103"/>
      <c r="R681" s="103"/>
      <c r="S681" s="103" t="s">
        <v>5806</v>
      </c>
      <c r="T681" s="103">
        <v>197965</v>
      </c>
      <c r="U681" s="103">
        <v>8.5</v>
      </c>
      <c r="V681" s="103" t="s">
        <v>65</v>
      </c>
      <c r="W681" s="103" t="s">
        <v>310</v>
      </c>
    </row>
    <row r="682" spans="1:23" x14ac:dyDescent="0.45">
      <c r="A682" s="103">
        <f t="shared" si="41"/>
        <v>681</v>
      </c>
      <c r="B682" s="103" t="s">
        <v>6280</v>
      </c>
      <c r="C682" s="103" t="s">
        <v>1812</v>
      </c>
      <c r="D682" s="103" t="s">
        <v>632</v>
      </c>
      <c r="E682" s="103" t="s">
        <v>70</v>
      </c>
      <c r="F682" s="103" t="s">
        <v>72</v>
      </c>
      <c r="G682" s="103" t="s">
        <v>71</v>
      </c>
      <c r="H682" s="103" t="s">
        <v>6328</v>
      </c>
      <c r="I682" s="103" t="s">
        <v>134</v>
      </c>
      <c r="J682" s="103" t="s">
        <v>164</v>
      </c>
      <c r="K682" s="103" t="s">
        <v>166</v>
      </c>
      <c r="L682" s="103"/>
      <c r="M682" s="103"/>
      <c r="N682" s="103" t="s">
        <v>6280</v>
      </c>
      <c r="O682" s="103" t="s">
        <v>5812</v>
      </c>
      <c r="P682" s="103" t="s">
        <v>5842</v>
      </c>
      <c r="Q682" s="103"/>
      <c r="R682" s="103"/>
      <c r="S682" s="103" t="s">
        <v>6011</v>
      </c>
      <c r="T682" s="103">
        <v>197965</v>
      </c>
      <c r="U682" s="103">
        <v>8.5</v>
      </c>
      <c r="V682" s="103" t="s">
        <v>5823</v>
      </c>
      <c r="W682" s="103" t="s">
        <v>310</v>
      </c>
    </row>
    <row r="683" spans="1:23" x14ac:dyDescent="0.45">
      <c r="A683" s="103">
        <f t="shared" si="41"/>
        <v>682</v>
      </c>
      <c r="B683" s="103" t="s">
        <v>6280</v>
      </c>
      <c r="C683" s="103" t="s">
        <v>1812</v>
      </c>
      <c r="D683" s="103" t="s">
        <v>632</v>
      </c>
      <c r="E683" s="103" t="s">
        <v>70</v>
      </c>
      <c r="F683" s="103" t="s">
        <v>72</v>
      </c>
      <c r="G683" s="103" t="s">
        <v>71</v>
      </c>
      <c r="H683" s="103" t="s">
        <v>6328</v>
      </c>
      <c r="I683" s="103" t="s">
        <v>134</v>
      </c>
      <c r="J683" s="103" t="s">
        <v>164</v>
      </c>
      <c r="K683" s="103" t="s">
        <v>166</v>
      </c>
      <c r="L683" s="103"/>
      <c r="M683" s="103"/>
      <c r="N683" s="103" t="s">
        <v>6280</v>
      </c>
      <c r="O683" s="103" t="s">
        <v>5581</v>
      </c>
      <c r="P683" s="103" t="s">
        <v>6330</v>
      </c>
      <c r="Q683" s="103"/>
      <c r="R683" s="103"/>
      <c r="S683" s="103">
        <v>5</v>
      </c>
      <c r="T683" s="103">
        <v>197965</v>
      </c>
      <c r="U683" s="103" t="s">
        <v>5796</v>
      </c>
      <c r="V683" s="103" t="s">
        <v>5823</v>
      </c>
      <c r="W683" s="103" t="s">
        <v>310</v>
      </c>
    </row>
    <row r="684" spans="1:23" x14ac:dyDescent="0.45">
      <c r="A684" s="103">
        <f t="shared" si="41"/>
        <v>683</v>
      </c>
      <c r="B684" s="103" t="s">
        <v>6280</v>
      </c>
      <c r="C684" s="103" t="s">
        <v>1812</v>
      </c>
      <c r="D684" s="103" t="s">
        <v>632</v>
      </c>
      <c r="E684" s="103" t="s">
        <v>70</v>
      </c>
      <c r="F684" s="103" t="s">
        <v>72</v>
      </c>
      <c r="G684" s="103" t="s">
        <v>71</v>
      </c>
      <c r="H684" s="103" t="s">
        <v>6328</v>
      </c>
      <c r="I684" s="103" t="s">
        <v>134</v>
      </c>
      <c r="J684" s="103" t="s">
        <v>164</v>
      </c>
      <c r="K684" s="103" t="s">
        <v>166</v>
      </c>
      <c r="L684" s="103"/>
      <c r="M684" s="103"/>
      <c r="N684" s="103" t="s">
        <v>6280</v>
      </c>
      <c r="O684" s="103" t="s">
        <v>5813</v>
      </c>
      <c r="P684" s="103" t="s">
        <v>6028</v>
      </c>
      <c r="Q684" s="103"/>
      <c r="R684" s="103"/>
      <c r="S684" s="103" t="s">
        <v>5958</v>
      </c>
      <c r="T684" s="103">
        <v>197965</v>
      </c>
      <c r="U684" s="103" t="s">
        <v>5796</v>
      </c>
      <c r="V684" s="103" t="s">
        <v>5823</v>
      </c>
      <c r="W684" s="103" t="s">
        <v>310</v>
      </c>
    </row>
    <row r="685" spans="1:23" x14ac:dyDescent="0.45">
      <c r="A685" s="103">
        <f t="shared" si="41"/>
        <v>684</v>
      </c>
      <c r="B685" s="103" t="s">
        <v>6280</v>
      </c>
      <c r="C685" s="103" t="s">
        <v>1812</v>
      </c>
      <c r="D685" s="103" t="s">
        <v>632</v>
      </c>
      <c r="E685" s="103" t="s">
        <v>70</v>
      </c>
      <c r="F685" s="103" t="s">
        <v>72</v>
      </c>
      <c r="G685" s="103" t="s">
        <v>71</v>
      </c>
      <c r="H685" s="103" t="s">
        <v>6328</v>
      </c>
      <c r="I685" s="103" t="s">
        <v>134</v>
      </c>
      <c r="J685" s="103" t="s">
        <v>164</v>
      </c>
      <c r="K685" s="103" t="s">
        <v>166</v>
      </c>
      <c r="L685" s="103"/>
      <c r="M685" s="103"/>
      <c r="N685" s="103" t="s">
        <v>6280</v>
      </c>
      <c r="O685" s="103" t="s">
        <v>5814</v>
      </c>
      <c r="P685" s="103" t="s">
        <v>5791</v>
      </c>
      <c r="Q685" s="103"/>
      <c r="R685" s="103"/>
      <c r="S685" s="103" t="s">
        <v>5794</v>
      </c>
      <c r="T685" s="103">
        <v>197965</v>
      </c>
      <c r="U685" s="103">
        <v>8.5</v>
      </c>
      <c r="V685" s="103" t="s">
        <v>5823</v>
      </c>
      <c r="W685" s="103" t="s">
        <v>310</v>
      </c>
    </row>
    <row r="686" spans="1:23" x14ac:dyDescent="0.45">
      <c r="A686" s="103">
        <f t="shared" si="41"/>
        <v>685</v>
      </c>
      <c r="B686" s="103" t="s">
        <v>6280</v>
      </c>
      <c r="C686" s="103" t="s">
        <v>1018</v>
      </c>
      <c r="D686" s="103" t="s">
        <v>330</v>
      </c>
      <c r="E686" s="103" t="s">
        <v>100</v>
      </c>
      <c r="F686" s="103" t="s">
        <v>72</v>
      </c>
      <c r="G686" s="103" t="s">
        <v>71</v>
      </c>
      <c r="H686" s="103" t="s">
        <v>6333</v>
      </c>
      <c r="I686" s="103" t="s">
        <v>143</v>
      </c>
      <c r="J686" s="103" t="s">
        <v>122</v>
      </c>
      <c r="K686" s="103" t="s">
        <v>5788</v>
      </c>
      <c r="L686" s="103" t="s">
        <v>6338</v>
      </c>
      <c r="M686" s="103"/>
      <c r="N686" s="103" t="s">
        <v>6280</v>
      </c>
      <c r="O686" s="103" t="s">
        <v>47</v>
      </c>
      <c r="P686" s="103">
        <v>15</v>
      </c>
      <c r="Q686" s="103"/>
      <c r="R686" s="103"/>
      <c r="S686" s="103">
        <v>15</v>
      </c>
      <c r="T686" s="103">
        <v>841720</v>
      </c>
      <c r="U686" s="103">
        <v>8.5</v>
      </c>
      <c r="V686" s="103" t="s">
        <v>65</v>
      </c>
      <c r="W686" s="103" t="s">
        <v>310</v>
      </c>
    </row>
    <row r="687" spans="1:23" x14ac:dyDescent="0.45">
      <c r="A687" s="103">
        <f t="shared" si="41"/>
        <v>686</v>
      </c>
      <c r="B687" s="103" t="s">
        <v>6280</v>
      </c>
      <c r="C687" s="103" t="s">
        <v>1018</v>
      </c>
      <c r="D687" s="103" t="s">
        <v>330</v>
      </c>
      <c r="E687" s="103" t="s">
        <v>100</v>
      </c>
      <c r="F687" s="103" t="s">
        <v>72</v>
      </c>
      <c r="G687" s="103" t="s">
        <v>71</v>
      </c>
      <c r="H687" s="103" t="s">
        <v>6333</v>
      </c>
      <c r="I687" s="103" t="s">
        <v>143</v>
      </c>
      <c r="J687" s="103" t="s">
        <v>122</v>
      </c>
      <c r="K687" s="103" t="s">
        <v>5788</v>
      </c>
      <c r="L687" s="103" t="s">
        <v>6339</v>
      </c>
      <c r="M687" s="103"/>
      <c r="N687" s="103" t="s">
        <v>6280</v>
      </c>
      <c r="O687" s="103" t="s">
        <v>5580</v>
      </c>
      <c r="P687" s="103">
        <v>15</v>
      </c>
      <c r="Q687" s="103"/>
      <c r="R687" s="103"/>
      <c r="S687" s="103">
        <v>15</v>
      </c>
      <c r="T687" s="103">
        <v>841720</v>
      </c>
      <c r="U687" s="103">
        <v>8.5</v>
      </c>
      <c r="V687" s="103" t="s">
        <v>65</v>
      </c>
      <c r="W687" s="103" t="s">
        <v>310</v>
      </c>
    </row>
    <row r="688" spans="1:23" x14ac:dyDescent="0.45">
      <c r="A688" s="103">
        <f t="shared" si="41"/>
        <v>687</v>
      </c>
      <c r="B688" s="103" t="s">
        <v>6280</v>
      </c>
      <c r="C688" s="103" t="s">
        <v>1018</v>
      </c>
      <c r="D688" s="103" t="s">
        <v>330</v>
      </c>
      <c r="E688" s="103" t="s">
        <v>100</v>
      </c>
      <c r="F688" s="103" t="s">
        <v>72</v>
      </c>
      <c r="G688" s="103" t="s">
        <v>71</v>
      </c>
      <c r="H688" s="103" t="s">
        <v>6333</v>
      </c>
      <c r="I688" s="103" t="s">
        <v>143</v>
      </c>
      <c r="J688" s="103" t="s">
        <v>122</v>
      </c>
      <c r="K688" s="103" t="s">
        <v>189</v>
      </c>
      <c r="L688" s="103"/>
      <c r="M688" s="103"/>
      <c r="N688" s="103" t="s">
        <v>6280</v>
      </c>
      <c r="O688" s="103" t="s">
        <v>5812</v>
      </c>
      <c r="P688" s="103" t="s">
        <v>6335</v>
      </c>
      <c r="Q688" s="103"/>
      <c r="R688" s="103"/>
      <c r="S688" s="103">
        <v>22</v>
      </c>
      <c r="T688" s="103">
        <v>841720</v>
      </c>
      <c r="U688" s="103">
        <v>8.5</v>
      </c>
      <c r="V688" s="103" t="s">
        <v>5823</v>
      </c>
      <c r="W688" s="103" t="s">
        <v>310</v>
      </c>
    </row>
    <row r="689" spans="1:23" x14ac:dyDescent="0.45">
      <c r="A689" s="103">
        <f t="shared" si="41"/>
        <v>688</v>
      </c>
      <c r="B689" s="103" t="s">
        <v>6280</v>
      </c>
      <c r="C689" s="103" t="s">
        <v>1018</v>
      </c>
      <c r="D689" s="103" t="s">
        <v>330</v>
      </c>
      <c r="E689" s="103" t="s">
        <v>100</v>
      </c>
      <c r="F689" s="103" t="s">
        <v>72</v>
      </c>
      <c r="G689" s="103" t="s">
        <v>71</v>
      </c>
      <c r="H689" s="103" t="s">
        <v>6333</v>
      </c>
      <c r="I689" s="103" t="s">
        <v>143</v>
      </c>
      <c r="J689" s="103" t="s">
        <v>122</v>
      </c>
      <c r="K689" s="103" t="s">
        <v>189</v>
      </c>
      <c r="L689" s="103"/>
      <c r="M689" s="103"/>
      <c r="N689" s="103" t="s">
        <v>6280</v>
      </c>
      <c r="O689" s="103" t="s">
        <v>5581</v>
      </c>
      <c r="P689" s="103" t="s">
        <v>6336</v>
      </c>
      <c r="Q689" s="103"/>
      <c r="R689" s="103"/>
      <c r="S689" s="103" t="s">
        <v>6337</v>
      </c>
      <c r="T689" s="103">
        <v>841720</v>
      </c>
      <c r="U689" s="103" t="s">
        <v>5796</v>
      </c>
      <c r="V689" s="103" t="s">
        <v>5823</v>
      </c>
      <c r="W689" s="103" t="s">
        <v>310</v>
      </c>
    </row>
    <row r="690" spans="1:23" x14ac:dyDescent="0.45">
      <c r="A690" s="103">
        <f t="shared" si="41"/>
        <v>689</v>
      </c>
      <c r="B690" s="103" t="s">
        <v>6280</v>
      </c>
      <c r="C690" s="103" t="s">
        <v>1018</v>
      </c>
      <c r="D690" s="103" t="s">
        <v>330</v>
      </c>
      <c r="E690" s="103" t="s">
        <v>100</v>
      </c>
      <c r="F690" s="103" t="s">
        <v>72</v>
      </c>
      <c r="G690" s="103" t="s">
        <v>71</v>
      </c>
      <c r="H690" s="103" t="s">
        <v>6333</v>
      </c>
      <c r="I690" s="103" t="s">
        <v>143</v>
      </c>
      <c r="J690" s="103" t="s">
        <v>122</v>
      </c>
      <c r="K690" s="103" t="s">
        <v>189</v>
      </c>
      <c r="L690" s="103"/>
      <c r="M690" s="103"/>
      <c r="N690" s="103" t="s">
        <v>6280</v>
      </c>
      <c r="O690" s="103" t="s">
        <v>5813</v>
      </c>
      <c r="P690" s="103" t="s">
        <v>6337</v>
      </c>
      <c r="Q690" s="103"/>
      <c r="R690" s="103"/>
      <c r="S690" s="103" t="s">
        <v>6335</v>
      </c>
      <c r="T690" s="103">
        <v>841720</v>
      </c>
      <c r="U690" s="103" t="s">
        <v>5796</v>
      </c>
      <c r="V690" s="103" t="s">
        <v>5823</v>
      </c>
      <c r="W690" s="103" t="s">
        <v>310</v>
      </c>
    </row>
    <row r="691" spans="1:23" x14ac:dyDescent="0.45">
      <c r="A691" s="103">
        <f t="shared" si="41"/>
        <v>690</v>
      </c>
      <c r="B691" s="103" t="s">
        <v>6280</v>
      </c>
      <c r="C691" s="103" t="s">
        <v>1018</v>
      </c>
      <c r="D691" s="103" t="s">
        <v>330</v>
      </c>
      <c r="E691" s="103" t="s">
        <v>100</v>
      </c>
      <c r="F691" s="103" t="s">
        <v>72</v>
      </c>
      <c r="G691" s="103" t="s">
        <v>71</v>
      </c>
      <c r="H691" s="103" t="s">
        <v>6333</v>
      </c>
      <c r="I691" s="103" t="s">
        <v>143</v>
      </c>
      <c r="J691" s="103" t="s">
        <v>122</v>
      </c>
      <c r="K691" s="103" t="s">
        <v>189</v>
      </c>
      <c r="L691" s="103"/>
      <c r="M691" s="103"/>
      <c r="N691" s="103" t="s">
        <v>6280</v>
      </c>
      <c r="O691" s="103" t="s">
        <v>5814</v>
      </c>
      <c r="P691" s="103" t="s">
        <v>6335</v>
      </c>
      <c r="Q691" s="103"/>
      <c r="R691" s="103"/>
      <c r="S691" s="103" t="s">
        <v>6335</v>
      </c>
      <c r="T691" s="103">
        <v>841720</v>
      </c>
      <c r="U691" s="103">
        <v>8.5</v>
      </c>
      <c r="V691" s="103" t="s">
        <v>5823</v>
      </c>
      <c r="W691" s="103" t="s">
        <v>310</v>
      </c>
    </row>
    <row r="692" spans="1:23" x14ac:dyDescent="0.45">
      <c r="A692" s="103">
        <f t="shared" si="41"/>
        <v>691</v>
      </c>
      <c r="B692" s="103" t="s">
        <v>6340</v>
      </c>
      <c r="C692" s="103" t="s">
        <v>2260</v>
      </c>
      <c r="D692" s="103" t="s">
        <v>330</v>
      </c>
      <c r="E692" s="103" t="s">
        <v>93</v>
      </c>
      <c r="F692" s="103" t="s">
        <v>77</v>
      </c>
      <c r="G692" s="103" t="s">
        <v>88</v>
      </c>
      <c r="H692" s="103" t="s">
        <v>6341</v>
      </c>
      <c r="I692" s="103" t="s">
        <v>143</v>
      </c>
      <c r="J692" s="103" t="s">
        <v>142</v>
      </c>
      <c r="K692" s="103" t="s">
        <v>5696</v>
      </c>
      <c r="L692" s="103">
        <v>1226131571</v>
      </c>
      <c r="M692" s="103"/>
      <c r="N692" s="103" t="s">
        <v>6340</v>
      </c>
      <c r="O692" s="103" t="s">
        <v>5815</v>
      </c>
      <c r="P692" s="103"/>
      <c r="Q692" s="103"/>
      <c r="R692" s="103"/>
      <c r="S692" s="103" t="s">
        <v>5803</v>
      </c>
      <c r="T692" s="103">
        <v>705596</v>
      </c>
      <c r="U692" s="103">
        <v>8.5</v>
      </c>
      <c r="V692" s="103" t="s">
        <v>65</v>
      </c>
      <c r="W692" s="103" t="s">
        <v>310</v>
      </c>
    </row>
    <row r="693" spans="1:23" x14ac:dyDescent="0.45">
      <c r="A693" s="103">
        <f t="shared" si="41"/>
        <v>692</v>
      </c>
      <c r="B693" s="103" t="s">
        <v>6340</v>
      </c>
      <c r="C693" s="103" t="s">
        <v>2260</v>
      </c>
      <c r="D693" s="103" t="s">
        <v>330</v>
      </c>
      <c r="E693" s="103" t="s">
        <v>93</v>
      </c>
      <c r="F693" s="103" t="s">
        <v>77</v>
      </c>
      <c r="G693" s="103" t="s">
        <v>88</v>
      </c>
      <c r="H693" s="103" t="s">
        <v>6341</v>
      </c>
      <c r="I693" s="103" t="s">
        <v>143</v>
      </c>
      <c r="J693" s="103" t="s">
        <v>142</v>
      </c>
      <c r="K693" s="103" t="s">
        <v>5696</v>
      </c>
      <c r="L693" s="103">
        <v>3002221058</v>
      </c>
      <c r="M693" s="103"/>
      <c r="N693" s="103" t="s">
        <v>6340</v>
      </c>
      <c r="O693" s="103" t="s">
        <v>5816</v>
      </c>
      <c r="P693" s="103" t="s">
        <v>5803</v>
      </c>
      <c r="Q693" s="103"/>
      <c r="R693" s="103"/>
      <c r="S693" s="103" t="s">
        <v>5803</v>
      </c>
      <c r="T693" s="103">
        <v>705596</v>
      </c>
      <c r="U693" s="103">
        <v>8.5</v>
      </c>
      <c r="V693" s="103" t="s">
        <v>65</v>
      </c>
      <c r="W693" s="103" t="s">
        <v>310</v>
      </c>
    </row>
    <row r="694" spans="1:23" x14ac:dyDescent="0.45">
      <c r="A694" s="103">
        <f t="shared" si="41"/>
        <v>693</v>
      </c>
      <c r="B694" s="103" t="s">
        <v>6340</v>
      </c>
      <c r="C694" s="103" t="s">
        <v>2260</v>
      </c>
      <c r="D694" s="103" t="s">
        <v>330</v>
      </c>
      <c r="E694" s="103" t="s">
        <v>93</v>
      </c>
      <c r="F694" s="103" t="s">
        <v>77</v>
      </c>
      <c r="G694" s="103" t="s">
        <v>88</v>
      </c>
      <c r="H694" s="103" t="s">
        <v>6341</v>
      </c>
      <c r="I694" s="103" t="s">
        <v>143</v>
      </c>
      <c r="J694" s="103" t="s">
        <v>142</v>
      </c>
      <c r="K694" s="103" t="s">
        <v>5696</v>
      </c>
      <c r="L694" s="103">
        <v>3002220638</v>
      </c>
      <c r="M694" s="103"/>
      <c r="N694" s="103" t="s">
        <v>6340</v>
      </c>
      <c r="O694" s="103" t="s">
        <v>5817</v>
      </c>
      <c r="P694" s="103" t="s">
        <v>5803</v>
      </c>
      <c r="Q694" s="103"/>
      <c r="R694" s="103"/>
      <c r="S694" s="103" t="s">
        <v>5803</v>
      </c>
      <c r="T694" s="103">
        <v>705596</v>
      </c>
      <c r="U694" s="103">
        <v>8.5</v>
      </c>
      <c r="V694" s="103" t="s">
        <v>65</v>
      </c>
      <c r="W694" s="103" t="s">
        <v>310</v>
      </c>
    </row>
    <row r="695" spans="1:23" x14ac:dyDescent="0.45">
      <c r="A695" s="103">
        <f t="shared" si="41"/>
        <v>694</v>
      </c>
      <c r="B695" s="103" t="s">
        <v>6340</v>
      </c>
      <c r="C695" s="103" t="s">
        <v>2260</v>
      </c>
      <c r="D695" s="103" t="s">
        <v>330</v>
      </c>
      <c r="E695" s="103" t="s">
        <v>93</v>
      </c>
      <c r="F695" s="103" t="s">
        <v>77</v>
      </c>
      <c r="G695" s="103" t="s">
        <v>88</v>
      </c>
      <c r="H695" s="103" t="s">
        <v>6341</v>
      </c>
      <c r="I695" s="103" t="s">
        <v>143</v>
      </c>
      <c r="J695" s="103" t="s">
        <v>142</v>
      </c>
      <c r="K695" s="103" t="s">
        <v>5696</v>
      </c>
      <c r="L695" s="103">
        <v>3002229646</v>
      </c>
      <c r="M695" s="103"/>
      <c r="N695" s="103" t="s">
        <v>6340</v>
      </c>
      <c r="O695" s="103" t="s">
        <v>5818</v>
      </c>
      <c r="P695" s="103" t="s">
        <v>5803</v>
      </c>
      <c r="Q695" s="103"/>
      <c r="R695" s="103"/>
      <c r="S695" s="103" t="s">
        <v>5803</v>
      </c>
      <c r="T695" s="103">
        <v>705596</v>
      </c>
      <c r="U695" s="103">
        <v>8.5</v>
      </c>
      <c r="V695" s="103" t="s">
        <v>65</v>
      </c>
      <c r="W695" s="103" t="s">
        <v>310</v>
      </c>
    </row>
    <row r="696" spans="1:23" x14ac:dyDescent="0.45">
      <c r="A696" s="103">
        <f t="shared" si="41"/>
        <v>695</v>
      </c>
      <c r="B696" s="103" t="s">
        <v>6340</v>
      </c>
      <c r="C696" s="103" t="s">
        <v>2260</v>
      </c>
      <c r="D696" s="103" t="s">
        <v>330</v>
      </c>
      <c r="E696" s="103" t="s">
        <v>93</v>
      </c>
      <c r="F696" s="103" t="s">
        <v>77</v>
      </c>
      <c r="G696" s="103" t="s">
        <v>88</v>
      </c>
      <c r="H696" s="103" t="s">
        <v>6341</v>
      </c>
      <c r="I696" s="103" t="s">
        <v>143</v>
      </c>
      <c r="J696" s="103" t="s">
        <v>217</v>
      </c>
      <c r="K696" s="103" t="s">
        <v>5881</v>
      </c>
      <c r="L696" s="103"/>
      <c r="M696" s="103"/>
      <c r="N696" s="103" t="s">
        <v>6340</v>
      </c>
      <c r="O696" s="103" t="s">
        <v>47</v>
      </c>
      <c r="P696" s="103" t="s">
        <v>6025</v>
      </c>
      <c r="Q696" s="103"/>
      <c r="R696" s="103"/>
      <c r="S696" s="103" t="s">
        <v>6004</v>
      </c>
      <c r="T696" s="103">
        <v>705596</v>
      </c>
      <c r="U696" s="103">
        <v>8.5</v>
      </c>
      <c r="V696" s="103" t="s">
        <v>5823</v>
      </c>
      <c r="W696" s="103" t="s">
        <v>310</v>
      </c>
    </row>
    <row r="697" spans="1:23" x14ac:dyDescent="0.45">
      <c r="A697" s="103">
        <f t="shared" si="41"/>
        <v>696</v>
      </c>
      <c r="B697" s="103" t="s">
        <v>6340</v>
      </c>
      <c r="C697" s="103" t="s">
        <v>2260</v>
      </c>
      <c r="D697" s="103" t="s">
        <v>330</v>
      </c>
      <c r="E697" s="103" t="s">
        <v>93</v>
      </c>
      <c r="F697" s="103" t="s">
        <v>77</v>
      </c>
      <c r="G697" s="103" t="s">
        <v>88</v>
      </c>
      <c r="H697" s="103" t="s">
        <v>6341</v>
      </c>
      <c r="I697" s="103" t="s">
        <v>143</v>
      </c>
      <c r="J697" s="103" t="s">
        <v>217</v>
      </c>
      <c r="K697" s="103" t="s">
        <v>5881</v>
      </c>
      <c r="L697" s="103"/>
      <c r="M697" s="103"/>
      <c r="N697" s="103" t="s">
        <v>6340</v>
      </c>
      <c r="O697" s="103" t="s">
        <v>5580</v>
      </c>
      <c r="P697" s="103" t="s">
        <v>6037</v>
      </c>
      <c r="Q697" s="103"/>
      <c r="R697" s="103"/>
      <c r="S697" s="103" t="s">
        <v>5807</v>
      </c>
      <c r="T697" s="103">
        <v>705596</v>
      </c>
      <c r="U697" s="103">
        <v>8.5</v>
      </c>
      <c r="V697" s="103" t="s">
        <v>5823</v>
      </c>
      <c r="W697" s="103" t="s">
        <v>310</v>
      </c>
    </row>
    <row r="698" spans="1:23" x14ac:dyDescent="0.45">
      <c r="A698" s="103">
        <f t="shared" si="41"/>
        <v>697</v>
      </c>
      <c r="B698" s="103" t="s">
        <v>6340</v>
      </c>
      <c r="C698" s="103" t="s">
        <v>2260</v>
      </c>
      <c r="D698" s="103" t="s">
        <v>330</v>
      </c>
      <c r="E698" s="103" t="s">
        <v>93</v>
      </c>
      <c r="F698" s="103" t="s">
        <v>77</v>
      </c>
      <c r="G698" s="103" t="s">
        <v>88</v>
      </c>
      <c r="H698" s="103" t="s">
        <v>6341</v>
      </c>
      <c r="I698" s="103" t="s">
        <v>143</v>
      </c>
      <c r="J698" s="103" t="s">
        <v>217</v>
      </c>
      <c r="K698" s="103" t="s">
        <v>5882</v>
      </c>
      <c r="L698" s="103"/>
      <c r="M698" s="103"/>
      <c r="N698" s="103" t="s">
        <v>6340</v>
      </c>
      <c r="O698" s="103" t="s">
        <v>5812</v>
      </c>
      <c r="P698" s="103" t="s">
        <v>6261</v>
      </c>
      <c r="Q698" s="103"/>
      <c r="R698" s="103"/>
      <c r="S698" s="103" t="s">
        <v>5832</v>
      </c>
      <c r="T698" s="103">
        <v>705596</v>
      </c>
      <c r="U698" s="103">
        <v>8.4</v>
      </c>
      <c r="V698" s="103" t="s">
        <v>5823</v>
      </c>
      <c r="W698" s="103" t="s">
        <v>310</v>
      </c>
    </row>
    <row r="699" spans="1:23" x14ac:dyDescent="0.45">
      <c r="A699" s="103">
        <f t="shared" si="41"/>
        <v>698</v>
      </c>
      <c r="B699" s="103" t="s">
        <v>6340</v>
      </c>
      <c r="C699" s="103" t="s">
        <v>2260</v>
      </c>
      <c r="D699" s="103" t="s">
        <v>330</v>
      </c>
      <c r="E699" s="103" t="s">
        <v>93</v>
      </c>
      <c r="F699" s="103" t="s">
        <v>77</v>
      </c>
      <c r="G699" s="103" t="s">
        <v>88</v>
      </c>
      <c r="H699" s="103" t="s">
        <v>6341</v>
      </c>
      <c r="I699" s="103" t="s">
        <v>143</v>
      </c>
      <c r="J699" s="103" t="s">
        <v>217</v>
      </c>
      <c r="K699" s="103" t="s">
        <v>5882</v>
      </c>
      <c r="L699" s="103"/>
      <c r="M699" s="103"/>
      <c r="N699" s="103" t="s">
        <v>6340</v>
      </c>
      <c r="O699" s="103" t="s">
        <v>5581</v>
      </c>
      <c r="P699" s="103" t="s">
        <v>6041</v>
      </c>
      <c r="Q699" s="103"/>
      <c r="R699" s="103"/>
      <c r="S699" s="103" t="s">
        <v>5852</v>
      </c>
      <c r="T699" s="103">
        <v>705596</v>
      </c>
      <c r="U699" s="103" t="s">
        <v>5796</v>
      </c>
      <c r="V699" s="103" t="s">
        <v>5823</v>
      </c>
      <c r="W699" s="103" t="s">
        <v>310</v>
      </c>
    </row>
    <row r="700" spans="1:23" x14ac:dyDescent="0.45">
      <c r="A700" s="103">
        <f t="shared" si="41"/>
        <v>699</v>
      </c>
      <c r="B700" s="103" t="s">
        <v>6340</v>
      </c>
      <c r="C700" s="103" t="s">
        <v>2260</v>
      </c>
      <c r="D700" s="103" t="s">
        <v>330</v>
      </c>
      <c r="E700" s="103" t="s">
        <v>93</v>
      </c>
      <c r="F700" s="103" t="s">
        <v>77</v>
      </c>
      <c r="G700" s="103" t="s">
        <v>88</v>
      </c>
      <c r="H700" s="103" t="s">
        <v>6341</v>
      </c>
      <c r="I700" s="103" t="s">
        <v>143</v>
      </c>
      <c r="J700" s="103" t="s">
        <v>217</v>
      </c>
      <c r="K700" s="103" t="s">
        <v>5882</v>
      </c>
      <c r="L700" s="103"/>
      <c r="M700" s="103"/>
      <c r="N700" s="103" t="s">
        <v>6340</v>
      </c>
      <c r="O700" s="103" t="s">
        <v>5813</v>
      </c>
      <c r="P700" s="103" t="s">
        <v>5844</v>
      </c>
      <c r="Q700" s="103"/>
      <c r="R700" s="103"/>
      <c r="S700" s="103" t="s">
        <v>5851</v>
      </c>
      <c r="T700" s="103">
        <v>705596</v>
      </c>
      <c r="U700" s="103" t="s">
        <v>5796</v>
      </c>
      <c r="V700" s="103" t="s">
        <v>5823</v>
      </c>
      <c r="W700" s="103" t="s">
        <v>310</v>
      </c>
    </row>
    <row r="701" spans="1:23" x14ac:dyDescent="0.45">
      <c r="A701" s="103">
        <f t="shared" si="41"/>
        <v>700</v>
      </c>
      <c r="B701" s="103" t="s">
        <v>6340</v>
      </c>
      <c r="C701" s="103" t="s">
        <v>2260</v>
      </c>
      <c r="D701" s="103" t="s">
        <v>330</v>
      </c>
      <c r="E701" s="103" t="s">
        <v>93</v>
      </c>
      <c r="F701" s="103" t="s">
        <v>77</v>
      </c>
      <c r="G701" s="103" t="s">
        <v>88</v>
      </c>
      <c r="H701" s="103" t="s">
        <v>6341</v>
      </c>
      <c r="I701" s="103" t="s">
        <v>143</v>
      </c>
      <c r="J701" s="103" t="s">
        <v>217</v>
      </c>
      <c r="K701" s="103" t="s">
        <v>5882</v>
      </c>
      <c r="L701" s="103"/>
      <c r="M701" s="103"/>
      <c r="N701" s="103" t="s">
        <v>6340</v>
      </c>
      <c r="O701" s="103" t="s">
        <v>5814</v>
      </c>
      <c r="P701" s="103" t="s">
        <v>5832</v>
      </c>
      <c r="Q701" s="103"/>
      <c r="R701" s="103"/>
      <c r="S701" s="103" t="s">
        <v>5851</v>
      </c>
      <c r="T701" s="103">
        <v>705596</v>
      </c>
      <c r="U701" s="103">
        <v>8.4</v>
      </c>
      <c r="V701" s="103" t="s">
        <v>5823</v>
      </c>
      <c r="W701" s="103" t="s">
        <v>310</v>
      </c>
    </row>
    <row r="702" spans="1:23" x14ac:dyDescent="0.45">
      <c r="A702" s="103">
        <f t="shared" si="41"/>
        <v>701</v>
      </c>
      <c r="B702" s="103" t="s">
        <v>6340</v>
      </c>
      <c r="C702" s="103" t="s">
        <v>2260</v>
      </c>
      <c r="D702" s="103" t="s">
        <v>330</v>
      </c>
      <c r="E702" s="103" t="s">
        <v>93</v>
      </c>
      <c r="F702" s="103" t="s">
        <v>77</v>
      </c>
      <c r="G702" s="103" t="s">
        <v>88</v>
      </c>
      <c r="H702" s="103" t="s">
        <v>6341</v>
      </c>
      <c r="I702" s="103" t="s">
        <v>143</v>
      </c>
      <c r="J702" s="103" t="s">
        <v>217</v>
      </c>
      <c r="K702" s="103" t="s">
        <v>5887</v>
      </c>
      <c r="L702" s="103"/>
      <c r="M702" s="103"/>
      <c r="N702" s="103" t="s">
        <v>6340</v>
      </c>
      <c r="O702" s="103" t="s">
        <v>5819</v>
      </c>
      <c r="P702" s="103" t="s">
        <v>5855</v>
      </c>
      <c r="Q702" s="103"/>
      <c r="R702" s="103"/>
      <c r="S702" s="103" t="s">
        <v>5798</v>
      </c>
      <c r="T702" s="103">
        <v>705596</v>
      </c>
      <c r="U702" s="103">
        <v>8.4</v>
      </c>
      <c r="V702" s="103" t="s">
        <v>5823</v>
      </c>
      <c r="W702" s="103" t="s">
        <v>310</v>
      </c>
    </row>
    <row r="703" spans="1:23" x14ac:dyDescent="0.45">
      <c r="A703" s="103">
        <f t="shared" si="41"/>
        <v>702</v>
      </c>
      <c r="B703" s="103" t="s">
        <v>6340</v>
      </c>
      <c r="C703" s="103" t="s">
        <v>2260</v>
      </c>
      <c r="D703" s="103" t="s">
        <v>330</v>
      </c>
      <c r="E703" s="103" t="s">
        <v>93</v>
      </c>
      <c r="F703" s="103" t="s">
        <v>77</v>
      </c>
      <c r="G703" s="103" t="s">
        <v>88</v>
      </c>
      <c r="H703" s="103" t="s">
        <v>6341</v>
      </c>
      <c r="I703" s="103" t="s">
        <v>143</v>
      </c>
      <c r="J703" s="103" t="s">
        <v>217</v>
      </c>
      <c r="K703" s="103" t="s">
        <v>5887</v>
      </c>
      <c r="L703" s="103"/>
      <c r="M703" s="103"/>
      <c r="N703" s="103" t="s">
        <v>6340</v>
      </c>
      <c r="O703" s="103" t="s">
        <v>5820</v>
      </c>
      <c r="P703" s="103" t="s">
        <v>5903</v>
      </c>
      <c r="Q703" s="103"/>
      <c r="R703" s="103"/>
      <c r="S703" s="103" t="s">
        <v>6028</v>
      </c>
      <c r="T703" s="103">
        <v>705596</v>
      </c>
      <c r="U703" s="103" t="s">
        <v>5796</v>
      </c>
      <c r="V703" s="103" t="s">
        <v>5823</v>
      </c>
      <c r="W703" s="103" t="s">
        <v>310</v>
      </c>
    </row>
    <row r="704" spans="1:23" x14ac:dyDescent="0.45">
      <c r="A704" s="103">
        <f t="shared" si="41"/>
        <v>703</v>
      </c>
      <c r="B704" s="103" t="s">
        <v>6340</v>
      </c>
      <c r="C704" s="103" t="s">
        <v>2260</v>
      </c>
      <c r="D704" s="103" t="s">
        <v>330</v>
      </c>
      <c r="E704" s="103" t="s">
        <v>93</v>
      </c>
      <c r="F704" s="103" t="s">
        <v>77</v>
      </c>
      <c r="G704" s="103" t="s">
        <v>88</v>
      </c>
      <c r="H704" s="103" t="s">
        <v>6341</v>
      </c>
      <c r="I704" s="103" t="s">
        <v>143</v>
      </c>
      <c r="J704" s="103" t="s">
        <v>217</v>
      </c>
      <c r="K704" s="103" t="s">
        <v>5887</v>
      </c>
      <c r="L704" s="103"/>
      <c r="M704" s="103"/>
      <c r="N704" s="103" t="s">
        <v>6340</v>
      </c>
      <c r="O704" s="103" t="s">
        <v>5821</v>
      </c>
      <c r="P704" s="103" t="s">
        <v>6029</v>
      </c>
      <c r="Q704" s="103"/>
      <c r="R704" s="103"/>
      <c r="S704" s="103" t="s">
        <v>5900</v>
      </c>
      <c r="T704" s="103">
        <v>705596</v>
      </c>
      <c r="U704" s="103" t="s">
        <v>5796</v>
      </c>
      <c r="V704" s="103" t="s">
        <v>5823</v>
      </c>
      <c r="W704" s="103" t="s">
        <v>310</v>
      </c>
    </row>
    <row r="705" spans="1:23" x14ac:dyDescent="0.45">
      <c r="A705" s="103">
        <f t="shared" si="41"/>
        <v>704</v>
      </c>
      <c r="B705" s="103" t="s">
        <v>6340</v>
      </c>
      <c r="C705" s="103" t="s">
        <v>2260</v>
      </c>
      <c r="D705" s="103" t="s">
        <v>330</v>
      </c>
      <c r="E705" s="103" t="s">
        <v>93</v>
      </c>
      <c r="F705" s="103" t="s">
        <v>77</v>
      </c>
      <c r="G705" s="103" t="s">
        <v>88</v>
      </c>
      <c r="H705" s="103" t="s">
        <v>6341</v>
      </c>
      <c r="I705" s="103" t="s">
        <v>143</v>
      </c>
      <c r="J705" s="103" t="s">
        <v>217</v>
      </c>
      <c r="K705" s="103" t="s">
        <v>5887</v>
      </c>
      <c r="L705" s="103"/>
      <c r="M705" s="103"/>
      <c r="N705" s="103" t="s">
        <v>6340</v>
      </c>
      <c r="O705" s="103" t="s">
        <v>5822</v>
      </c>
      <c r="P705" s="103" t="s">
        <v>5797</v>
      </c>
      <c r="Q705" s="103"/>
      <c r="R705" s="103"/>
      <c r="S705" s="103" t="s">
        <v>5888</v>
      </c>
      <c r="T705" s="103">
        <v>705596</v>
      </c>
      <c r="U705" s="103" t="s">
        <v>5796</v>
      </c>
      <c r="V705" s="103" t="s">
        <v>5823</v>
      </c>
      <c r="W705" s="103" t="s">
        <v>310</v>
      </c>
    </row>
    <row r="706" spans="1:23" x14ac:dyDescent="0.45">
      <c r="A706" s="103">
        <f t="shared" si="41"/>
        <v>705</v>
      </c>
      <c r="B706" s="103" t="s">
        <v>6224</v>
      </c>
      <c r="C706" s="103" t="s">
        <v>2260</v>
      </c>
      <c r="D706" s="103" t="s">
        <v>330</v>
      </c>
      <c r="E706" s="103" t="s">
        <v>93</v>
      </c>
      <c r="F706" s="103" t="s">
        <v>77</v>
      </c>
      <c r="G706" s="103" t="s">
        <v>88</v>
      </c>
      <c r="H706" s="103" t="s">
        <v>6341</v>
      </c>
      <c r="I706" s="103" t="s">
        <v>143</v>
      </c>
      <c r="J706" s="103" t="s">
        <v>142</v>
      </c>
      <c r="K706" s="103" t="s">
        <v>5696</v>
      </c>
      <c r="L706" s="103">
        <v>1006149747</v>
      </c>
      <c r="M706" s="103"/>
      <c r="N706" s="103" t="s">
        <v>6224</v>
      </c>
      <c r="O706" s="103" t="s">
        <v>5820</v>
      </c>
      <c r="P706" s="103" t="s">
        <v>5803</v>
      </c>
      <c r="Q706" s="103"/>
      <c r="R706" s="103"/>
      <c r="S706" s="103" t="s">
        <v>5803</v>
      </c>
      <c r="T706" s="103">
        <v>709065</v>
      </c>
      <c r="U706" s="103">
        <v>8.5</v>
      </c>
      <c r="V706" s="103" t="s">
        <v>65</v>
      </c>
      <c r="W706" s="103" t="s">
        <v>310</v>
      </c>
    </row>
    <row r="707" spans="1:23" x14ac:dyDescent="0.45">
      <c r="A707" s="103">
        <f t="shared" si="41"/>
        <v>706</v>
      </c>
      <c r="B707" s="103" t="s">
        <v>6224</v>
      </c>
      <c r="C707" s="103" t="s">
        <v>2260</v>
      </c>
      <c r="D707" s="103" t="s">
        <v>330</v>
      </c>
      <c r="E707" s="103" t="s">
        <v>93</v>
      </c>
      <c r="F707" s="103" t="s">
        <v>77</v>
      </c>
      <c r="G707" s="103" t="s">
        <v>88</v>
      </c>
      <c r="H707" s="103" t="s">
        <v>6341</v>
      </c>
      <c r="I707" s="103" t="s">
        <v>143</v>
      </c>
      <c r="J707" s="103" t="s">
        <v>142</v>
      </c>
      <c r="K707" s="103" t="s">
        <v>5696</v>
      </c>
      <c r="L707" s="103">
        <v>3002229662</v>
      </c>
      <c r="M707" s="103"/>
      <c r="N707" s="103" t="s">
        <v>6224</v>
      </c>
      <c r="O707" s="103" t="s">
        <v>5821</v>
      </c>
      <c r="P707" s="103" t="s">
        <v>5803</v>
      </c>
      <c r="Q707" s="103"/>
      <c r="R707" s="103"/>
      <c r="S707" s="103" t="s">
        <v>5803</v>
      </c>
      <c r="T707" s="103">
        <v>709065</v>
      </c>
      <c r="U707" s="103">
        <v>8.5</v>
      </c>
      <c r="V707" s="103" t="s">
        <v>65</v>
      </c>
      <c r="W707" s="103" t="s">
        <v>310</v>
      </c>
    </row>
    <row r="708" spans="1:23" x14ac:dyDescent="0.45">
      <c r="A708" s="103">
        <f t="shared" si="41"/>
        <v>707</v>
      </c>
      <c r="B708" s="103" t="s">
        <v>6224</v>
      </c>
      <c r="C708" s="103" t="s">
        <v>2260</v>
      </c>
      <c r="D708" s="103" t="s">
        <v>330</v>
      </c>
      <c r="E708" s="103" t="s">
        <v>93</v>
      </c>
      <c r="F708" s="103" t="s">
        <v>77</v>
      </c>
      <c r="G708" s="103" t="s">
        <v>88</v>
      </c>
      <c r="H708" s="103" t="s">
        <v>6341</v>
      </c>
      <c r="I708" s="103" t="s">
        <v>143</v>
      </c>
      <c r="J708" s="103" t="s">
        <v>142</v>
      </c>
      <c r="K708" s="103" t="s">
        <v>5696</v>
      </c>
      <c r="L708" s="103">
        <v>1006159234</v>
      </c>
      <c r="M708" s="103"/>
      <c r="N708" s="103" t="s">
        <v>6224</v>
      </c>
      <c r="O708" s="103" t="s">
        <v>5822</v>
      </c>
      <c r="P708" s="103" t="s">
        <v>5803</v>
      </c>
      <c r="Q708" s="103"/>
      <c r="R708" s="103"/>
      <c r="S708" s="103" t="s">
        <v>5803</v>
      </c>
      <c r="T708" s="103">
        <v>709065</v>
      </c>
      <c r="U708" s="103">
        <v>8.5</v>
      </c>
      <c r="V708" s="103" t="s">
        <v>65</v>
      </c>
      <c r="W708" s="103" t="s">
        <v>310</v>
      </c>
    </row>
    <row r="709" spans="1:23" x14ac:dyDescent="0.45">
      <c r="A709" s="103">
        <f t="shared" si="41"/>
        <v>708</v>
      </c>
      <c r="B709" s="103" t="s">
        <v>6224</v>
      </c>
      <c r="C709" s="103" t="s">
        <v>2260</v>
      </c>
      <c r="D709" s="103" t="s">
        <v>330</v>
      </c>
      <c r="E709" s="103" t="s">
        <v>93</v>
      </c>
      <c r="F709" s="103" t="s">
        <v>77</v>
      </c>
      <c r="G709" s="103" t="s">
        <v>88</v>
      </c>
      <c r="H709" s="103" t="s">
        <v>6341</v>
      </c>
      <c r="I709" s="103" t="s">
        <v>143</v>
      </c>
      <c r="J709" s="103" t="s">
        <v>217</v>
      </c>
      <c r="K709" s="103" t="s">
        <v>5881</v>
      </c>
      <c r="L709" s="103"/>
      <c r="M709" s="103"/>
      <c r="N709" s="103" t="s">
        <v>6224</v>
      </c>
      <c r="O709" s="103" t="s">
        <v>47</v>
      </c>
      <c r="P709" s="103" t="s">
        <v>6004</v>
      </c>
      <c r="Q709" s="103"/>
      <c r="R709" s="103"/>
      <c r="S709" s="103" t="s">
        <v>6005</v>
      </c>
      <c r="T709" s="103">
        <v>709065</v>
      </c>
      <c r="U709" s="103">
        <v>8.5</v>
      </c>
      <c r="V709" s="103" t="s">
        <v>5823</v>
      </c>
      <c r="W709" s="103" t="s">
        <v>310</v>
      </c>
    </row>
    <row r="710" spans="1:23" x14ac:dyDescent="0.45">
      <c r="A710" s="103">
        <f t="shared" si="41"/>
        <v>709</v>
      </c>
      <c r="B710" s="103" t="s">
        <v>6224</v>
      </c>
      <c r="C710" s="103" t="s">
        <v>2260</v>
      </c>
      <c r="D710" s="103" t="s">
        <v>330</v>
      </c>
      <c r="E710" s="103" t="s">
        <v>93</v>
      </c>
      <c r="F710" s="103" t="s">
        <v>77</v>
      </c>
      <c r="G710" s="103" t="s">
        <v>88</v>
      </c>
      <c r="H710" s="103" t="s">
        <v>6341</v>
      </c>
      <c r="I710" s="103" t="s">
        <v>143</v>
      </c>
      <c r="J710" s="103" t="s">
        <v>217</v>
      </c>
      <c r="K710" s="103" t="s">
        <v>5881</v>
      </c>
      <c r="L710" s="103"/>
      <c r="M710" s="103"/>
      <c r="N710" s="103" t="s">
        <v>6224</v>
      </c>
      <c r="O710" s="103" t="s">
        <v>5580</v>
      </c>
      <c r="P710" s="103" t="s">
        <v>5985</v>
      </c>
      <c r="Q710" s="103"/>
      <c r="R710" s="103"/>
      <c r="S710" s="103" t="s">
        <v>6026</v>
      </c>
      <c r="T710" s="103">
        <v>709065</v>
      </c>
      <c r="U710" s="103">
        <v>8.5</v>
      </c>
      <c r="V710" s="103" t="s">
        <v>5823</v>
      </c>
      <c r="W710" s="103" t="s">
        <v>310</v>
      </c>
    </row>
    <row r="711" spans="1:23" x14ac:dyDescent="0.45">
      <c r="A711" s="103">
        <f t="shared" si="41"/>
        <v>710</v>
      </c>
      <c r="B711" s="103" t="s">
        <v>6224</v>
      </c>
      <c r="C711" s="103" t="s">
        <v>2260</v>
      </c>
      <c r="D711" s="103" t="s">
        <v>330</v>
      </c>
      <c r="E711" s="103" t="s">
        <v>93</v>
      </c>
      <c r="F711" s="103" t="s">
        <v>77</v>
      </c>
      <c r="G711" s="103" t="s">
        <v>88</v>
      </c>
      <c r="H711" s="103" t="s">
        <v>6341</v>
      </c>
      <c r="I711" s="103" t="s">
        <v>143</v>
      </c>
      <c r="J711" s="103" t="s">
        <v>217</v>
      </c>
      <c r="K711" s="103" t="s">
        <v>5882</v>
      </c>
      <c r="L711" s="103"/>
      <c r="M711" s="103"/>
      <c r="N711" s="103" t="s">
        <v>6224</v>
      </c>
      <c r="O711" s="103" t="s">
        <v>5812</v>
      </c>
      <c r="P711" s="103" t="s">
        <v>5904</v>
      </c>
      <c r="Q711" s="103"/>
      <c r="R711" s="103"/>
      <c r="S711" s="103" t="s">
        <v>5920</v>
      </c>
      <c r="T711" s="103">
        <v>709065</v>
      </c>
      <c r="U711" s="103">
        <v>8.4</v>
      </c>
      <c r="V711" s="103" t="s">
        <v>5823</v>
      </c>
      <c r="W711" s="103" t="s">
        <v>310</v>
      </c>
    </row>
    <row r="712" spans="1:23" x14ac:dyDescent="0.45">
      <c r="A712" s="103">
        <f t="shared" si="41"/>
        <v>711</v>
      </c>
      <c r="B712" s="103" t="s">
        <v>6224</v>
      </c>
      <c r="C712" s="103" t="s">
        <v>2260</v>
      </c>
      <c r="D712" s="103" t="s">
        <v>330</v>
      </c>
      <c r="E712" s="103" t="s">
        <v>93</v>
      </c>
      <c r="F712" s="103" t="s">
        <v>77</v>
      </c>
      <c r="G712" s="103" t="s">
        <v>88</v>
      </c>
      <c r="H712" s="103" t="s">
        <v>6341</v>
      </c>
      <c r="I712" s="103" t="s">
        <v>143</v>
      </c>
      <c r="J712" s="103" t="s">
        <v>217</v>
      </c>
      <c r="K712" s="103" t="s">
        <v>5882</v>
      </c>
      <c r="L712" s="103"/>
      <c r="M712" s="103"/>
      <c r="N712" s="103" t="s">
        <v>6224</v>
      </c>
      <c r="O712" s="103" t="s">
        <v>5581</v>
      </c>
      <c r="P712" s="103">
        <v>11</v>
      </c>
      <c r="Q712" s="103"/>
      <c r="R712" s="103"/>
      <c r="S712" s="103">
        <v>10</v>
      </c>
      <c r="T712" s="103">
        <v>709065</v>
      </c>
      <c r="U712" s="103" t="s">
        <v>5796</v>
      </c>
      <c r="V712" s="103" t="s">
        <v>5823</v>
      </c>
      <c r="W712" s="103" t="s">
        <v>310</v>
      </c>
    </row>
    <row r="713" spans="1:23" x14ac:dyDescent="0.45">
      <c r="A713" s="103">
        <f t="shared" si="41"/>
        <v>712</v>
      </c>
      <c r="B713" s="103" t="s">
        <v>6224</v>
      </c>
      <c r="C713" s="103" t="s">
        <v>2260</v>
      </c>
      <c r="D713" s="103" t="s">
        <v>330</v>
      </c>
      <c r="E713" s="103" t="s">
        <v>93</v>
      </c>
      <c r="F713" s="103" t="s">
        <v>77</v>
      </c>
      <c r="G713" s="103" t="s">
        <v>88</v>
      </c>
      <c r="H713" s="103" t="s">
        <v>6341</v>
      </c>
      <c r="I713" s="103" t="s">
        <v>143</v>
      </c>
      <c r="J713" s="103" t="s">
        <v>217</v>
      </c>
      <c r="K713" s="103" t="s">
        <v>5882</v>
      </c>
      <c r="L713" s="103"/>
      <c r="M713" s="103"/>
      <c r="N713" s="103" t="s">
        <v>6224</v>
      </c>
      <c r="O713" s="103" t="s">
        <v>5813</v>
      </c>
      <c r="P713" s="103" t="s">
        <v>5969</v>
      </c>
      <c r="Q713" s="103"/>
      <c r="R713" s="103"/>
      <c r="S713" s="103" t="s">
        <v>5851</v>
      </c>
      <c r="T713" s="103">
        <v>709065</v>
      </c>
      <c r="U713" s="103" t="s">
        <v>5796</v>
      </c>
      <c r="V713" s="103" t="s">
        <v>5823</v>
      </c>
      <c r="W713" s="103" t="s">
        <v>310</v>
      </c>
    </row>
    <row r="714" spans="1:23" x14ac:dyDescent="0.45">
      <c r="A714" s="103">
        <f t="shared" si="41"/>
        <v>713</v>
      </c>
      <c r="B714" s="103" t="s">
        <v>6224</v>
      </c>
      <c r="C714" s="103" t="s">
        <v>2260</v>
      </c>
      <c r="D714" s="103" t="s">
        <v>330</v>
      </c>
      <c r="E714" s="103" t="s">
        <v>93</v>
      </c>
      <c r="F714" s="103" t="s">
        <v>77</v>
      </c>
      <c r="G714" s="103" t="s">
        <v>88</v>
      </c>
      <c r="H714" s="103" t="s">
        <v>6341</v>
      </c>
      <c r="I714" s="103" t="s">
        <v>143</v>
      </c>
      <c r="J714" s="103" t="s">
        <v>217</v>
      </c>
      <c r="K714" s="103" t="s">
        <v>5882</v>
      </c>
      <c r="L714" s="103"/>
      <c r="M714" s="103"/>
      <c r="N714" s="103" t="s">
        <v>6224</v>
      </c>
      <c r="O714" s="103" t="s">
        <v>5814</v>
      </c>
      <c r="P714" s="103" t="s">
        <v>6186</v>
      </c>
      <c r="Q714" s="103"/>
      <c r="R714" s="103"/>
      <c r="S714" s="103" t="s">
        <v>5789</v>
      </c>
      <c r="T714" s="103">
        <v>709065</v>
      </c>
      <c r="U714" s="103">
        <v>8.4</v>
      </c>
      <c r="V714" s="103" t="s">
        <v>5823</v>
      </c>
      <c r="W714" s="103" t="s">
        <v>310</v>
      </c>
    </row>
    <row r="715" spans="1:23" x14ac:dyDescent="0.45">
      <c r="A715" s="103">
        <f t="shared" si="41"/>
        <v>714</v>
      </c>
      <c r="B715" s="103" t="s">
        <v>6224</v>
      </c>
      <c r="C715" s="103" t="s">
        <v>2260</v>
      </c>
      <c r="D715" s="103" t="s">
        <v>330</v>
      </c>
      <c r="E715" s="103" t="s">
        <v>93</v>
      </c>
      <c r="F715" s="103" t="s">
        <v>77</v>
      </c>
      <c r="G715" s="103" t="s">
        <v>88</v>
      </c>
      <c r="H715" s="103" t="s">
        <v>6341</v>
      </c>
      <c r="I715" s="103" t="s">
        <v>143</v>
      </c>
      <c r="J715" s="103" t="s">
        <v>142</v>
      </c>
      <c r="K715" s="103" t="s">
        <v>5696</v>
      </c>
      <c r="L715" s="103"/>
      <c r="M715" s="103"/>
      <c r="N715" s="103" t="s">
        <v>6224</v>
      </c>
      <c r="O715" s="103" t="s">
        <v>5815</v>
      </c>
      <c r="P715" s="103" t="s">
        <v>6122</v>
      </c>
      <c r="Q715" s="103"/>
      <c r="R715" s="103"/>
      <c r="S715" s="103" t="s">
        <v>6005</v>
      </c>
      <c r="T715" s="103">
        <v>709065</v>
      </c>
      <c r="U715" s="103">
        <v>8.5</v>
      </c>
      <c r="V715" s="103" t="s">
        <v>5823</v>
      </c>
      <c r="W715" s="103" t="s">
        <v>310</v>
      </c>
    </row>
    <row r="716" spans="1:23" x14ac:dyDescent="0.45">
      <c r="A716" s="103">
        <f t="shared" si="41"/>
        <v>715</v>
      </c>
      <c r="B716" s="103" t="s">
        <v>6224</v>
      </c>
      <c r="C716" s="103" t="s">
        <v>2260</v>
      </c>
      <c r="D716" s="103" t="s">
        <v>330</v>
      </c>
      <c r="E716" s="103" t="s">
        <v>93</v>
      </c>
      <c r="F716" s="103" t="s">
        <v>77</v>
      </c>
      <c r="G716" s="103" t="s">
        <v>88</v>
      </c>
      <c r="H716" s="103" t="s">
        <v>6341</v>
      </c>
      <c r="I716" s="103" t="s">
        <v>143</v>
      </c>
      <c r="J716" s="103" t="s">
        <v>142</v>
      </c>
      <c r="K716" s="103" t="s">
        <v>5696</v>
      </c>
      <c r="L716" s="103"/>
      <c r="M716" s="103"/>
      <c r="N716" s="103" t="s">
        <v>6224</v>
      </c>
      <c r="O716" s="103" t="s">
        <v>5816</v>
      </c>
      <c r="P716" s="103" t="s">
        <v>6005</v>
      </c>
      <c r="Q716" s="103"/>
      <c r="R716" s="103"/>
      <c r="S716" s="103" t="s">
        <v>6263</v>
      </c>
      <c r="T716" s="103">
        <v>709065</v>
      </c>
      <c r="U716" s="103">
        <v>8.5</v>
      </c>
      <c r="V716" s="103" t="s">
        <v>5823</v>
      </c>
      <c r="W716" s="103" t="s">
        <v>310</v>
      </c>
    </row>
    <row r="717" spans="1:23" x14ac:dyDescent="0.45">
      <c r="A717" s="103">
        <f t="shared" si="41"/>
        <v>716</v>
      </c>
      <c r="B717" s="103" t="s">
        <v>6224</v>
      </c>
      <c r="C717" s="103" t="s">
        <v>2260</v>
      </c>
      <c r="D717" s="103" t="s">
        <v>330</v>
      </c>
      <c r="E717" s="103" t="s">
        <v>93</v>
      </c>
      <c r="F717" s="103" t="s">
        <v>77</v>
      </c>
      <c r="G717" s="103" t="s">
        <v>88</v>
      </c>
      <c r="H717" s="103" t="s">
        <v>6341</v>
      </c>
      <c r="I717" s="103" t="s">
        <v>143</v>
      </c>
      <c r="J717" s="103" t="s">
        <v>142</v>
      </c>
      <c r="K717" s="103" t="s">
        <v>5696</v>
      </c>
      <c r="L717" s="103"/>
      <c r="M717" s="103"/>
      <c r="N717" s="103" t="s">
        <v>6224</v>
      </c>
      <c r="O717" s="103" t="s">
        <v>5817</v>
      </c>
      <c r="P717" s="103">
        <v>13</v>
      </c>
      <c r="Q717" s="103"/>
      <c r="R717" s="103"/>
      <c r="S717" s="103" t="s">
        <v>6005</v>
      </c>
      <c r="T717" s="103">
        <v>709065</v>
      </c>
      <c r="U717" s="103">
        <v>8.5</v>
      </c>
      <c r="V717" s="103" t="s">
        <v>5823</v>
      </c>
      <c r="W717" s="103" t="s">
        <v>310</v>
      </c>
    </row>
    <row r="718" spans="1:23" x14ac:dyDescent="0.45">
      <c r="A718" s="103">
        <f t="shared" si="41"/>
        <v>717</v>
      </c>
      <c r="B718" s="103" t="s">
        <v>6224</v>
      </c>
      <c r="C718" s="103" t="s">
        <v>2260</v>
      </c>
      <c r="D718" s="103" t="s">
        <v>330</v>
      </c>
      <c r="E718" s="103" t="s">
        <v>93</v>
      </c>
      <c r="F718" s="103" t="s">
        <v>77</v>
      </c>
      <c r="G718" s="103" t="s">
        <v>88</v>
      </c>
      <c r="H718" s="103" t="s">
        <v>6341</v>
      </c>
      <c r="I718" s="103" t="s">
        <v>143</v>
      </c>
      <c r="J718" s="103" t="s">
        <v>142</v>
      </c>
      <c r="K718" s="103" t="s">
        <v>5696</v>
      </c>
      <c r="L718" s="103"/>
      <c r="M718" s="103"/>
      <c r="N718" s="103" t="s">
        <v>6224</v>
      </c>
      <c r="O718" s="103" t="s">
        <v>5815</v>
      </c>
      <c r="P718" s="103">
        <v>13</v>
      </c>
      <c r="Q718" s="103"/>
      <c r="R718" s="103"/>
      <c r="S718" s="103">
        <v>13</v>
      </c>
      <c r="T718" s="103">
        <v>709065</v>
      </c>
      <c r="U718" s="103">
        <v>8.5</v>
      </c>
      <c r="V718" s="103" t="s">
        <v>5823</v>
      </c>
      <c r="W718" s="103" t="s">
        <v>310</v>
      </c>
    </row>
    <row r="719" spans="1:23" x14ac:dyDescent="0.45">
      <c r="A719" s="103">
        <f t="shared" ref="A719:A724" si="42">ROW()-1</f>
        <v>718</v>
      </c>
      <c r="B719" s="103" t="s">
        <v>6344</v>
      </c>
      <c r="C719" s="103" t="s">
        <v>3598</v>
      </c>
      <c r="D719" s="103" t="s">
        <v>330</v>
      </c>
      <c r="E719" s="103" t="s">
        <v>99</v>
      </c>
      <c r="F719" s="103" t="s">
        <v>75</v>
      </c>
      <c r="G719" s="103" t="s">
        <v>71</v>
      </c>
      <c r="H719" s="103" t="s">
        <v>6345</v>
      </c>
      <c r="I719" s="103" t="s">
        <v>284</v>
      </c>
      <c r="J719" s="103" t="s">
        <v>178</v>
      </c>
      <c r="K719" s="103" t="s">
        <v>5950</v>
      </c>
      <c r="L719" s="103">
        <v>8506229596</v>
      </c>
      <c r="M719" s="103"/>
      <c r="N719" s="103" t="s">
        <v>6344</v>
      </c>
      <c r="O719" s="103" t="s">
        <v>5860</v>
      </c>
      <c r="P719" s="103" t="s">
        <v>5832</v>
      </c>
      <c r="Q719" s="103"/>
      <c r="R719" s="103"/>
      <c r="S719" s="103" t="s">
        <v>5832</v>
      </c>
      <c r="T719" s="103">
        <v>549686</v>
      </c>
      <c r="U719" s="103">
        <v>9</v>
      </c>
      <c r="V719" s="103" t="s">
        <v>65</v>
      </c>
      <c r="W719" s="103" t="s">
        <v>310</v>
      </c>
    </row>
    <row r="720" spans="1:23" x14ac:dyDescent="0.45">
      <c r="A720" s="103">
        <f t="shared" si="42"/>
        <v>719</v>
      </c>
      <c r="B720" s="103" t="s">
        <v>6344</v>
      </c>
      <c r="C720" s="103" t="s">
        <v>3598</v>
      </c>
      <c r="D720" s="103" t="s">
        <v>330</v>
      </c>
      <c r="E720" s="103" t="s">
        <v>99</v>
      </c>
      <c r="F720" s="103" t="s">
        <v>75</v>
      </c>
      <c r="G720" s="103" t="s">
        <v>71</v>
      </c>
      <c r="H720" s="103" t="s">
        <v>6345</v>
      </c>
      <c r="I720" s="103" t="s">
        <v>284</v>
      </c>
      <c r="J720" s="103" t="s">
        <v>105</v>
      </c>
      <c r="K720" s="103" t="s">
        <v>5944</v>
      </c>
      <c r="L720" s="103"/>
      <c r="M720" s="103"/>
      <c r="N720" s="103" t="s">
        <v>6344</v>
      </c>
      <c r="O720" s="103" t="s">
        <v>5816</v>
      </c>
      <c r="P720" s="103" t="s">
        <v>5854</v>
      </c>
      <c r="Q720" s="103"/>
      <c r="R720" s="103"/>
      <c r="S720" s="103" t="s">
        <v>5850</v>
      </c>
      <c r="T720" s="103">
        <v>549686</v>
      </c>
      <c r="U720" s="103">
        <v>8.1999999999999993</v>
      </c>
      <c r="V720" s="103" t="s">
        <v>5823</v>
      </c>
      <c r="W720" s="103" t="s">
        <v>310</v>
      </c>
    </row>
    <row r="721" spans="1:23" x14ac:dyDescent="0.45">
      <c r="A721" s="103">
        <f t="shared" si="42"/>
        <v>720</v>
      </c>
      <c r="B721" s="103" t="s">
        <v>6344</v>
      </c>
      <c r="C721" s="103" t="s">
        <v>3598</v>
      </c>
      <c r="D721" s="103" t="s">
        <v>330</v>
      </c>
      <c r="E721" s="103" t="s">
        <v>99</v>
      </c>
      <c r="F721" s="103" t="s">
        <v>75</v>
      </c>
      <c r="G721" s="103" t="s">
        <v>71</v>
      </c>
      <c r="H721" s="103" t="s">
        <v>6345</v>
      </c>
      <c r="I721" s="103" t="s">
        <v>284</v>
      </c>
      <c r="J721" s="103" t="s">
        <v>105</v>
      </c>
      <c r="K721" s="103" t="s">
        <v>5944</v>
      </c>
      <c r="L721" s="103"/>
      <c r="M721" s="103"/>
      <c r="N721" s="103" t="s">
        <v>6344</v>
      </c>
      <c r="O721" s="103" t="s">
        <v>5817</v>
      </c>
      <c r="P721" s="103" t="s">
        <v>5958</v>
      </c>
      <c r="Q721" s="103"/>
      <c r="R721" s="103"/>
      <c r="S721" s="103" t="s">
        <v>6057</v>
      </c>
      <c r="T721" s="103">
        <v>549686</v>
      </c>
      <c r="U721" s="103">
        <v>8.5</v>
      </c>
      <c r="V721" s="103" t="s">
        <v>5823</v>
      </c>
      <c r="W721" s="103" t="s">
        <v>310</v>
      </c>
    </row>
    <row r="722" spans="1:23" x14ac:dyDescent="0.45">
      <c r="A722" s="103">
        <f t="shared" si="42"/>
        <v>721</v>
      </c>
      <c r="B722" s="103" t="s">
        <v>6344</v>
      </c>
      <c r="C722" s="103" t="s">
        <v>3598</v>
      </c>
      <c r="D722" s="103" t="s">
        <v>330</v>
      </c>
      <c r="E722" s="103" t="s">
        <v>99</v>
      </c>
      <c r="F722" s="103" t="s">
        <v>75</v>
      </c>
      <c r="G722" s="103" t="s">
        <v>71</v>
      </c>
      <c r="H722" s="103" t="s">
        <v>6345</v>
      </c>
      <c r="I722" s="103" t="s">
        <v>284</v>
      </c>
      <c r="J722" s="103" t="s">
        <v>105</v>
      </c>
      <c r="K722" s="103" t="s">
        <v>5944</v>
      </c>
      <c r="L722" s="103"/>
      <c r="M722" s="103"/>
      <c r="N722" s="103" t="s">
        <v>6344</v>
      </c>
      <c r="O722" s="103" t="s">
        <v>5820</v>
      </c>
      <c r="P722" s="103" t="s">
        <v>6027</v>
      </c>
      <c r="Q722" s="103"/>
      <c r="R722" s="103"/>
      <c r="S722" s="103" t="s">
        <v>5892</v>
      </c>
      <c r="T722" s="103">
        <v>549686</v>
      </c>
      <c r="U722" s="103">
        <v>8.6</v>
      </c>
      <c r="V722" s="103" t="s">
        <v>5823</v>
      </c>
      <c r="W722" s="103" t="s">
        <v>310</v>
      </c>
    </row>
    <row r="723" spans="1:23" x14ac:dyDescent="0.45">
      <c r="A723" s="103">
        <f t="shared" si="42"/>
        <v>722</v>
      </c>
      <c r="B723" s="103" t="s">
        <v>6344</v>
      </c>
      <c r="C723" s="103" t="s">
        <v>3598</v>
      </c>
      <c r="D723" s="103" t="s">
        <v>330</v>
      </c>
      <c r="E723" s="103" t="s">
        <v>99</v>
      </c>
      <c r="F723" s="103" t="s">
        <v>75</v>
      </c>
      <c r="G723" s="103" t="s">
        <v>71</v>
      </c>
      <c r="H723" s="103" t="s">
        <v>6345</v>
      </c>
      <c r="I723" s="103" t="s">
        <v>284</v>
      </c>
      <c r="J723" s="103" t="s">
        <v>105</v>
      </c>
      <c r="K723" s="103" t="s">
        <v>5944</v>
      </c>
      <c r="L723" s="103"/>
      <c r="M723" s="103"/>
      <c r="N723" s="103" t="s">
        <v>6344</v>
      </c>
      <c r="O723" s="103" t="s">
        <v>5821</v>
      </c>
      <c r="P723" s="103" t="s">
        <v>5900</v>
      </c>
      <c r="Q723" s="103"/>
      <c r="R723" s="103"/>
      <c r="S723" s="103" t="s">
        <v>6057</v>
      </c>
      <c r="T723" s="103">
        <v>549686</v>
      </c>
      <c r="U723" s="103">
        <v>8.8000000000000007</v>
      </c>
      <c r="V723" s="103" t="s">
        <v>5823</v>
      </c>
      <c r="W723" s="103" t="s">
        <v>310</v>
      </c>
    </row>
    <row r="724" spans="1:23" x14ac:dyDescent="0.45">
      <c r="A724" s="103">
        <f t="shared" si="42"/>
        <v>723</v>
      </c>
      <c r="B724" s="103" t="s">
        <v>6344</v>
      </c>
      <c r="C724" s="103" t="s">
        <v>3598</v>
      </c>
      <c r="D724" s="103" t="s">
        <v>330</v>
      </c>
      <c r="E724" s="103" t="s">
        <v>99</v>
      </c>
      <c r="F724" s="103" t="s">
        <v>75</v>
      </c>
      <c r="G724" s="103" t="s">
        <v>71</v>
      </c>
      <c r="H724" s="103" t="s">
        <v>6345</v>
      </c>
      <c r="I724" s="103" t="s">
        <v>284</v>
      </c>
      <c r="J724" s="103" t="s">
        <v>105</v>
      </c>
      <c r="K724" s="103" t="s">
        <v>5944</v>
      </c>
      <c r="L724" s="103"/>
      <c r="M724" s="103"/>
      <c r="N724" s="103" t="s">
        <v>6344</v>
      </c>
      <c r="O724" s="103" t="s">
        <v>5860</v>
      </c>
      <c r="P724" s="103">
        <v>6</v>
      </c>
      <c r="Q724" s="103"/>
      <c r="R724" s="103"/>
      <c r="S724" s="103" t="s">
        <v>5798</v>
      </c>
      <c r="T724" s="103">
        <v>549686</v>
      </c>
      <c r="U724" s="103">
        <v>8.4</v>
      </c>
      <c r="V724" s="103" t="s">
        <v>5823</v>
      </c>
      <c r="W724" s="103" t="s">
        <v>310</v>
      </c>
    </row>
    <row r="725" spans="1:23" x14ac:dyDescent="0.45">
      <c r="A725" s="103">
        <f t="shared" ref="A725:A730" si="43">ROW()-1</f>
        <v>724</v>
      </c>
      <c r="B725" s="103" t="s">
        <v>6344</v>
      </c>
      <c r="C725" s="103" t="s">
        <v>3598</v>
      </c>
      <c r="D725" s="103" t="s">
        <v>330</v>
      </c>
      <c r="E725" s="103" t="s">
        <v>99</v>
      </c>
      <c r="F725" s="103" t="s">
        <v>75</v>
      </c>
      <c r="G725" s="103" t="s">
        <v>71</v>
      </c>
      <c r="H725" s="103" t="s">
        <v>6348</v>
      </c>
      <c r="I725" s="103" t="s">
        <v>284</v>
      </c>
      <c r="J725" s="103" t="s">
        <v>178</v>
      </c>
      <c r="K725" s="103" t="s">
        <v>5950</v>
      </c>
      <c r="L725" s="103">
        <v>8506229591</v>
      </c>
      <c r="M725" s="103"/>
      <c r="N725" s="103" t="s">
        <v>6344</v>
      </c>
      <c r="O725" s="103" t="s">
        <v>5859</v>
      </c>
      <c r="P725" s="103">
        <v>12.1</v>
      </c>
      <c r="Q725" s="103"/>
      <c r="R725" s="103"/>
      <c r="S725" s="103">
        <v>12.1</v>
      </c>
      <c r="T725" s="103">
        <v>516640</v>
      </c>
      <c r="U725" s="103">
        <v>9</v>
      </c>
      <c r="V725" s="103" t="s">
        <v>65</v>
      </c>
      <c r="W725" s="103" t="s">
        <v>310</v>
      </c>
    </row>
    <row r="726" spans="1:23" x14ac:dyDescent="0.45">
      <c r="A726" s="103">
        <f t="shared" si="43"/>
        <v>725</v>
      </c>
      <c r="B726" s="103" t="s">
        <v>6344</v>
      </c>
      <c r="C726" s="103" t="s">
        <v>3598</v>
      </c>
      <c r="D726" s="103" t="s">
        <v>330</v>
      </c>
      <c r="E726" s="103" t="s">
        <v>99</v>
      </c>
      <c r="F726" s="103" t="s">
        <v>75</v>
      </c>
      <c r="G726" s="103" t="s">
        <v>71</v>
      </c>
      <c r="H726" s="103" t="s">
        <v>6348</v>
      </c>
      <c r="I726" s="103" t="s">
        <v>284</v>
      </c>
      <c r="J726" s="103" t="s">
        <v>105</v>
      </c>
      <c r="K726" s="103" t="s">
        <v>5944</v>
      </c>
      <c r="L726" s="103"/>
      <c r="M726" s="103"/>
      <c r="N726" s="103" t="s">
        <v>6344</v>
      </c>
      <c r="O726" s="103" t="s">
        <v>5816</v>
      </c>
      <c r="P726" s="103" t="s">
        <v>6218</v>
      </c>
      <c r="Q726" s="103"/>
      <c r="R726" s="103"/>
      <c r="S726" s="103" t="s">
        <v>6057</v>
      </c>
      <c r="T726" s="103">
        <v>516640</v>
      </c>
      <c r="U726" s="103">
        <v>8.5</v>
      </c>
      <c r="V726" s="103" t="s">
        <v>5823</v>
      </c>
      <c r="W726" s="103" t="s">
        <v>310</v>
      </c>
    </row>
    <row r="727" spans="1:23" x14ac:dyDescent="0.45">
      <c r="A727" s="103">
        <f t="shared" si="43"/>
        <v>726</v>
      </c>
      <c r="B727" s="103" t="s">
        <v>6344</v>
      </c>
      <c r="C727" s="103" t="s">
        <v>3598</v>
      </c>
      <c r="D727" s="103" t="s">
        <v>330</v>
      </c>
      <c r="E727" s="103" t="s">
        <v>99</v>
      </c>
      <c r="F727" s="103" t="s">
        <v>75</v>
      </c>
      <c r="G727" s="103" t="s">
        <v>71</v>
      </c>
      <c r="H727" s="103" t="s">
        <v>6348</v>
      </c>
      <c r="I727" s="103" t="s">
        <v>284</v>
      </c>
      <c r="J727" s="103" t="s">
        <v>105</v>
      </c>
      <c r="K727" s="103" t="s">
        <v>5944</v>
      </c>
      <c r="L727" s="103"/>
      <c r="M727" s="103"/>
      <c r="N727" s="103" t="s">
        <v>6344</v>
      </c>
      <c r="O727" s="103" t="s">
        <v>5817</v>
      </c>
      <c r="P727" s="103" t="s">
        <v>5886</v>
      </c>
      <c r="Q727" s="103"/>
      <c r="R727" s="103"/>
      <c r="S727" s="103" t="s">
        <v>6040</v>
      </c>
      <c r="T727" s="103">
        <v>516640</v>
      </c>
      <c r="U727" s="103">
        <v>8.6</v>
      </c>
      <c r="V727" s="103" t="s">
        <v>5823</v>
      </c>
      <c r="W727" s="103" t="s">
        <v>310</v>
      </c>
    </row>
    <row r="728" spans="1:23" x14ac:dyDescent="0.45">
      <c r="A728" s="103">
        <f t="shared" si="43"/>
        <v>727</v>
      </c>
      <c r="B728" s="103" t="s">
        <v>6344</v>
      </c>
      <c r="C728" s="103" t="s">
        <v>3598</v>
      </c>
      <c r="D728" s="103" t="s">
        <v>330</v>
      </c>
      <c r="E728" s="103" t="s">
        <v>99</v>
      </c>
      <c r="F728" s="103" t="s">
        <v>75</v>
      </c>
      <c r="G728" s="103" t="s">
        <v>71</v>
      </c>
      <c r="H728" s="103" t="s">
        <v>6348</v>
      </c>
      <c r="I728" s="103" t="s">
        <v>284</v>
      </c>
      <c r="J728" s="103" t="s">
        <v>122</v>
      </c>
      <c r="K728" s="103" t="s">
        <v>5693</v>
      </c>
      <c r="L728" s="103"/>
      <c r="M728" s="103"/>
      <c r="N728" s="103" t="s">
        <v>6344</v>
      </c>
      <c r="O728" s="103" t="s">
        <v>5820</v>
      </c>
      <c r="P728" s="103" t="s">
        <v>6172</v>
      </c>
      <c r="Q728" s="103"/>
      <c r="R728" s="103"/>
      <c r="S728" s="103">
        <v>10</v>
      </c>
      <c r="T728" s="103">
        <v>516640</v>
      </c>
      <c r="U728" s="103">
        <v>8.6</v>
      </c>
      <c r="V728" s="103" t="s">
        <v>5823</v>
      </c>
      <c r="W728" s="103" t="s">
        <v>310</v>
      </c>
    </row>
    <row r="729" spans="1:23" x14ac:dyDescent="0.45">
      <c r="A729" s="103">
        <f t="shared" si="43"/>
        <v>728</v>
      </c>
      <c r="B729" s="103" t="s">
        <v>6344</v>
      </c>
      <c r="C729" s="103" t="s">
        <v>3598</v>
      </c>
      <c r="D729" s="103" t="s">
        <v>330</v>
      </c>
      <c r="E729" s="103" t="s">
        <v>99</v>
      </c>
      <c r="F729" s="103" t="s">
        <v>75</v>
      </c>
      <c r="G729" s="103" t="s">
        <v>71</v>
      </c>
      <c r="H729" s="103" t="s">
        <v>6348</v>
      </c>
      <c r="I729" s="103" t="s">
        <v>284</v>
      </c>
      <c r="J729" s="103" t="s">
        <v>214</v>
      </c>
      <c r="K729" s="103" t="s">
        <v>6349</v>
      </c>
      <c r="L729" s="103"/>
      <c r="M729" s="103"/>
      <c r="N729" s="103" t="s">
        <v>6344</v>
      </c>
      <c r="O729" s="103" t="s">
        <v>5821</v>
      </c>
      <c r="P729" s="103" t="s">
        <v>5870</v>
      </c>
      <c r="Q729" s="103"/>
      <c r="R729" s="103"/>
      <c r="S729" s="103">
        <v>3</v>
      </c>
      <c r="T729" s="103">
        <v>516640</v>
      </c>
      <c r="U729" s="103">
        <v>8.6</v>
      </c>
      <c r="V729" s="103" t="s">
        <v>5823</v>
      </c>
      <c r="W729" s="103" t="s">
        <v>310</v>
      </c>
    </row>
    <row r="730" spans="1:23" x14ac:dyDescent="0.45">
      <c r="A730" s="103">
        <f t="shared" si="43"/>
        <v>729</v>
      </c>
      <c r="B730" s="103" t="s">
        <v>6344</v>
      </c>
      <c r="C730" s="103" t="s">
        <v>3598</v>
      </c>
      <c r="D730" s="103" t="s">
        <v>330</v>
      </c>
      <c r="E730" s="103" t="s">
        <v>99</v>
      </c>
      <c r="F730" s="103" t="s">
        <v>75</v>
      </c>
      <c r="G730" s="103" t="s">
        <v>71</v>
      </c>
      <c r="H730" s="103" t="s">
        <v>6348</v>
      </c>
      <c r="I730" s="103" t="s">
        <v>284</v>
      </c>
      <c r="J730" s="103" t="s">
        <v>154</v>
      </c>
      <c r="K730" s="103" t="s">
        <v>6350</v>
      </c>
      <c r="L730" s="103"/>
      <c r="M730" s="103"/>
      <c r="N730" s="103" t="s">
        <v>6344</v>
      </c>
      <c r="O730" s="103" t="s">
        <v>5860</v>
      </c>
      <c r="P730" s="103" t="s">
        <v>5851</v>
      </c>
      <c r="Q730" s="103"/>
      <c r="R730" s="103"/>
      <c r="S730" s="103" t="s">
        <v>5902</v>
      </c>
      <c r="T730" s="103">
        <v>516640</v>
      </c>
      <c r="U730" s="103">
        <v>8.5</v>
      </c>
      <c r="V730" s="103" t="s">
        <v>5823</v>
      </c>
      <c r="W730" s="103" t="s">
        <v>310</v>
      </c>
    </row>
    <row r="731" spans="1:23" x14ac:dyDescent="0.45">
      <c r="A731" s="103">
        <f t="shared" ref="A731:A743" si="44">ROW()-1</f>
        <v>730</v>
      </c>
      <c r="B731" s="103" t="s">
        <v>5783</v>
      </c>
      <c r="C731" s="103" t="s">
        <v>3598</v>
      </c>
      <c r="D731" s="103" t="s">
        <v>330</v>
      </c>
      <c r="E731" s="103" t="s">
        <v>100</v>
      </c>
      <c r="F731" s="103"/>
      <c r="G731" s="103" t="s">
        <v>71</v>
      </c>
      <c r="H731" s="103" t="s">
        <v>6351</v>
      </c>
      <c r="I731" s="103" t="s">
        <v>200</v>
      </c>
      <c r="J731" s="103" t="s">
        <v>154</v>
      </c>
      <c r="K731" s="103" t="s">
        <v>6355</v>
      </c>
      <c r="L731" s="103">
        <v>1931115790</v>
      </c>
      <c r="M731" s="103"/>
      <c r="N731" s="103" t="s">
        <v>5783</v>
      </c>
      <c r="O731" s="103" t="s">
        <v>47</v>
      </c>
      <c r="P731" s="103">
        <v>15</v>
      </c>
      <c r="Q731" s="103"/>
      <c r="R731" s="103"/>
      <c r="S731" s="103">
        <v>15</v>
      </c>
      <c r="T731" s="103">
        <v>392266</v>
      </c>
      <c r="U731" s="103">
        <v>9</v>
      </c>
      <c r="V731" s="103" t="s">
        <v>65</v>
      </c>
      <c r="W731" s="103" t="s">
        <v>310</v>
      </c>
    </row>
    <row r="732" spans="1:23" x14ac:dyDescent="0.45">
      <c r="A732" s="103">
        <f t="shared" si="44"/>
        <v>731</v>
      </c>
      <c r="B732" s="103" t="s">
        <v>5783</v>
      </c>
      <c r="C732" s="103" t="s">
        <v>3598</v>
      </c>
      <c r="D732" s="103" t="s">
        <v>330</v>
      </c>
      <c r="E732" s="103" t="s">
        <v>100</v>
      </c>
      <c r="F732" s="103"/>
      <c r="G732" s="103" t="s">
        <v>71</v>
      </c>
      <c r="H732" s="103" t="s">
        <v>6351</v>
      </c>
      <c r="I732" s="103" t="s">
        <v>200</v>
      </c>
      <c r="J732" s="103" t="s">
        <v>154</v>
      </c>
      <c r="K732" s="103" t="s">
        <v>6355</v>
      </c>
      <c r="L732" s="103">
        <v>1931114550</v>
      </c>
      <c r="M732" s="103"/>
      <c r="N732" s="103" t="s">
        <v>5783</v>
      </c>
      <c r="O732" s="103" t="s">
        <v>5580</v>
      </c>
      <c r="P732" s="103">
        <v>15</v>
      </c>
      <c r="Q732" s="103"/>
      <c r="R732" s="103"/>
      <c r="S732" s="103">
        <v>15</v>
      </c>
      <c r="T732" s="103">
        <v>392266</v>
      </c>
      <c r="U732" s="103">
        <v>9</v>
      </c>
      <c r="V732" s="103" t="s">
        <v>65</v>
      </c>
      <c r="W732" s="103" t="s">
        <v>310</v>
      </c>
    </row>
    <row r="733" spans="1:23" x14ac:dyDescent="0.45">
      <c r="A733" s="103">
        <f t="shared" si="44"/>
        <v>732</v>
      </c>
      <c r="B733" s="103" t="s">
        <v>5783</v>
      </c>
      <c r="C733" s="103" t="s">
        <v>3598</v>
      </c>
      <c r="D733" s="103" t="s">
        <v>330</v>
      </c>
      <c r="E733" s="103" t="s">
        <v>100</v>
      </c>
      <c r="F733" s="103"/>
      <c r="G733" s="103" t="s">
        <v>71</v>
      </c>
      <c r="H733" s="103" t="s">
        <v>6351</v>
      </c>
      <c r="I733" s="103" t="s">
        <v>200</v>
      </c>
      <c r="J733" s="103" t="s">
        <v>217</v>
      </c>
      <c r="K733" s="103" t="s">
        <v>6354</v>
      </c>
      <c r="L733" s="103"/>
      <c r="M733" s="103"/>
      <c r="N733" s="103" t="s">
        <v>5783</v>
      </c>
      <c r="O733" s="103" t="s">
        <v>5812</v>
      </c>
      <c r="P733" s="103" t="s">
        <v>6085</v>
      </c>
      <c r="Q733" s="103"/>
      <c r="R733" s="103"/>
      <c r="S733" s="103">
        <v>11</v>
      </c>
      <c r="T733" s="103">
        <v>392266</v>
      </c>
      <c r="U733" s="103">
        <v>8.5</v>
      </c>
      <c r="V733" s="103" t="s">
        <v>5823</v>
      </c>
      <c r="W733" s="103" t="s">
        <v>310</v>
      </c>
    </row>
    <row r="734" spans="1:23" x14ac:dyDescent="0.45">
      <c r="A734" s="103">
        <f t="shared" si="44"/>
        <v>733</v>
      </c>
      <c r="B734" s="103" t="s">
        <v>5783</v>
      </c>
      <c r="C734" s="103" t="s">
        <v>3598</v>
      </c>
      <c r="D734" s="103" t="s">
        <v>330</v>
      </c>
      <c r="E734" s="103" t="s">
        <v>100</v>
      </c>
      <c r="F734" s="103"/>
      <c r="G734" s="103" t="s">
        <v>71</v>
      </c>
      <c r="H734" s="103" t="s">
        <v>6351</v>
      </c>
      <c r="I734" s="103" t="s">
        <v>200</v>
      </c>
      <c r="J734" s="103" t="s">
        <v>217</v>
      </c>
      <c r="K734" s="103" t="s">
        <v>6354</v>
      </c>
      <c r="L734" s="103"/>
      <c r="M734" s="103"/>
      <c r="N734" s="103" t="s">
        <v>5783</v>
      </c>
      <c r="O734" s="103" t="s">
        <v>5581</v>
      </c>
      <c r="P734" s="103" t="s">
        <v>6086</v>
      </c>
      <c r="Q734" s="103"/>
      <c r="R734" s="103"/>
      <c r="S734" s="103" t="s">
        <v>5856</v>
      </c>
      <c r="T734" s="103">
        <v>392266</v>
      </c>
      <c r="U734" s="103" t="s">
        <v>5796</v>
      </c>
      <c r="V734" s="103" t="s">
        <v>5823</v>
      </c>
      <c r="W734" s="103" t="s">
        <v>310</v>
      </c>
    </row>
    <row r="735" spans="1:23" x14ac:dyDescent="0.45">
      <c r="A735" s="103">
        <f t="shared" si="44"/>
        <v>734</v>
      </c>
      <c r="B735" s="103" t="s">
        <v>5783</v>
      </c>
      <c r="C735" s="103" t="s">
        <v>3598</v>
      </c>
      <c r="D735" s="103" t="s">
        <v>330</v>
      </c>
      <c r="E735" s="103" t="s">
        <v>100</v>
      </c>
      <c r="F735" s="103"/>
      <c r="G735" s="103" t="s">
        <v>71</v>
      </c>
      <c r="H735" s="103" t="s">
        <v>6351</v>
      </c>
      <c r="I735" s="103" t="s">
        <v>200</v>
      </c>
      <c r="J735" s="103" t="s">
        <v>217</v>
      </c>
      <c r="K735" s="103" t="s">
        <v>6354</v>
      </c>
      <c r="L735" s="103"/>
      <c r="M735" s="103"/>
      <c r="N735" s="103" t="s">
        <v>5783</v>
      </c>
      <c r="O735" s="103" t="s">
        <v>5813</v>
      </c>
      <c r="P735" s="103" t="s">
        <v>5883</v>
      </c>
      <c r="Q735" s="103"/>
      <c r="R735" s="103"/>
      <c r="S735" s="103" t="s">
        <v>5857</v>
      </c>
      <c r="T735" s="103">
        <v>392266</v>
      </c>
      <c r="U735" s="103" t="s">
        <v>5796</v>
      </c>
      <c r="V735" s="103" t="s">
        <v>5823</v>
      </c>
      <c r="W735" s="103" t="s">
        <v>310</v>
      </c>
    </row>
    <row r="736" spans="1:23" x14ac:dyDescent="0.45">
      <c r="A736" s="103">
        <f t="shared" si="44"/>
        <v>735</v>
      </c>
      <c r="B736" s="103" t="s">
        <v>5783</v>
      </c>
      <c r="C736" s="103" t="s">
        <v>3598</v>
      </c>
      <c r="D736" s="103" t="s">
        <v>330</v>
      </c>
      <c r="E736" s="103" t="s">
        <v>100</v>
      </c>
      <c r="F736" s="103"/>
      <c r="G736" s="103" t="s">
        <v>71</v>
      </c>
      <c r="H736" s="103" t="s">
        <v>6351</v>
      </c>
      <c r="I736" s="103" t="s">
        <v>200</v>
      </c>
      <c r="J736" s="103" t="s">
        <v>217</v>
      </c>
      <c r="K736" s="103" t="s">
        <v>6354</v>
      </c>
      <c r="L736" s="103"/>
      <c r="M736" s="103"/>
      <c r="N736" s="103" t="s">
        <v>5783</v>
      </c>
      <c r="O736" s="103" t="s">
        <v>5814</v>
      </c>
      <c r="P736" s="103" t="s">
        <v>6172</v>
      </c>
      <c r="Q736" s="103"/>
      <c r="R736" s="103"/>
      <c r="S736" s="103" t="s">
        <v>5915</v>
      </c>
      <c r="T736" s="103">
        <v>392266</v>
      </c>
      <c r="U736" s="103">
        <v>8.6999999999999993</v>
      </c>
      <c r="V736" s="103" t="s">
        <v>5823</v>
      </c>
      <c r="W736" s="103" t="s">
        <v>310</v>
      </c>
    </row>
    <row r="737" spans="1:23" x14ac:dyDescent="0.45">
      <c r="A737" s="103">
        <f t="shared" si="44"/>
        <v>736</v>
      </c>
      <c r="B737" s="103" t="s">
        <v>5783</v>
      </c>
      <c r="C737" s="103" t="s">
        <v>2260</v>
      </c>
      <c r="D737" s="103" t="s">
        <v>330</v>
      </c>
      <c r="E737" s="103"/>
      <c r="F737" s="103" t="s">
        <v>77</v>
      </c>
      <c r="G737" s="103" t="s">
        <v>88</v>
      </c>
      <c r="H737" s="103" t="s">
        <v>6356</v>
      </c>
      <c r="I737" s="103" t="s">
        <v>143</v>
      </c>
      <c r="J737" s="103" t="s">
        <v>142</v>
      </c>
      <c r="K737" s="103" t="s">
        <v>5696</v>
      </c>
      <c r="L737" s="103">
        <v>3002225311</v>
      </c>
      <c r="M737" s="103"/>
      <c r="N737" s="103" t="s">
        <v>5783</v>
      </c>
      <c r="O737" s="103" t="s">
        <v>5820</v>
      </c>
      <c r="P737" s="103" t="s">
        <v>5803</v>
      </c>
      <c r="Q737" s="103"/>
      <c r="R737" s="103"/>
      <c r="S737" s="103" t="s">
        <v>5803</v>
      </c>
      <c r="T737" s="103">
        <v>974854</v>
      </c>
      <c r="U737" s="103">
        <v>8.5</v>
      </c>
      <c r="V737" s="103" t="s">
        <v>65</v>
      </c>
      <c r="W737" s="103" t="s">
        <v>310</v>
      </c>
    </row>
    <row r="738" spans="1:23" x14ac:dyDescent="0.45">
      <c r="A738" s="103">
        <f t="shared" si="44"/>
        <v>737</v>
      </c>
      <c r="B738" s="103" t="s">
        <v>5783</v>
      </c>
      <c r="C738" s="103" t="s">
        <v>2260</v>
      </c>
      <c r="D738" s="103" t="s">
        <v>330</v>
      </c>
      <c r="E738" s="103"/>
      <c r="F738" s="103" t="s">
        <v>77</v>
      </c>
      <c r="G738" s="103" t="s">
        <v>88</v>
      </c>
      <c r="H738" s="103" t="s">
        <v>6356</v>
      </c>
      <c r="I738" s="103" t="s">
        <v>143</v>
      </c>
      <c r="J738" s="103" t="s">
        <v>142</v>
      </c>
      <c r="K738" s="103" t="s">
        <v>5696</v>
      </c>
      <c r="L738" s="103">
        <v>3002225313</v>
      </c>
      <c r="M738" s="103"/>
      <c r="N738" s="103" t="s">
        <v>5783</v>
      </c>
      <c r="O738" s="103" t="s">
        <v>5821</v>
      </c>
      <c r="P738" s="103" t="s">
        <v>5803</v>
      </c>
      <c r="Q738" s="103"/>
      <c r="R738" s="103"/>
      <c r="S738" s="103" t="s">
        <v>5803</v>
      </c>
      <c r="T738" s="103">
        <v>974854</v>
      </c>
      <c r="U738" s="103">
        <v>8.5</v>
      </c>
      <c r="V738" s="103" t="s">
        <v>65</v>
      </c>
      <c r="W738" s="103" t="s">
        <v>310</v>
      </c>
    </row>
    <row r="739" spans="1:23" x14ac:dyDescent="0.45">
      <c r="A739" s="103">
        <f t="shared" si="44"/>
        <v>738</v>
      </c>
      <c r="B739" s="103" t="s">
        <v>5783</v>
      </c>
      <c r="C739" s="103" t="s">
        <v>2260</v>
      </c>
      <c r="D739" s="103" t="s">
        <v>330</v>
      </c>
      <c r="E739" s="103"/>
      <c r="F739" s="103" t="s">
        <v>77</v>
      </c>
      <c r="G739" s="103" t="s">
        <v>88</v>
      </c>
      <c r="H739" s="103" t="s">
        <v>6356</v>
      </c>
      <c r="I739" s="103" t="s">
        <v>143</v>
      </c>
      <c r="J739" s="103" t="s">
        <v>142</v>
      </c>
      <c r="K739" s="103" t="s">
        <v>5696</v>
      </c>
      <c r="L739" s="103">
        <v>3002225299</v>
      </c>
      <c r="M739" s="103"/>
      <c r="N739" s="103" t="s">
        <v>5783</v>
      </c>
      <c r="O739" s="103" t="s">
        <v>5822</v>
      </c>
      <c r="P739" s="103" t="s">
        <v>5803</v>
      </c>
      <c r="Q739" s="103"/>
      <c r="R739" s="103"/>
      <c r="S739" s="103" t="s">
        <v>5803</v>
      </c>
      <c r="T739" s="103">
        <v>974854</v>
      </c>
      <c r="U739" s="103">
        <v>8.5</v>
      </c>
      <c r="V739" s="103" t="s">
        <v>65</v>
      </c>
      <c r="W739" s="103" t="s">
        <v>310</v>
      </c>
    </row>
    <row r="740" spans="1:23" x14ac:dyDescent="0.45">
      <c r="A740" s="103">
        <f t="shared" si="44"/>
        <v>739</v>
      </c>
      <c r="B740" s="103" t="s">
        <v>5783</v>
      </c>
      <c r="C740" s="103" t="s">
        <v>2260</v>
      </c>
      <c r="D740" s="103" t="s">
        <v>330</v>
      </c>
      <c r="E740" s="103"/>
      <c r="F740" s="103" t="s">
        <v>77</v>
      </c>
      <c r="G740" s="103" t="s">
        <v>88</v>
      </c>
      <c r="H740" s="103" t="s">
        <v>6356</v>
      </c>
      <c r="I740" s="103" t="s">
        <v>116</v>
      </c>
      <c r="J740" s="103" t="s">
        <v>105</v>
      </c>
      <c r="K740" s="103" t="s">
        <v>5722</v>
      </c>
      <c r="L740" s="103"/>
      <c r="M740" s="103"/>
      <c r="N740" s="103" t="s">
        <v>5783</v>
      </c>
      <c r="O740" s="103" t="s">
        <v>5815</v>
      </c>
      <c r="P740" s="103" t="s">
        <v>6263</v>
      </c>
      <c r="Q740" s="103"/>
      <c r="R740" s="103"/>
      <c r="S740" s="103" t="s">
        <v>5833</v>
      </c>
      <c r="T740" s="103">
        <v>974854</v>
      </c>
      <c r="U740" s="103">
        <v>8.4</v>
      </c>
      <c r="V740" s="103" t="s">
        <v>5823</v>
      </c>
      <c r="W740" s="103" t="s">
        <v>310</v>
      </c>
    </row>
    <row r="741" spans="1:23" x14ac:dyDescent="0.45">
      <c r="A741" s="103">
        <f t="shared" si="44"/>
        <v>740</v>
      </c>
      <c r="B741" s="103" t="s">
        <v>5783</v>
      </c>
      <c r="C741" s="103" t="s">
        <v>2260</v>
      </c>
      <c r="D741" s="103" t="s">
        <v>330</v>
      </c>
      <c r="E741" s="103"/>
      <c r="F741" s="103" t="s">
        <v>77</v>
      </c>
      <c r="G741" s="103" t="s">
        <v>88</v>
      </c>
      <c r="H741" s="103" t="s">
        <v>6356</v>
      </c>
      <c r="I741" s="103" t="s">
        <v>116</v>
      </c>
      <c r="J741" s="103" t="s">
        <v>105</v>
      </c>
      <c r="K741" s="103" t="s">
        <v>5722</v>
      </c>
      <c r="L741" s="103"/>
      <c r="M741" s="103"/>
      <c r="N741" s="103" t="s">
        <v>5783</v>
      </c>
      <c r="O741" s="103" t="s">
        <v>5816</v>
      </c>
      <c r="P741" s="103" t="s">
        <v>6012</v>
      </c>
      <c r="Q741" s="103"/>
      <c r="R741" s="103"/>
      <c r="S741" s="103" t="s">
        <v>6123</v>
      </c>
      <c r="T741" s="103">
        <v>974854</v>
      </c>
      <c r="U741" s="103" t="s">
        <v>5796</v>
      </c>
      <c r="V741" s="103" t="s">
        <v>5823</v>
      </c>
      <c r="W741" s="103" t="s">
        <v>310</v>
      </c>
    </row>
    <row r="742" spans="1:23" x14ac:dyDescent="0.45">
      <c r="A742" s="103">
        <f t="shared" si="44"/>
        <v>741</v>
      </c>
      <c r="B742" s="103" t="s">
        <v>5783</v>
      </c>
      <c r="C742" s="103" t="s">
        <v>2260</v>
      </c>
      <c r="D742" s="103" t="s">
        <v>330</v>
      </c>
      <c r="E742" s="103"/>
      <c r="F742" s="103" t="s">
        <v>77</v>
      </c>
      <c r="G742" s="103" t="s">
        <v>88</v>
      </c>
      <c r="H742" s="103" t="s">
        <v>6356</v>
      </c>
      <c r="I742" s="103" t="s">
        <v>116</v>
      </c>
      <c r="J742" s="103" t="s">
        <v>105</v>
      </c>
      <c r="K742" s="103" t="s">
        <v>5722</v>
      </c>
      <c r="L742" s="103"/>
      <c r="M742" s="103"/>
      <c r="N742" s="103" t="s">
        <v>5783</v>
      </c>
      <c r="O742" s="103" t="s">
        <v>5817</v>
      </c>
      <c r="P742" s="103" t="s">
        <v>5833</v>
      </c>
      <c r="Q742" s="103"/>
      <c r="R742" s="103"/>
      <c r="S742" s="103" t="s">
        <v>5852</v>
      </c>
      <c r="T742" s="103">
        <v>974854</v>
      </c>
      <c r="U742" s="103" t="s">
        <v>5796</v>
      </c>
      <c r="V742" s="103" t="s">
        <v>5823</v>
      </c>
      <c r="W742" s="103" t="s">
        <v>310</v>
      </c>
    </row>
    <row r="743" spans="1:23" x14ac:dyDescent="0.45">
      <c r="A743" s="103">
        <f t="shared" si="44"/>
        <v>742</v>
      </c>
      <c r="B743" s="103" t="s">
        <v>5783</v>
      </c>
      <c r="C743" s="103" t="s">
        <v>2260</v>
      </c>
      <c r="D743" s="103" t="s">
        <v>330</v>
      </c>
      <c r="E743" s="103"/>
      <c r="F743" s="103" t="s">
        <v>77</v>
      </c>
      <c r="G743" s="103" t="s">
        <v>88</v>
      </c>
      <c r="H743" s="103" t="s">
        <v>6356</v>
      </c>
      <c r="I743" s="103" t="s">
        <v>116</v>
      </c>
      <c r="J743" s="103" t="s">
        <v>105</v>
      </c>
      <c r="K743" s="103" t="s">
        <v>5722</v>
      </c>
      <c r="L743" s="103"/>
      <c r="M743" s="103"/>
      <c r="N743" s="103" t="s">
        <v>5783</v>
      </c>
      <c r="O743" s="103" t="s">
        <v>5815</v>
      </c>
      <c r="P743" s="103">
        <v>11</v>
      </c>
      <c r="Q743" s="103"/>
      <c r="R743" s="103"/>
      <c r="S743" s="103" t="s">
        <v>6261</v>
      </c>
      <c r="T743" s="103">
        <v>974854</v>
      </c>
      <c r="U743" s="103">
        <v>8.3000000000000007</v>
      </c>
      <c r="V743" s="103" t="s">
        <v>5823</v>
      </c>
      <c r="W743" s="103" t="s">
        <v>310</v>
      </c>
    </row>
    <row r="744" spans="1:23" x14ac:dyDescent="0.45">
      <c r="A744" s="103">
        <f t="shared" ref="A744:A750" si="45">ROW()-1</f>
        <v>743</v>
      </c>
      <c r="B744" s="103" t="s">
        <v>6344</v>
      </c>
      <c r="C744" s="103" t="s">
        <v>6359</v>
      </c>
      <c r="D744" s="103"/>
      <c r="E744" s="103" t="s">
        <v>100</v>
      </c>
      <c r="F744" s="103" t="s">
        <v>72</v>
      </c>
      <c r="G744" s="103" t="s">
        <v>71</v>
      </c>
      <c r="H744" s="103" t="s">
        <v>6360</v>
      </c>
      <c r="I744" s="103" t="s">
        <v>143</v>
      </c>
      <c r="J744" s="103" t="s">
        <v>5629</v>
      </c>
      <c r="K744" s="103" t="s">
        <v>6362</v>
      </c>
      <c r="L744" s="103">
        <v>9100</v>
      </c>
      <c r="M744" s="103"/>
      <c r="N744" s="103" t="s">
        <v>6344</v>
      </c>
      <c r="O744" s="103" t="s">
        <v>5812</v>
      </c>
      <c r="P744" s="103" t="s">
        <v>6133</v>
      </c>
      <c r="Q744" s="103"/>
      <c r="R744" s="103"/>
      <c r="S744" s="103" t="s">
        <v>6133</v>
      </c>
      <c r="T744" s="103">
        <v>944053</v>
      </c>
      <c r="U744" s="103">
        <v>8.5</v>
      </c>
      <c r="V744" s="103" t="s">
        <v>65</v>
      </c>
      <c r="W744" s="103" t="s">
        <v>310</v>
      </c>
    </row>
    <row r="745" spans="1:23" x14ac:dyDescent="0.45">
      <c r="A745" s="103">
        <f t="shared" si="45"/>
        <v>744</v>
      </c>
      <c r="B745" s="103" t="s">
        <v>6344</v>
      </c>
      <c r="C745" s="103" t="s">
        <v>6359</v>
      </c>
      <c r="D745" s="103"/>
      <c r="E745" s="103" t="s">
        <v>100</v>
      </c>
      <c r="F745" s="103" t="s">
        <v>72</v>
      </c>
      <c r="G745" s="103" t="s">
        <v>71</v>
      </c>
      <c r="H745" s="103" t="s">
        <v>6360</v>
      </c>
      <c r="I745" s="103"/>
      <c r="J745" s="103" t="s">
        <v>5629</v>
      </c>
      <c r="K745" s="103" t="s">
        <v>6362</v>
      </c>
      <c r="L745" s="103">
        <v>9102</v>
      </c>
      <c r="M745" s="103"/>
      <c r="N745" s="103" t="s">
        <v>6344</v>
      </c>
      <c r="O745" s="103" t="s">
        <v>5581</v>
      </c>
      <c r="P745" s="103" t="s">
        <v>6133</v>
      </c>
      <c r="Q745" s="103"/>
      <c r="R745" s="103"/>
      <c r="S745" s="103" t="s">
        <v>6133</v>
      </c>
      <c r="T745" s="103">
        <v>944053</v>
      </c>
      <c r="U745" s="103">
        <v>8.5</v>
      </c>
      <c r="V745" s="103" t="s">
        <v>65</v>
      </c>
      <c r="W745" s="103" t="s">
        <v>310</v>
      </c>
    </row>
    <row r="746" spans="1:23" x14ac:dyDescent="0.45">
      <c r="A746" s="103">
        <f t="shared" si="45"/>
        <v>745</v>
      </c>
      <c r="B746" s="103" t="s">
        <v>6344</v>
      </c>
      <c r="C746" s="103" t="s">
        <v>6359</v>
      </c>
      <c r="D746" s="103"/>
      <c r="E746" s="103" t="s">
        <v>100</v>
      </c>
      <c r="F746" s="103" t="s">
        <v>72</v>
      </c>
      <c r="G746" s="103" t="s">
        <v>71</v>
      </c>
      <c r="H746" s="103" t="s">
        <v>6360</v>
      </c>
      <c r="I746" s="103" t="s">
        <v>143</v>
      </c>
      <c r="J746" s="103" t="s">
        <v>5629</v>
      </c>
      <c r="K746" s="103" t="s">
        <v>6362</v>
      </c>
      <c r="L746" s="103">
        <v>9101</v>
      </c>
      <c r="M746" s="103"/>
      <c r="N746" s="103" t="s">
        <v>6344</v>
      </c>
      <c r="O746" s="103" t="s">
        <v>5813</v>
      </c>
      <c r="P746" s="103" t="s">
        <v>6133</v>
      </c>
      <c r="Q746" s="103"/>
      <c r="R746" s="103"/>
      <c r="S746" s="103" t="s">
        <v>6133</v>
      </c>
      <c r="T746" s="103">
        <v>944053</v>
      </c>
      <c r="U746" s="103">
        <v>8.5</v>
      </c>
      <c r="V746" s="103" t="s">
        <v>65</v>
      </c>
      <c r="W746" s="103" t="s">
        <v>310</v>
      </c>
    </row>
    <row r="747" spans="1:23" x14ac:dyDescent="0.45">
      <c r="A747" s="103">
        <f t="shared" si="45"/>
        <v>746</v>
      </c>
      <c r="B747" s="103" t="s">
        <v>6344</v>
      </c>
      <c r="C747" s="103" t="s">
        <v>6359</v>
      </c>
      <c r="D747" s="103"/>
      <c r="E747" s="103" t="s">
        <v>100</v>
      </c>
      <c r="F747" s="103" t="s">
        <v>72</v>
      </c>
      <c r="G747" s="103" t="s">
        <v>71</v>
      </c>
      <c r="H747" s="103" t="s">
        <v>6360</v>
      </c>
      <c r="I747" s="103" t="s">
        <v>143</v>
      </c>
      <c r="J747" s="103" t="s">
        <v>5629</v>
      </c>
      <c r="K747" s="103" t="s">
        <v>6362</v>
      </c>
      <c r="L747" s="103">
        <v>9099</v>
      </c>
      <c r="M747" s="103"/>
      <c r="N747" s="103"/>
      <c r="O747" s="103" t="s">
        <v>5814</v>
      </c>
      <c r="P747" s="103" t="s">
        <v>6133</v>
      </c>
      <c r="Q747" s="103"/>
      <c r="R747" s="103"/>
      <c r="S747" s="103" t="s">
        <v>6133</v>
      </c>
      <c r="T747" s="103">
        <v>944053</v>
      </c>
      <c r="U747" s="103">
        <v>8.5</v>
      </c>
      <c r="V747" s="103" t="s">
        <v>65</v>
      </c>
      <c r="W747" s="103" t="s">
        <v>310</v>
      </c>
    </row>
    <row r="748" spans="1:23" x14ac:dyDescent="0.45">
      <c r="A748" s="103">
        <f t="shared" si="45"/>
        <v>747</v>
      </c>
      <c r="B748" s="103" t="s">
        <v>6344</v>
      </c>
      <c r="C748" s="103" t="s">
        <v>6359</v>
      </c>
      <c r="D748" s="103"/>
      <c r="E748" s="103" t="s">
        <v>100</v>
      </c>
      <c r="F748" s="103" t="s">
        <v>72</v>
      </c>
      <c r="G748" s="103" t="s">
        <v>71</v>
      </c>
      <c r="H748" s="103" t="s">
        <v>6360</v>
      </c>
      <c r="I748" s="103"/>
      <c r="J748" s="103"/>
      <c r="K748" s="103"/>
      <c r="L748" s="103"/>
      <c r="M748" s="103"/>
      <c r="N748" s="103" t="s">
        <v>6344</v>
      </c>
      <c r="O748" s="103" t="s">
        <v>5819</v>
      </c>
      <c r="P748" s="103"/>
      <c r="Q748" s="103"/>
      <c r="R748" s="103"/>
      <c r="S748" s="103"/>
      <c r="T748" s="103">
        <v>944053</v>
      </c>
      <c r="U748" s="103"/>
      <c r="V748" s="103" t="s">
        <v>65</v>
      </c>
      <c r="W748" s="103" t="s">
        <v>310</v>
      </c>
    </row>
    <row r="749" spans="1:23" x14ac:dyDescent="0.45">
      <c r="A749" s="103">
        <f t="shared" si="45"/>
        <v>748</v>
      </c>
      <c r="B749" s="103" t="s">
        <v>6344</v>
      </c>
      <c r="C749" s="103" t="s">
        <v>6359</v>
      </c>
      <c r="D749" s="103"/>
      <c r="E749" s="103" t="s">
        <v>100</v>
      </c>
      <c r="F749" s="103" t="s">
        <v>72</v>
      </c>
      <c r="G749" s="103" t="s">
        <v>71</v>
      </c>
      <c r="H749" s="103" t="s">
        <v>6360</v>
      </c>
      <c r="I749" s="103" t="s">
        <v>143</v>
      </c>
      <c r="J749" s="103" t="s">
        <v>122</v>
      </c>
      <c r="K749" s="103" t="s">
        <v>5788</v>
      </c>
      <c r="L749" s="103"/>
      <c r="M749" s="103"/>
      <c r="N749" s="103" t="s">
        <v>6344</v>
      </c>
      <c r="O749" s="103" t="s">
        <v>47</v>
      </c>
      <c r="P749" s="103" t="s">
        <v>5857</v>
      </c>
      <c r="Q749" s="103"/>
      <c r="R749" s="103"/>
      <c r="S749" s="103" t="s">
        <v>5851</v>
      </c>
      <c r="T749" s="103">
        <v>944053</v>
      </c>
      <c r="U749" s="103">
        <v>8.5</v>
      </c>
      <c r="V749" s="103" t="s">
        <v>5823</v>
      </c>
      <c r="W749" s="103" t="s">
        <v>310</v>
      </c>
    </row>
    <row r="750" spans="1:23" x14ac:dyDescent="0.45">
      <c r="A750" s="103">
        <f t="shared" si="45"/>
        <v>749</v>
      </c>
      <c r="B750" s="103" t="s">
        <v>6344</v>
      </c>
      <c r="C750" s="103" t="s">
        <v>6359</v>
      </c>
      <c r="D750" s="103"/>
      <c r="E750" s="103" t="s">
        <v>100</v>
      </c>
      <c r="F750" s="103" t="s">
        <v>72</v>
      </c>
      <c r="G750" s="103" t="s">
        <v>71</v>
      </c>
      <c r="H750" s="103" t="s">
        <v>6360</v>
      </c>
      <c r="I750" s="103" t="s">
        <v>143</v>
      </c>
      <c r="J750" s="103" t="s">
        <v>122</v>
      </c>
      <c r="K750" s="103" t="s">
        <v>5788</v>
      </c>
      <c r="L750" s="103"/>
      <c r="M750" s="103"/>
      <c r="N750" s="103" t="s">
        <v>6344</v>
      </c>
      <c r="O750" s="103" t="s">
        <v>5580</v>
      </c>
      <c r="P750" s="103">
        <v>11</v>
      </c>
      <c r="Q750" s="103"/>
      <c r="R750" s="103"/>
      <c r="S750" s="103" t="s">
        <v>5919</v>
      </c>
      <c r="T750" s="103">
        <v>944053</v>
      </c>
      <c r="U750" s="103">
        <v>8.5</v>
      </c>
      <c r="V750" s="103" t="s">
        <v>5823</v>
      </c>
      <c r="W750" s="103" t="s">
        <v>310</v>
      </c>
    </row>
    <row r="751" spans="1:23" x14ac:dyDescent="0.45">
      <c r="A751" s="103">
        <f t="shared" ref="A751:A756" si="46">ROW()-1</f>
        <v>750</v>
      </c>
      <c r="B751" s="103" t="s">
        <v>6340</v>
      </c>
      <c r="C751" s="103" t="s">
        <v>6363</v>
      </c>
      <c r="D751" s="103"/>
      <c r="E751" s="103" t="s">
        <v>70</v>
      </c>
      <c r="F751" s="103" t="s">
        <v>72</v>
      </c>
      <c r="G751" s="103" t="s">
        <v>71</v>
      </c>
      <c r="H751" s="103" t="s">
        <v>6365</v>
      </c>
      <c r="I751" s="103" t="s">
        <v>134</v>
      </c>
      <c r="J751" s="103" t="s">
        <v>122</v>
      </c>
      <c r="K751" s="103" t="s">
        <v>5788</v>
      </c>
      <c r="L751" s="103" t="s">
        <v>6367</v>
      </c>
      <c r="M751" s="103"/>
      <c r="N751" s="103" t="s">
        <v>6340</v>
      </c>
      <c r="O751" s="103" t="s">
        <v>47</v>
      </c>
      <c r="P751" s="103" t="s">
        <v>5806</v>
      </c>
      <c r="Q751" s="103"/>
      <c r="R751" s="103"/>
      <c r="S751" s="103" t="s">
        <v>5806</v>
      </c>
      <c r="T751" s="103">
        <v>491443</v>
      </c>
      <c r="U751" s="103">
        <v>8.5</v>
      </c>
      <c r="V751" s="103" t="s">
        <v>65</v>
      </c>
      <c r="W751" s="103" t="s">
        <v>310</v>
      </c>
    </row>
    <row r="752" spans="1:23" x14ac:dyDescent="0.45">
      <c r="A752" s="103">
        <f t="shared" si="46"/>
        <v>751</v>
      </c>
      <c r="B752" s="103" t="s">
        <v>6340</v>
      </c>
      <c r="C752" s="103" t="s">
        <v>6363</v>
      </c>
      <c r="D752" s="103"/>
      <c r="E752" s="103" t="s">
        <v>70</v>
      </c>
      <c r="F752" s="103" t="s">
        <v>72</v>
      </c>
      <c r="G752" s="103" t="s">
        <v>71</v>
      </c>
      <c r="H752" s="103" t="s">
        <v>6365</v>
      </c>
      <c r="I752" s="103" t="s">
        <v>134</v>
      </c>
      <c r="J752" s="103" t="s">
        <v>122</v>
      </c>
      <c r="K752" s="103" t="s">
        <v>5788</v>
      </c>
      <c r="L752" s="103" t="s">
        <v>6368</v>
      </c>
      <c r="M752" s="103"/>
      <c r="N752" s="103" t="s">
        <v>6340</v>
      </c>
      <c r="O752" s="103" t="s">
        <v>5580</v>
      </c>
      <c r="P752" s="103" t="s">
        <v>5806</v>
      </c>
      <c r="Q752" s="103"/>
      <c r="R752" s="103"/>
      <c r="S752" s="103" t="s">
        <v>5806</v>
      </c>
      <c r="T752" s="103">
        <v>491443</v>
      </c>
      <c r="U752" s="103">
        <v>8.5</v>
      </c>
      <c r="V752" s="103" t="s">
        <v>65</v>
      </c>
      <c r="W752" s="103" t="s">
        <v>310</v>
      </c>
    </row>
    <row r="753" spans="1:23" x14ac:dyDescent="0.45">
      <c r="A753" s="103">
        <f t="shared" si="46"/>
        <v>752</v>
      </c>
      <c r="B753" s="103" t="s">
        <v>6340</v>
      </c>
      <c r="C753" s="103" t="s">
        <v>6363</v>
      </c>
      <c r="D753" s="103"/>
      <c r="E753" s="103" t="s">
        <v>70</v>
      </c>
      <c r="F753" s="103" t="s">
        <v>72</v>
      </c>
      <c r="G753" s="103" t="s">
        <v>71</v>
      </c>
      <c r="H753" s="103" t="s">
        <v>6365</v>
      </c>
      <c r="I753" s="103" t="s">
        <v>134</v>
      </c>
      <c r="J753" s="103" t="s">
        <v>122</v>
      </c>
      <c r="K753" s="103" t="s">
        <v>5788</v>
      </c>
      <c r="L753" s="103"/>
      <c r="M753" s="103"/>
      <c r="N753" s="103" t="s">
        <v>6340</v>
      </c>
      <c r="O753" s="103" t="s">
        <v>5812</v>
      </c>
      <c r="P753" s="103" t="s">
        <v>5958</v>
      </c>
      <c r="Q753" s="103"/>
      <c r="R753" s="103"/>
      <c r="S753" s="103" t="s">
        <v>5943</v>
      </c>
      <c r="T753" s="103">
        <v>491443</v>
      </c>
      <c r="U753" s="103">
        <v>8.5</v>
      </c>
      <c r="V753" s="103" t="s">
        <v>5823</v>
      </c>
      <c r="W753" s="103" t="s">
        <v>310</v>
      </c>
    </row>
    <row r="754" spans="1:23" x14ac:dyDescent="0.45">
      <c r="A754" s="103">
        <f t="shared" si="46"/>
        <v>753</v>
      </c>
      <c r="B754" s="103" t="s">
        <v>6340</v>
      </c>
      <c r="C754" s="103" t="s">
        <v>6363</v>
      </c>
      <c r="D754" s="103"/>
      <c r="E754" s="103" t="s">
        <v>70</v>
      </c>
      <c r="F754" s="103" t="s">
        <v>72</v>
      </c>
      <c r="G754" s="103" t="s">
        <v>71</v>
      </c>
      <c r="H754" s="103" t="s">
        <v>6365</v>
      </c>
      <c r="I754" s="103" t="s">
        <v>134</v>
      </c>
      <c r="J754" s="103" t="s">
        <v>122</v>
      </c>
      <c r="K754" s="103" t="s">
        <v>5788</v>
      </c>
      <c r="L754" s="103"/>
      <c r="M754" s="103"/>
      <c r="N754" s="103" t="s">
        <v>6340</v>
      </c>
      <c r="O754" s="103" t="s">
        <v>5581</v>
      </c>
      <c r="P754" s="103" t="s">
        <v>6027</v>
      </c>
      <c r="Q754" s="103"/>
      <c r="R754" s="103"/>
      <c r="S754" s="103" t="s">
        <v>5943</v>
      </c>
      <c r="T754" s="103">
        <v>491443</v>
      </c>
      <c r="U754" s="103">
        <v>8.5</v>
      </c>
      <c r="V754" s="103" t="s">
        <v>5823</v>
      </c>
      <c r="W754" s="103" t="s">
        <v>310</v>
      </c>
    </row>
    <row r="755" spans="1:23" x14ac:dyDescent="0.45">
      <c r="A755" s="103">
        <f t="shared" si="46"/>
        <v>754</v>
      </c>
      <c r="B755" s="103" t="s">
        <v>6340</v>
      </c>
      <c r="C755" s="103" t="s">
        <v>6363</v>
      </c>
      <c r="D755" s="103"/>
      <c r="E755" s="103" t="s">
        <v>70</v>
      </c>
      <c r="F755" s="103" t="s">
        <v>72</v>
      </c>
      <c r="G755" s="103" t="s">
        <v>71</v>
      </c>
      <c r="H755" s="103" t="s">
        <v>6365</v>
      </c>
      <c r="I755" s="103" t="s">
        <v>134</v>
      </c>
      <c r="J755" s="103" t="s">
        <v>122</v>
      </c>
      <c r="K755" s="103" t="s">
        <v>5788</v>
      </c>
      <c r="L755" s="103"/>
      <c r="M755" s="103"/>
      <c r="N755" s="103" t="s">
        <v>6340</v>
      </c>
      <c r="O755" s="103" t="s">
        <v>5813</v>
      </c>
      <c r="P755" s="103" t="s">
        <v>5958</v>
      </c>
      <c r="Q755" s="103"/>
      <c r="R755" s="103"/>
      <c r="S755" s="103">
        <v>7</v>
      </c>
      <c r="T755" s="103">
        <v>491443</v>
      </c>
      <c r="U755" s="103">
        <v>8.5</v>
      </c>
      <c r="V755" s="103" t="s">
        <v>5823</v>
      </c>
      <c r="W755" s="103" t="s">
        <v>310</v>
      </c>
    </row>
    <row r="756" spans="1:23" x14ac:dyDescent="0.45">
      <c r="A756" s="103">
        <f t="shared" si="46"/>
        <v>755</v>
      </c>
      <c r="B756" s="103" t="s">
        <v>6340</v>
      </c>
      <c r="C756" s="103" t="s">
        <v>6363</v>
      </c>
      <c r="D756" s="103"/>
      <c r="E756" s="103" t="s">
        <v>70</v>
      </c>
      <c r="F756" s="103" t="s">
        <v>72</v>
      </c>
      <c r="G756" s="103" t="s">
        <v>71</v>
      </c>
      <c r="H756" s="103" t="s">
        <v>6365</v>
      </c>
      <c r="I756" s="103" t="s">
        <v>134</v>
      </c>
      <c r="J756" s="103" t="s">
        <v>122</v>
      </c>
      <c r="K756" s="103" t="s">
        <v>5788</v>
      </c>
      <c r="L756" s="103"/>
      <c r="M756" s="103"/>
      <c r="N756" s="103" t="s">
        <v>6340</v>
      </c>
      <c r="O756" s="103" t="s">
        <v>5814</v>
      </c>
      <c r="P756" s="103" t="s">
        <v>5902</v>
      </c>
      <c r="Q756" s="103"/>
      <c r="R756" s="103"/>
      <c r="S756" s="103" t="s">
        <v>5789</v>
      </c>
      <c r="T756" s="103">
        <v>491443</v>
      </c>
      <c r="U756" s="103">
        <v>8.5</v>
      </c>
      <c r="V756" s="103" t="s">
        <v>5823</v>
      </c>
      <c r="W756" s="103" t="s">
        <v>310</v>
      </c>
    </row>
    <row r="757" spans="1:23" x14ac:dyDescent="0.45">
      <c r="A757" s="103">
        <f t="shared" ref="A757:A768" si="47">ROW()-1</f>
        <v>756</v>
      </c>
      <c r="B757" s="103" t="s">
        <v>6344</v>
      </c>
      <c r="C757" s="103" t="s">
        <v>3330</v>
      </c>
      <c r="D757" s="103" t="s">
        <v>330</v>
      </c>
      <c r="E757" s="103" t="s">
        <v>73</v>
      </c>
      <c r="F757" s="103" t="s">
        <v>72</v>
      </c>
      <c r="G757" s="103" t="s">
        <v>71</v>
      </c>
      <c r="H757" s="103" t="s">
        <v>6369</v>
      </c>
      <c r="I757" s="103" t="s">
        <v>259</v>
      </c>
      <c r="J757" s="103" t="s">
        <v>122</v>
      </c>
      <c r="K757" s="103" t="s">
        <v>6158</v>
      </c>
      <c r="L757" s="103"/>
      <c r="M757" s="103" t="s">
        <v>6371</v>
      </c>
      <c r="N757" s="103" t="s">
        <v>6344</v>
      </c>
      <c r="O757" s="103" t="s">
        <v>5813</v>
      </c>
      <c r="P757" s="103" t="s">
        <v>6262</v>
      </c>
      <c r="Q757" s="103"/>
      <c r="R757" s="103"/>
      <c r="S757" s="103" t="s">
        <v>6262</v>
      </c>
      <c r="T757" s="103">
        <v>220930</v>
      </c>
      <c r="U757" s="103">
        <v>5.5</v>
      </c>
      <c r="V757" s="103" t="s">
        <v>65</v>
      </c>
      <c r="W757" s="103" t="s">
        <v>310</v>
      </c>
    </row>
    <row r="758" spans="1:23" x14ac:dyDescent="0.45">
      <c r="A758" s="103">
        <f t="shared" si="47"/>
        <v>757</v>
      </c>
      <c r="B758" s="103" t="s">
        <v>6344</v>
      </c>
      <c r="C758" s="103" t="s">
        <v>3330</v>
      </c>
      <c r="D758" s="103" t="s">
        <v>330</v>
      </c>
      <c r="E758" s="103" t="s">
        <v>73</v>
      </c>
      <c r="F758" s="103" t="s">
        <v>72</v>
      </c>
      <c r="G758" s="103" t="s">
        <v>71</v>
      </c>
      <c r="H758" s="103" t="s">
        <v>6369</v>
      </c>
      <c r="I758" s="103" t="s">
        <v>259</v>
      </c>
      <c r="J758" s="103" t="s">
        <v>122</v>
      </c>
      <c r="K758" s="103" t="s">
        <v>6158</v>
      </c>
      <c r="L758" s="103"/>
      <c r="M758" s="103" t="s">
        <v>6371</v>
      </c>
      <c r="N758" s="103"/>
      <c r="O758" s="103" t="s">
        <v>5814</v>
      </c>
      <c r="P758" s="103" t="s">
        <v>6262</v>
      </c>
      <c r="Q758" s="103"/>
      <c r="R758" s="103"/>
      <c r="S758" s="103" t="s">
        <v>6262</v>
      </c>
      <c r="T758" s="103">
        <v>220930</v>
      </c>
      <c r="U758" s="103">
        <v>5.5</v>
      </c>
      <c r="V758" s="103" t="s">
        <v>65</v>
      </c>
      <c r="W758" s="103" t="s">
        <v>310</v>
      </c>
    </row>
    <row r="759" spans="1:23" x14ac:dyDescent="0.45">
      <c r="A759" s="103">
        <f t="shared" si="47"/>
        <v>758</v>
      </c>
      <c r="B759" s="103" t="s">
        <v>6344</v>
      </c>
      <c r="C759" s="103" t="s">
        <v>3330</v>
      </c>
      <c r="D759" s="103" t="s">
        <v>330</v>
      </c>
      <c r="E759" s="103" t="s">
        <v>73</v>
      </c>
      <c r="F759" s="103" t="s">
        <v>72</v>
      </c>
      <c r="G759" s="103" t="s">
        <v>71</v>
      </c>
      <c r="H759" s="103" t="s">
        <v>6369</v>
      </c>
      <c r="I759" s="103"/>
      <c r="J759" s="103"/>
      <c r="K759" s="103"/>
      <c r="L759" s="103"/>
      <c r="M759" s="103"/>
      <c r="N759" s="103" t="s">
        <v>6344</v>
      </c>
      <c r="O759" s="103" t="s">
        <v>5819</v>
      </c>
      <c r="P759" s="103"/>
      <c r="Q759" s="103"/>
      <c r="R759" s="103"/>
      <c r="S759" s="103"/>
      <c r="T759" s="103">
        <v>220930</v>
      </c>
      <c r="U759" s="103"/>
      <c r="V759" s="103" t="s">
        <v>65</v>
      </c>
      <c r="W759" s="103" t="s">
        <v>310</v>
      </c>
    </row>
    <row r="760" spans="1:23" x14ac:dyDescent="0.45">
      <c r="A760" s="103">
        <f t="shared" si="47"/>
        <v>759</v>
      </c>
      <c r="B760" s="103" t="s">
        <v>6344</v>
      </c>
      <c r="C760" s="103" t="s">
        <v>3330</v>
      </c>
      <c r="D760" s="103" t="s">
        <v>330</v>
      </c>
      <c r="E760" s="103" t="s">
        <v>73</v>
      </c>
      <c r="F760" s="103" t="s">
        <v>72</v>
      </c>
      <c r="G760" s="103" t="s">
        <v>71</v>
      </c>
      <c r="H760" s="103" t="s">
        <v>6369</v>
      </c>
      <c r="I760" s="103" t="s">
        <v>259</v>
      </c>
      <c r="J760" s="103" t="s">
        <v>136</v>
      </c>
      <c r="K760" s="103" t="s">
        <v>6370</v>
      </c>
      <c r="L760" s="103"/>
      <c r="M760" s="103"/>
      <c r="N760" s="103" t="s">
        <v>6344</v>
      </c>
      <c r="O760" s="103" t="s">
        <v>47</v>
      </c>
      <c r="P760" s="103" t="s">
        <v>6144</v>
      </c>
      <c r="Q760" s="103"/>
      <c r="R760" s="103"/>
      <c r="S760" s="103" t="s">
        <v>5889</v>
      </c>
      <c r="T760" s="103">
        <v>220930</v>
      </c>
      <c r="U760" s="103">
        <v>4.5</v>
      </c>
      <c r="V760" s="103" t="s">
        <v>5823</v>
      </c>
      <c r="W760" s="103" t="s">
        <v>310</v>
      </c>
    </row>
    <row r="761" spans="1:23" x14ac:dyDescent="0.45">
      <c r="A761" s="103">
        <f t="shared" si="47"/>
        <v>760</v>
      </c>
      <c r="B761" s="103" t="s">
        <v>6344</v>
      </c>
      <c r="C761" s="103" t="s">
        <v>3330</v>
      </c>
      <c r="D761" s="103" t="s">
        <v>330</v>
      </c>
      <c r="E761" s="103" t="s">
        <v>73</v>
      </c>
      <c r="F761" s="103" t="s">
        <v>72</v>
      </c>
      <c r="G761" s="103" t="s">
        <v>71</v>
      </c>
      <c r="H761" s="103" t="s">
        <v>6369</v>
      </c>
      <c r="I761" s="103" t="s">
        <v>259</v>
      </c>
      <c r="J761" s="103" t="s">
        <v>136</v>
      </c>
      <c r="K761" s="103" t="s">
        <v>6370</v>
      </c>
      <c r="L761" s="103"/>
      <c r="M761" s="103"/>
      <c r="N761" s="103" t="s">
        <v>6344</v>
      </c>
      <c r="O761" s="103" t="s">
        <v>5580</v>
      </c>
      <c r="P761" s="103" t="s">
        <v>5889</v>
      </c>
      <c r="Q761" s="103"/>
      <c r="R761" s="103"/>
      <c r="S761" s="103" t="s">
        <v>5888</v>
      </c>
      <c r="T761" s="103">
        <v>220930</v>
      </c>
      <c r="U761" s="103">
        <v>5</v>
      </c>
      <c r="V761" s="103" t="s">
        <v>5823</v>
      </c>
      <c r="W761" s="103" t="s">
        <v>310</v>
      </c>
    </row>
    <row r="762" spans="1:23" x14ac:dyDescent="0.45">
      <c r="A762" s="103">
        <f t="shared" si="47"/>
        <v>761</v>
      </c>
      <c r="B762" s="103" t="s">
        <v>6344</v>
      </c>
      <c r="C762" s="103" t="s">
        <v>3330</v>
      </c>
      <c r="D762" s="103" t="s">
        <v>330</v>
      </c>
      <c r="E762" s="103" t="s">
        <v>73</v>
      </c>
      <c r="F762" s="103" t="s">
        <v>72</v>
      </c>
      <c r="G762" s="103" t="s">
        <v>71</v>
      </c>
      <c r="H762" s="103" t="s">
        <v>6369</v>
      </c>
      <c r="I762" s="103" t="s">
        <v>259</v>
      </c>
      <c r="J762" s="103" t="s">
        <v>164</v>
      </c>
      <c r="K762" s="103" t="s">
        <v>5867</v>
      </c>
      <c r="L762" s="103"/>
      <c r="M762" s="103"/>
      <c r="N762" s="103" t="s">
        <v>6344</v>
      </c>
      <c r="O762" s="103" t="s">
        <v>5812</v>
      </c>
      <c r="P762" s="103" t="s">
        <v>5872</v>
      </c>
      <c r="Q762" s="103"/>
      <c r="R762" s="103"/>
      <c r="S762" s="103">
        <v>4</v>
      </c>
      <c r="T762" s="103">
        <v>220930</v>
      </c>
      <c r="U762" s="103">
        <v>5.2</v>
      </c>
      <c r="V762" s="103" t="s">
        <v>5823</v>
      </c>
      <c r="W762" s="103" t="s">
        <v>310</v>
      </c>
    </row>
    <row r="763" spans="1:23" x14ac:dyDescent="0.45">
      <c r="A763" s="103">
        <f t="shared" si="47"/>
        <v>762</v>
      </c>
      <c r="B763" s="103" t="s">
        <v>6344</v>
      </c>
      <c r="C763" s="103" t="s">
        <v>3330</v>
      </c>
      <c r="D763" s="103" t="s">
        <v>330</v>
      </c>
      <c r="E763" s="103" t="s">
        <v>73</v>
      </c>
      <c r="F763" s="103" t="s">
        <v>72</v>
      </c>
      <c r="G763" s="103" t="s">
        <v>71</v>
      </c>
      <c r="H763" s="103" t="s">
        <v>6369</v>
      </c>
      <c r="I763" s="103" t="s">
        <v>259</v>
      </c>
      <c r="J763" s="103" t="s">
        <v>164</v>
      </c>
      <c r="K763" s="103" t="s">
        <v>5867</v>
      </c>
      <c r="L763" s="103"/>
      <c r="M763" s="103"/>
      <c r="N763" s="103" t="s">
        <v>6344</v>
      </c>
      <c r="O763" s="103" t="s">
        <v>5581</v>
      </c>
      <c r="P763" s="103">
        <v>4</v>
      </c>
      <c r="Q763" s="103"/>
      <c r="R763" s="103"/>
      <c r="S763" s="103">
        <v>4</v>
      </c>
      <c r="T763" s="103">
        <v>220930</v>
      </c>
      <c r="U763" s="103">
        <v>5</v>
      </c>
      <c r="V763" s="103" t="s">
        <v>5823</v>
      </c>
      <c r="W763" s="103" t="s">
        <v>310</v>
      </c>
    </row>
    <row r="764" spans="1:23" x14ac:dyDescent="0.45">
      <c r="A764" s="103">
        <f t="shared" si="47"/>
        <v>763</v>
      </c>
      <c r="B764" s="103" t="s">
        <v>6372</v>
      </c>
      <c r="C764" s="103" t="s">
        <v>3598</v>
      </c>
      <c r="D764" s="103" t="s">
        <v>330</v>
      </c>
      <c r="E764" s="103" t="s">
        <v>99</v>
      </c>
      <c r="F764" s="103" t="s">
        <v>77</v>
      </c>
      <c r="G764" s="103" t="s">
        <v>88</v>
      </c>
      <c r="H764" s="103" t="s">
        <v>6373</v>
      </c>
      <c r="I764" s="103" t="s">
        <v>130</v>
      </c>
      <c r="J764" s="103" t="s">
        <v>6376</v>
      </c>
      <c r="K764" s="103" t="s">
        <v>6377</v>
      </c>
      <c r="L764" s="103" t="s">
        <v>6379</v>
      </c>
      <c r="M764" s="103"/>
      <c r="N764" s="103" t="s">
        <v>6372</v>
      </c>
      <c r="O764" s="103" t="s">
        <v>5820</v>
      </c>
      <c r="P764" s="103" t="s">
        <v>5832</v>
      </c>
      <c r="Q764" s="103"/>
      <c r="R764" s="103"/>
      <c r="S764" s="103" t="s">
        <v>5832</v>
      </c>
      <c r="T764" s="103">
        <v>914850</v>
      </c>
      <c r="U764" s="103">
        <v>9</v>
      </c>
      <c r="V764" s="103" t="s">
        <v>65</v>
      </c>
      <c r="W764" s="103" t="s">
        <v>310</v>
      </c>
    </row>
    <row r="765" spans="1:23" x14ac:dyDescent="0.45">
      <c r="A765" s="103">
        <f t="shared" si="47"/>
        <v>764</v>
      </c>
      <c r="B765" s="103" t="s">
        <v>6372</v>
      </c>
      <c r="C765" s="103" t="s">
        <v>3598</v>
      </c>
      <c r="D765" s="103" t="s">
        <v>330</v>
      </c>
      <c r="E765" s="103" t="s">
        <v>99</v>
      </c>
      <c r="F765" s="103" t="s">
        <v>77</v>
      </c>
      <c r="G765" s="103" t="s">
        <v>88</v>
      </c>
      <c r="H765" s="103" t="s">
        <v>6373</v>
      </c>
      <c r="I765" s="103" t="s">
        <v>130</v>
      </c>
      <c r="J765" s="103" t="s">
        <v>6376</v>
      </c>
      <c r="K765" s="103" t="s">
        <v>6377</v>
      </c>
      <c r="L765" s="103" t="s">
        <v>6378</v>
      </c>
      <c r="M765" s="103"/>
      <c r="N765" s="103" t="s">
        <v>6372</v>
      </c>
      <c r="O765" s="103" t="s">
        <v>5820</v>
      </c>
      <c r="P765" s="103" t="s">
        <v>5832</v>
      </c>
      <c r="Q765" s="103"/>
      <c r="R765" s="103"/>
      <c r="S765" s="103" t="s">
        <v>5832</v>
      </c>
      <c r="T765" s="103">
        <v>914850</v>
      </c>
      <c r="U765" s="103">
        <v>9</v>
      </c>
      <c r="V765" s="103" t="s">
        <v>65</v>
      </c>
      <c r="W765" s="103" t="s">
        <v>310</v>
      </c>
    </row>
    <row r="766" spans="1:23" x14ac:dyDescent="0.45">
      <c r="A766" s="103">
        <f t="shared" si="47"/>
        <v>765</v>
      </c>
      <c r="B766" s="103" t="s">
        <v>6372</v>
      </c>
      <c r="C766" s="103" t="s">
        <v>3598</v>
      </c>
      <c r="D766" s="103" t="s">
        <v>330</v>
      </c>
      <c r="E766" s="103" t="s">
        <v>99</v>
      </c>
      <c r="F766" s="103" t="s">
        <v>77</v>
      </c>
      <c r="G766" s="103" t="s">
        <v>88</v>
      </c>
      <c r="H766" s="103" t="s">
        <v>6373</v>
      </c>
      <c r="I766" s="103" t="s">
        <v>130</v>
      </c>
      <c r="J766" s="103" t="s">
        <v>6376</v>
      </c>
      <c r="K766" s="103" t="s">
        <v>6377</v>
      </c>
      <c r="L766" s="103"/>
      <c r="M766" s="103"/>
      <c r="N766" s="103" t="s">
        <v>6372</v>
      </c>
      <c r="O766" s="103" t="s">
        <v>5816</v>
      </c>
      <c r="P766" s="103" t="s">
        <v>5853</v>
      </c>
      <c r="Q766" s="103"/>
      <c r="R766" s="103"/>
      <c r="S766" s="103" t="s">
        <v>5919</v>
      </c>
      <c r="T766" s="103">
        <v>914850</v>
      </c>
      <c r="U766" s="103" t="s">
        <v>5796</v>
      </c>
      <c r="V766" s="103" t="s">
        <v>5823</v>
      </c>
      <c r="W766" s="103" t="s">
        <v>310</v>
      </c>
    </row>
    <row r="767" spans="1:23" x14ac:dyDescent="0.45">
      <c r="A767" s="103">
        <f t="shared" si="47"/>
        <v>766</v>
      </c>
      <c r="B767" s="103" t="s">
        <v>6372</v>
      </c>
      <c r="C767" s="103" t="s">
        <v>3598</v>
      </c>
      <c r="D767" s="103" t="s">
        <v>330</v>
      </c>
      <c r="E767" s="103" t="s">
        <v>99</v>
      </c>
      <c r="F767" s="103" t="s">
        <v>77</v>
      </c>
      <c r="G767" s="103" t="s">
        <v>88</v>
      </c>
      <c r="H767" s="103" t="s">
        <v>6373</v>
      </c>
      <c r="I767" s="103" t="s">
        <v>130</v>
      </c>
      <c r="J767" s="103" t="s">
        <v>6376</v>
      </c>
      <c r="K767" s="103" t="s">
        <v>6377</v>
      </c>
      <c r="L767" s="103"/>
      <c r="M767" s="103"/>
      <c r="N767" s="103" t="s">
        <v>6372</v>
      </c>
      <c r="O767" s="103" t="s">
        <v>5817</v>
      </c>
      <c r="P767" s="103" t="s">
        <v>5853</v>
      </c>
      <c r="Q767" s="103"/>
      <c r="R767" s="103"/>
      <c r="S767" s="103" t="s">
        <v>5853</v>
      </c>
      <c r="T767" s="103">
        <v>914850</v>
      </c>
      <c r="U767" s="103" t="s">
        <v>5796</v>
      </c>
      <c r="V767" s="103" t="s">
        <v>5823</v>
      </c>
      <c r="W767" s="103" t="s">
        <v>310</v>
      </c>
    </row>
    <row r="768" spans="1:23" x14ac:dyDescent="0.45">
      <c r="A768" s="103">
        <f t="shared" si="47"/>
        <v>767</v>
      </c>
      <c r="B768" s="103" t="s">
        <v>6372</v>
      </c>
      <c r="C768" s="103" t="s">
        <v>3598</v>
      </c>
      <c r="D768" s="103" t="s">
        <v>330</v>
      </c>
      <c r="E768" s="103" t="s">
        <v>99</v>
      </c>
      <c r="F768" s="103" t="s">
        <v>77</v>
      </c>
      <c r="G768" s="103" t="s">
        <v>88</v>
      </c>
      <c r="H768" s="103" t="s">
        <v>6373</v>
      </c>
      <c r="I768" s="103" t="s">
        <v>130</v>
      </c>
      <c r="J768" s="103" t="s">
        <v>6376</v>
      </c>
      <c r="K768" s="103" t="s">
        <v>6377</v>
      </c>
      <c r="L768" s="103"/>
      <c r="M768" s="103"/>
      <c r="N768" s="103" t="s">
        <v>6372</v>
      </c>
      <c r="O768" s="103" t="s">
        <v>5815</v>
      </c>
      <c r="P768" s="103">
        <v>10</v>
      </c>
      <c r="Q768" s="103"/>
      <c r="R768" s="103"/>
      <c r="S768" s="103" t="s">
        <v>5851</v>
      </c>
      <c r="T768" s="103">
        <v>914850</v>
      </c>
      <c r="U768" s="103">
        <v>8.8000000000000007</v>
      </c>
      <c r="V768" s="103" t="s">
        <v>5823</v>
      </c>
      <c r="W768" s="103" t="s">
        <v>310</v>
      </c>
    </row>
    <row r="769" spans="1:23" x14ac:dyDescent="0.45">
      <c r="A769" s="103">
        <f t="shared" ref="A769:A775" si="48">ROW()-1</f>
        <v>768</v>
      </c>
      <c r="B769" s="103" t="s">
        <v>5777</v>
      </c>
      <c r="C769" s="103" t="s">
        <v>5267</v>
      </c>
      <c r="D769" s="103" t="s">
        <v>330</v>
      </c>
      <c r="E769" s="103" t="s">
        <v>100</v>
      </c>
      <c r="F769" s="103" t="s">
        <v>77</v>
      </c>
      <c r="G769" s="103" t="s">
        <v>88</v>
      </c>
      <c r="H769" s="103" t="s">
        <v>6380</v>
      </c>
      <c r="I769" s="103" t="s">
        <v>143</v>
      </c>
      <c r="J769" s="103" t="s">
        <v>122</v>
      </c>
      <c r="K769" s="103" t="s">
        <v>189</v>
      </c>
      <c r="L769" s="103" t="s">
        <v>6383</v>
      </c>
      <c r="M769" s="103"/>
      <c r="N769" s="103" t="s">
        <v>5777</v>
      </c>
      <c r="O769" s="103" t="s">
        <v>5812</v>
      </c>
      <c r="P769" s="103" t="s">
        <v>6094</v>
      </c>
      <c r="Q769" s="103"/>
      <c r="R769" s="103"/>
      <c r="S769" s="103" t="s">
        <v>6094</v>
      </c>
      <c r="T769" s="103">
        <v>222368</v>
      </c>
      <c r="U769" s="103">
        <v>8.5</v>
      </c>
      <c r="V769" s="103" t="s">
        <v>65</v>
      </c>
      <c r="W769" s="103" t="s">
        <v>310</v>
      </c>
    </row>
    <row r="770" spans="1:23" x14ac:dyDescent="0.45">
      <c r="A770" s="103">
        <f t="shared" si="48"/>
        <v>769</v>
      </c>
      <c r="B770" s="103" t="s">
        <v>5777</v>
      </c>
      <c r="C770" s="103" t="s">
        <v>5267</v>
      </c>
      <c r="D770" s="103" t="s">
        <v>330</v>
      </c>
      <c r="E770" s="103" t="s">
        <v>100</v>
      </c>
      <c r="F770" s="103" t="s">
        <v>77</v>
      </c>
      <c r="G770" s="103" t="s">
        <v>88</v>
      </c>
      <c r="H770" s="103" t="s">
        <v>6380</v>
      </c>
      <c r="I770" s="103"/>
      <c r="J770" s="103" t="s">
        <v>122</v>
      </c>
      <c r="K770" s="103" t="s">
        <v>189</v>
      </c>
      <c r="L770" s="103" t="s">
        <v>6384</v>
      </c>
      <c r="M770" s="103"/>
      <c r="N770" s="103" t="s">
        <v>5777</v>
      </c>
      <c r="O770" s="103" t="s">
        <v>5581</v>
      </c>
      <c r="P770" s="103" t="s">
        <v>6094</v>
      </c>
      <c r="Q770" s="103"/>
      <c r="R770" s="103"/>
      <c r="S770" s="103" t="s">
        <v>6094</v>
      </c>
      <c r="T770" s="103">
        <v>222368</v>
      </c>
      <c r="U770" s="103">
        <v>8.5</v>
      </c>
      <c r="V770" s="103" t="s">
        <v>65</v>
      </c>
      <c r="W770" s="103" t="s">
        <v>310</v>
      </c>
    </row>
    <row r="771" spans="1:23" x14ac:dyDescent="0.45">
      <c r="A771" s="103">
        <f t="shared" si="48"/>
        <v>770</v>
      </c>
      <c r="B771" s="103" t="s">
        <v>5777</v>
      </c>
      <c r="C771" s="103" t="s">
        <v>5267</v>
      </c>
      <c r="D771" s="103" t="s">
        <v>330</v>
      </c>
      <c r="E771" s="103" t="s">
        <v>100</v>
      </c>
      <c r="F771" s="103" t="s">
        <v>77</v>
      </c>
      <c r="G771" s="103" t="s">
        <v>88</v>
      </c>
      <c r="H771" s="103" t="s">
        <v>6380</v>
      </c>
      <c r="I771" s="103" t="s">
        <v>143</v>
      </c>
      <c r="J771" s="103" t="s">
        <v>122</v>
      </c>
      <c r="K771" s="103" t="s">
        <v>189</v>
      </c>
      <c r="L771" s="103" t="s">
        <v>6385</v>
      </c>
      <c r="M771" s="103"/>
      <c r="N771" s="103" t="s">
        <v>5777</v>
      </c>
      <c r="O771" s="103" t="s">
        <v>5813</v>
      </c>
      <c r="P771" s="103" t="s">
        <v>6094</v>
      </c>
      <c r="Q771" s="103"/>
      <c r="R771" s="103"/>
      <c r="S771" s="103" t="s">
        <v>6094</v>
      </c>
      <c r="T771" s="103">
        <v>222368</v>
      </c>
      <c r="U771" s="103">
        <v>8.5</v>
      </c>
      <c r="V771" s="103" t="s">
        <v>65</v>
      </c>
      <c r="W771" s="103" t="s">
        <v>310</v>
      </c>
    </row>
    <row r="772" spans="1:23" x14ac:dyDescent="0.45">
      <c r="A772" s="103">
        <f t="shared" si="48"/>
        <v>771</v>
      </c>
      <c r="B772" s="103" t="s">
        <v>5777</v>
      </c>
      <c r="C772" s="103" t="s">
        <v>5267</v>
      </c>
      <c r="D772" s="103" t="s">
        <v>330</v>
      </c>
      <c r="E772" s="103" t="s">
        <v>100</v>
      </c>
      <c r="F772" s="103" t="s">
        <v>77</v>
      </c>
      <c r="G772" s="103" t="s">
        <v>88</v>
      </c>
      <c r="H772" s="103" t="s">
        <v>6380</v>
      </c>
      <c r="I772" s="103" t="s">
        <v>143</v>
      </c>
      <c r="J772" s="103" t="s">
        <v>122</v>
      </c>
      <c r="K772" s="103" t="s">
        <v>189</v>
      </c>
      <c r="L772" s="103" t="s">
        <v>6386</v>
      </c>
      <c r="M772" s="103"/>
      <c r="N772" s="103"/>
      <c r="O772" s="103" t="s">
        <v>5814</v>
      </c>
      <c r="P772" s="103" t="s">
        <v>6094</v>
      </c>
      <c r="Q772" s="103"/>
      <c r="R772" s="103"/>
      <c r="S772" s="103" t="s">
        <v>6094</v>
      </c>
      <c r="T772" s="103">
        <v>222368</v>
      </c>
      <c r="U772" s="103">
        <v>8.5</v>
      </c>
      <c r="V772" s="103" t="s">
        <v>65</v>
      </c>
      <c r="W772" s="103" t="s">
        <v>310</v>
      </c>
    </row>
    <row r="773" spans="1:23" x14ac:dyDescent="0.45">
      <c r="A773" s="103">
        <f t="shared" si="48"/>
        <v>772</v>
      </c>
      <c r="B773" s="103" t="s">
        <v>5777</v>
      </c>
      <c r="C773" s="103" t="s">
        <v>5267</v>
      </c>
      <c r="D773" s="103" t="s">
        <v>330</v>
      </c>
      <c r="E773" s="103" t="s">
        <v>100</v>
      </c>
      <c r="F773" s="103" t="s">
        <v>77</v>
      </c>
      <c r="G773" s="103" t="s">
        <v>88</v>
      </c>
      <c r="H773" s="103" t="s">
        <v>6380</v>
      </c>
      <c r="I773" s="103"/>
      <c r="J773" s="103"/>
      <c r="K773" s="103"/>
      <c r="L773" s="103"/>
      <c r="M773" s="103"/>
      <c r="N773" s="103" t="s">
        <v>5777</v>
      </c>
      <c r="O773" s="103" t="s">
        <v>5819</v>
      </c>
      <c r="P773" s="103"/>
      <c r="Q773" s="103"/>
      <c r="R773" s="103"/>
      <c r="S773" s="103"/>
      <c r="T773" s="103">
        <v>222368</v>
      </c>
      <c r="U773" s="103"/>
      <c r="V773" s="103" t="s">
        <v>65</v>
      </c>
      <c r="W773" s="103" t="s">
        <v>310</v>
      </c>
    </row>
    <row r="774" spans="1:23" x14ac:dyDescent="0.45">
      <c r="A774" s="103">
        <f t="shared" si="48"/>
        <v>773</v>
      </c>
      <c r="B774" s="103" t="s">
        <v>5777</v>
      </c>
      <c r="C774" s="103" t="s">
        <v>5267</v>
      </c>
      <c r="D774" s="103" t="s">
        <v>330</v>
      </c>
      <c r="E774" s="103" t="s">
        <v>100</v>
      </c>
      <c r="F774" s="103" t="s">
        <v>77</v>
      </c>
      <c r="G774" s="103" t="s">
        <v>88</v>
      </c>
      <c r="H774" s="103" t="s">
        <v>6380</v>
      </c>
      <c r="I774" s="103" t="s">
        <v>143</v>
      </c>
      <c r="J774" s="103" t="s">
        <v>122</v>
      </c>
      <c r="K774" s="103" t="s">
        <v>6103</v>
      </c>
      <c r="L774" s="103"/>
      <c r="M774" s="103"/>
      <c r="N774" s="103" t="s">
        <v>5777</v>
      </c>
      <c r="O774" s="103" t="s">
        <v>47</v>
      </c>
      <c r="P774" s="103" t="s">
        <v>5843</v>
      </c>
      <c r="Q774" s="103"/>
      <c r="R774" s="103"/>
      <c r="S774" s="103" t="s">
        <v>6121</v>
      </c>
      <c r="T774" s="103">
        <v>222368</v>
      </c>
      <c r="U774" s="103">
        <v>8.1999999999999993</v>
      </c>
      <c r="V774" s="103" t="s">
        <v>5823</v>
      </c>
      <c r="W774" s="103" t="s">
        <v>310</v>
      </c>
    </row>
    <row r="775" spans="1:23" x14ac:dyDescent="0.45">
      <c r="A775" s="103">
        <f t="shared" si="48"/>
        <v>774</v>
      </c>
      <c r="B775" s="103" t="s">
        <v>5777</v>
      </c>
      <c r="C775" s="103" t="s">
        <v>5267</v>
      </c>
      <c r="D775" s="103" t="s">
        <v>330</v>
      </c>
      <c r="E775" s="103" t="s">
        <v>100</v>
      </c>
      <c r="F775" s="103" t="s">
        <v>77</v>
      </c>
      <c r="G775" s="103" t="s">
        <v>88</v>
      </c>
      <c r="H775" s="103" t="s">
        <v>6380</v>
      </c>
      <c r="I775" s="103" t="s">
        <v>143</v>
      </c>
      <c r="J775" s="103" t="s">
        <v>122</v>
      </c>
      <c r="K775" s="103" t="s">
        <v>6103</v>
      </c>
      <c r="L775" s="103"/>
      <c r="M775" s="103"/>
      <c r="N775" s="103" t="s">
        <v>5777</v>
      </c>
      <c r="O775" s="103" t="s">
        <v>5580</v>
      </c>
      <c r="P775" s="103" t="s">
        <v>6122</v>
      </c>
      <c r="Q775" s="103"/>
      <c r="R775" s="103"/>
      <c r="S775" s="103" t="s">
        <v>6293</v>
      </c>
      <c r="T775" s="103">
        <v>222368</v>
      </c>
      <c r="U775" s="103">
        <v>8.1</v>
      </c>
      <c r="V775" s="103" t="s">
        <v>5823</v>
      </c>
      <c r="W775" s="103" t="s">
        <v>310</v>
      </c>
    </row>
    <row r="776" spans="1:23" x14ac:dyDescent="0.45">
      <c r="A776" s="103">
        <f t="shared" ref="A776:A782" si="49">ROW()-1</f>
        <v>775</v>
      </c>
      <c r="B776" s="103" t="s">
        <v>5777</v>
      </c>
      <c r="C776" s="103" t="s">
        <v>6394</v>
      </c>
      <c r="D776" s="103"/>
      <c r="E776" s="103" t="s">
        <v>100</v>
      </c>
      <c r="F776" s="103" t="s">
        <v>77</v>
      </c>
      <c r="G776" s="103" t="s">
        <v>74</v>
      </c>
      <c r="H776" s="103" t="s">
        <v>6395</v>
      </c>
      <c r="I776" s="103" t="s">
        <v>143</v>
      </c>
      <c r="J776" s="103" t="s">
        <v>122</v>
      </c>
      <c r="K776" s="103" t="s">
        <v>5788</v>
      </c>
      <c r="L776" s="103" t="s">
        <v>6388</v>
      </c>
      <c r="M776" s="103"/>
      <c r="N776" s="103" t="s">
        <v>5777</v>
      </c>
      <c r="O776" s="103" t="s">
        <v>47</v>
      </c>
      <c r="P776" s="103">
        <v>15</v>
      </c>
      <c r="Q776" s="103"/>
      <c r="R776" s="103"/>
      <c r="S776" s="103">
        <v>15</v>
      </c>
      <c r="T776" s="103" t="s">
        <v>6396</v>
      </c>
      <c r="U776" s="103">
        <v>8.5</v>
      </c>
      <c r="V776" s="103" t="s">
        <v>65</v>
      </c>
      <c r="W776" s="103" t="s">
        <v>310</v>
      </c>
    </row>
    <row r="777" spans="1:23" x14ac:dyDescent="0.45">
      <c r="A777" s="103">
        <f t="shared" si="49"/>
        <v>776</v>
      </c>
      <c r="B777" s="103" t="s">
        <v>5777</v>
      </c>
      <c r="C777" s="103" t="s">
        <v>6394</v>
      </c>
      <c r="D777" s="103"/>
      <c r="E777" s="103" t="s">
        <v>100</v>
      </c>
      <c r="F777" s="103" t="s">
        <v>77</v>
      </c>
      <c r="G777" s="103" t="s">
        <v>74</v>
      </c>
      <c r="H777" s="103" t="s">
        <v>6395</v>
      </c>
      <c r="I777" s="103" t="s">
        <v>143</v>
      </c>
      <c r="J777" s="103" t="s">
        <v>122</v>
      </c>
      <c r="K777" s="103" t="s">
        <v>5788</v>
      </c>
      <c r="L777" s="103" t="s">
        <v>6389</v>
      </c>
      <c r="M777" s="103"/>
      <c r="N777" s="103" t="s">
        <v>5777</v>
      </c>
      <c r="O777" s="103" t="s">
        <v>5580</v>
      </c>
      <c r="P777" s="103">
        <v>15</v>
      </c>
      <c r="Q777" s="103"/>
      <c r="R777" s="103"/>
      <c r="S777" s="103">
        <v>15</v>
      </c>
      <c r="T777" s="103" t="s">
        <v>6396</v>
      </c>
      <c r="U777" s="103">
        <v>8.5</v>
      </c>
      <c r="V777" s="103" t="s">
        <v>65</v>
      </c>
      <c r="W777" s="103" t="s">
        <v>310</v>
      </c>
    </row>
    <row r="778" spans="1:23" x14ac:dyDescent="0.45">
      <c r="A778" s="103">
        <f t="shared" si="49"/>
        <v>777</v>
      </c>
      <c r="B778" s="103" t="s">
        <v>5777</v>
      </c>
      <c r="C778" s="103" t="s">
        <v>6394</v>
      </c>
      <c r="D778" s="103"/>
      <c r="E778" s="103" t="s">
        <v>100</v>
      </c>
      <c r="F778" s="103" t="s">
        <v>77</v>
      </c>
      <c r="G778" s="103" t="s">
        <v>74</v>
      </c>
      <c r="H778" s="103" t="s">
        <v>6395</v>
      </c>
      <c r="I778" s="103" t="s">
        <v>143</v>
      </c>
      <c r="J778" s="103" t="s">
        <v>122</v>
      </c>
      <c r="K778" s="103" t="s">
        <v>189</v>
      </c>
      <c r="L778" s="103" t="s">
        <v>6390</v>
      </c>
      <c r="M778" s="103"/>
      <c r="N778" s="103" t="s">
        <v>5777</v>
      </c>
      <c r="O778" s="103" t="s">
        <v>5812</v>
      </c>
      <c r="P778" s="103" t="s">
        <v>6094</v>
      </c>
      <c r="Q778" s="103"/>
      <c r="R778" s="103"/>
      <c r="S778" s="103" t="s">
        <v>6094</v>
      </c>
      <c r="T778" s="103" t="s">
        <v>6396</v>
      </c>
      <c r="U778" s="103">
        <v>8.5</v>
      </c>
      <c r="V778" s="103" t="s">
        <v>65</v>
      </c>
      <c r="W778" s="103" t="s">
        <v>310</v>
      </c>
    </row>
    <row r="779" spans="1:23" x14ac:dyDescent="0.45">
      <c r="A779" s="103">
        <f t="shared" si="49"/>
        <v>778</v>
      </c>
      <c r="B779" s="103" t="s">
        <v>5777</v>
      </c>
      <c r="C779" s="103" t="s">
        <v>6394</v>
      </c>
      <c r="D779" s="103"/>
      <c r="E779" s="103" t="s">
        <v>100</v>
      </c>
      <c r="F779" s="103" t="s">
        <v>77</v>
      </c>
      <c r="G779" s="103" t="s">
        <v>74</v>
      </c>
      <c r="H779" s="103" t="s">
        <v>6395</v>
      </c>
      <c r="I779" s="103"/>
      <c r="J779" s="103" t="s">
        <v>122</v>
      </c>
      <c r="K779" s="103" t="s">
        <v>189</v>
      </c>
      <c r="L779" s="103" t="s">
        <v>6391</v>
      </c>
      <c r="M779" s="103"/>
      <c r="N779" s="103" t="s">
        <v>5777</v>
      </c>
      <c r="O779" s="103" t="s">
        <v>5581</v>
      </c>
      <c r="P779" s="103" t="s">
        <v>6094</v>
      </c>
      <c r="Q779" s="103"/>
      <c r="R779" s="103"/>
      <c r="S779" s="103" t="s">
        <v>6094</v>
      </c>
      <c r="T779" s="103" t="s">
        <v>6396</v>
      </c>
      <c r="U779" s="103">
        <v>8.5</v>
      </c>
      <c r="V779" s="103" t="s">
        <v>65</v>
      </c>
      <c r="W779" s="103" t="s">
        <v>310</v>
      </c>
    </row>
    <row r="780" spans="1:23" x14ac:dyDescent="0.45">
      <c r="A780" s="103">
        <f t="shared" si="49"/>
        <v>779</v>
      </c>
      <c r="B780" s="103" t="s">
        <v>5777</v>
      </c>
      <c r="C780" s="103" t="s">
        <v>6394</v>
      </c>
      <c r="D780" s="103"/>
      <c r="E780" s="103" t="s">
        <v>100</v>
      </c>
      <c r="F780" s="103" t="s">
        <v>77</v>
      </c>
      <c r="G780" s="103" t="s">
        <v>74</v>
      </c>
      <c r="H780" s="103" t="s">
        <v>6395</v>
      </c>
      <c r="I780" s="103" t="s">
        <v>143</v>
      </c>
      <c r="J780" s="103" t="s">
        <v>122</v>
      </c>
      <c r="K780" s="103" t="s">
        <v>189</v>
      </c>
      <c r="L780" s="103" t="s">
        <v>6392</v>
      </c>
      <c r="M780" s="103"/>
      <c r="N780" s="103" t="s">
        <v>5777</v>
      </c>
      <c r="O780" s="103" t="s">
        <v>5813</v>
      </c>
      <c r="P780" s="103" t="s">
        <v>6094</v>
      </c>
      <c r="Q780" s="103"/>
      <c r="R780" s="103"/>
      <c r="S780" s="103" t="s">
        <v>6094</v>
      </c>
      <c r="T780" s="103" t="s">
        <v>6396</v>
      </c>
      <c r="U780" s="103">
        <v>8.5</v>
      </c>
      <c r="V780" s="103" t="s">
        <v>65</v>
      </c>
      <c r="W780" s="103" t="s">
        <v>310</v>
      </c>
    </row>
    <row r="781" spans="1:23" x14ac:dyDescent="0.45">
      <c r="A781" s="103">
        <f t="shared" si="49"/>
        <v>780</v>
      </c>
      <c r="B781" s="103" t="s">
        <v>5777</v>
      </c>
      <c r="C781" s="103" t="s">
        <v>6394</v>
      </c>
      <c r="D781" s="103"/>
      <c r="E781" s="103" t="s">
        <v>100</v>
      </c>
      <c r="F781" s="103" t="s">
        <v>77</v>
      </c>
      <c r="G781" s="103" t="s">
        <v>74</v>
      </c>
      <c r="H781" s="103" t="s">
        <v>6395</v>
      </c>
      <c r="I781" s="103" t="s">
        <v>143</v>
      </c>
      <c r="J781" s="103" t="s">
        <v>122</v>
      </c>
      <c r="K781" s="103" t="s">
        <v>189</v>
      </c>
      <c r="L781" s="103" t="s">
        <v>6393</v>
      </c>
      <c r="M781" s="103"/>
      <c r="N781" s="103"/>
      <c r="O781" s="103" t="s">
        <v>5814</v>
      </c>
      <c r="P781" s="103" t="s">
        <v>6094</v>
      </c>
      <c r="Q781" s="103"/>
      <c r="R781" s="103"/>
      <c r="S781" s="103" t="s">
        <v>6094</v>
      </c>
      <c r="T781" s="103" t="s">
        <v>6396</v>
      </c>
      <c r="U781" s="103">
        <v>8.5</v>
      </c>
      <c r="V781" s="103" t="s">
        <v>65</v>
      </c>
      <c r="W781" s="103" t="s">
        <v>310</v>
      </c>
    </row>
    <row r="782" spans="1:23" x14ac:dyDescent="0.45">
      <c r="A782" s="103">
        <f t="shared" si="49"/>
        <v>781</v>
      </c>
      <c r="B782" s="103" t="s">
        <v>5777</v>
      </c>
      <c r="C782" s="103" t="s">
        <v>6394</v>
      </c>
      <c r="D782" s="103"/>
      <c r="E782" s="103" t="s">
        <v>100</v>
      </c>
      <c r="F782" s="103" t="s">
        <v>77</v>
      </c>
      <c r="G782" s="103" t="s">
        <v>74</v>
      </c>
      <c r="H782" s="103" t="s">
        <v>6395</v>
      </c>
      <c r="I782" s="103" t="s">
        <v>143</v>
      </c>
      <c r="J782" s="103" t="s">
        <v>5608</v>
      </c>
      <c r="K782" s="103" t="s">
        <v>6387</v>
      </c>
      <c r="L782" s="103"/>
      <c r="M782" s="103"/>
      <c r="N782" s="103" t="s">
        <v>5777</v>
      </c>
      <c r="O782" s="103" t="s">
        <v>5819</v>
      </c>
      <c r="P782" s="103" t="s">
        <v>5805</v>
      </c>
      <c r="Q782" s="103"/>
      <c r="R782" s="103"/>
      <c r="S782" s="103" t="s">
        <v>5804</v>
      </c>
      <c r="T782" s="103" t="s">
        <v>6396</v>
      </c>
      <c r="U782" s="103">
        <v>8.5</v>
      </c>
      <c r="V782" s="103" t="s">
        <v>65</v>
      </c>
      <c r="W782" s="103" t="s">
        <v>310</v>
      </c>
    </row>
    <row r="783" spans="1:23" x14ac:dyDescent="0.45">
      <c r="A783" s="103">
        <f t="shared" ref="A783:A788" si="50">ROW()-1</f>
        <v>782</v>
      </c>
      <c r="B783" s="103" t="s">
        <v>5777</v>
      </c>
      <c r="C783" s="103" t="s">
        <v>5782</v>
      </c>
      <c r="D783" s="103"/>
      <c r="E783" s="103" t="s">
        <v>100</v>
      </c>
      <c r="F783" s="103" t="s">
        <v>75</v>
      </c>
      <c r="G783" s="103" t="s">
        <v>88</v>
      </c>
      <c r="H783" s="103" t="s">
        <v>6034</v>
      </c>
      <c r="I783" s="103" t="s">
        <v>143</v>
      </c>
      <c r="J783" s="103" t="s">
        <v>122</v>
      </c>
      <c r="K783" s="103" t="s">
        <v>5788</v>
      </c>
      <c r="L783" s="103" t="s">
        <v>6401</v>
      </c>
      <c r="M783" s="103"/>
      <c r="N783" s="103" t="s">
        <v>5777</v>
      </c>
      <c r="O783" s="103" t="s">
        <v>47</v>
      </c>
      <c r="P783" s="103">
        <v>15</v>
      </c>
      <c r="Q783" s="103"/>
      <c r="R783" s="103"/>
      <c r="S783" s="103">
        <v>15</v>
      </c>
      <c r="T783" s="103">
        <v>482437</v>
      </c>
      <c r="U783" s="103">
        <v>8.5</v>
      </c>
      <c r="V783" s="103" t="s">
        <v>65</v>
      </c>
      <c r="W783" s="103" t="s">
        <v>310</v>
      </c>
    </row>
    <row r="784" spans="1:23" x14ac:dyDescent="0.45">
      <c r="A784" s="103">
        <f t="shared" si="50"/>
        <v>783</v>
      </c>
      <c r="B784" s="103" t="s">
        <v>5777</v>
      </c>
      <c r="C784" s="103" t="s">
        <v>5782</v>
      </c>
      <c r="D784" s="103"/>
      <c r="E784" s="103" t="s">
        <v>100</v>
      </c>
      <c r="F784" s="103" t="s">
        <v>75</v>
      </c>
      <c r="G784" s="103" t="s">
        <v>88</v>
      </c>
      <c r="H784" s="103" t="s">
        <v>6034</v>
      </c>
      <c r="I784" s="103" t="s">
        <v>143</v>
      </c>
      <c r="J784" s="103" t="s">
        <v>122</v>
      </c>
      <c r="K784" s="103" t="s">
        <v>5788</v>
      </c>
      <c r="L784" s="103" t="s">
        <v>6402</v>
      </c>
      <c r="M784" s="103"/>
      <c r="N784" s="103" t="s">
        <v>5777</v>
      </c>
      <c r="O784" s="103" t="s">
        <v>5580</v>
      </c>
      <c r="P784" s="103">
        <v>15</v>
      </c>
      <c r="Q784" s="103"/>
      <c r="R784" s="103"/>
      <c r="S784" s="103">
        <v>15</v>
      </c>
      <c r="T784" s="103">
        <v>482437</v>
      </c>
      <c r="U784" s="103">
        <v>8.5</v>
      </c>
      <c r="V784" s="103" t="s">
        <v>65</v>
      </c>
      <c r="W784" s="103" t="s">
        <v>310</v>
      </c>
    </row>
    <row r="785" spans="1:23" x14ac:dyDescent="0.45">
      <c r="A785" s="103">
        <f t="shared" si="50"/>
        <v>784</v>
      </c>
      <c r="B785" s="103" t="s">
        <v>5777</v>
      </c>
      <c r="C785" s="103" t="s">
        <v>5782</v>
      </c>
      <c r="D785" s="103"/>
      <c r="E785" s="103" t="s">
        <v>100</v>
      </c>
      <c r="F785" s="103" t="s">
        <v>75</v>
      </c>
      <c r="G785" s="103" t="s">
        <v>88</v>
      </c>
      <c r="H785" s="103" t="s">
        <v>6034</v>
      </c>
      <c r="I785" s="103" t="s">
        <v>143</v>
      </c>
      <c r="J785" s="103" t="s">
        <v>142</v>
      </c>
      <c r="K785" s="103" t="s">
        <v>6038</v>
      </c>
      <c r="L785" s="103"/>
      <c r="M785" s="103"/>
      <c r="N785" s="103" t="s">
        <v>5777</v>
      </c>
      <c r="O785" s="103" t="s">
        <v>5812</v>
      </c>
      <c r="P785" s="103" t="s">
        <v>6015</v>
      </c>
      <c r="Q785" s="103"/>
      <c r="R785" s="103"/>
      <c r="S785" s="103">
        <v>11</v>
      </c>
      <c r="T785" s="103">
        <v>482437</v>
      </c>
      <c r="U785" s="103">
        <v>8.1</v>
      </c>
      <c r="V785" s="103" t="s">
        <v>5823</v>
      </c>
      <c r="W785" s="103" t="s">
        <v>310</v>
      </c>
    </row>
    <row r="786" spans="1:23" x14ac:dyDescent="0.45">
      <c r="A786" s="103">
        <f t="shared" si="50"/>
        <v>785</v>
      </c>
      <c r="B786" s="103" t="s">
        <v>5777</v>
      </c>
      <c r="C786" s="103" t="s">
        <v>5782</v>
      </c>
      <c r="D786" s="103"/>
      <c r="E786" s="103" t="s">
        <v>100</v>
      </c>
      <c r="F786" s="103" t="s">
        <v>75</v>
      </c>
      <c r="G786" s="103" t="s">
        <v>88</v>
      </c>
      <c r="H786" s="103" t="s">
        <v>6034</v>
      </c>
      <c r="I786" s="103" t="s">
        <v>143</v>
      </c>
      <c r="J786" s="103" t="s">
        <v>142</v>
      </c>
      <c r="K786" s="103" t="s">
        <v>6038</v>
      </c>
      <c r="L786" s="103"/>
      <c r="M786" s="103"/>
      <c r="N786" s="103" t="s">
        <v>5777</v>
      </c>
      <c r="O786" s="103" t="s">
        <v>5581</v>
      </c>
      <c r="P786" s="103" t="s">
        <v>5904</v>
      </c>
      <c r="Q786" s="103"/>
      <c r="R786" s="103"/>
      <c r="S786" s="103" t="s">
        <v>5790</v>
      </c>
      <c r="T786" s="103">
        <v>482437</v>
      </c>
      <c r="U786" s="103" t="s">
        <v>5796</v>
      </c>
      <c r="V786" s="103" t="s">
        <v>5823</v>
      </c>
      <c r="W786" s="103" t="s">
        <v>310</v>
      </c>
    </row>
    <row r="787" spans="1:23" x14ac:dyDescent="0.45">
      <c r="A787" s="103">
        <f t="shared" si="50"/>
        <v>786</v>
      </c>
      <c r="B787" s="103" t="s">
        <v>5777</v>
      </c>
      <c r="C787" s="103" t="s">
        <v>5782</v>
      </c>
      <c r="D787" s="103"/>
      <c r="E787" s="103" t="s">
        <v>100</v>
      </c>
      <c r="F787" s="103" t="s">
        <v>75</v>
      </c>
      <c r="G787" s="103" t="s">
        <v>88</v>
      </c>
      <c r="H787" s="103" t="s">
        <v>6034</v>
      </c>
      <c r="I787" s="103" t="s">
        <v>143</v>
      </c>
      <c r="J787" s="103" t="s">
        <v>142</v>
      </c>
      <c r="K787" s="103" t="s">
        <v>144</v>
      </c>
      <c r="L787" s="103"/>
      <c r="M787" s="103"/>
      <c r="N787" s="103" t="s">
        <v>5777</v>
      </c>
      <c r="O787" s="103" t="s">
        <v>5813</v>
      </c>
      <c r="P787" s="103" t="s">
        <v>6011</v>
      </c>
      <c r="Q787" s="103"/>
      <c r="R787" s="103"/>
      <c r="S787" s="103" t="s">
        <v>6026</v>
      </c>
      <c r="T787" s="103">
        <v>482437</v>
      </c>
      <c r="U787" s="103" t="s">
        <v>5796</v>
      </c>
      <c r="V787" s="103" t="s">
        <v>5823</v>
      </c>
      <c r="W787" s="103" t="s">
        <v>310</v>
      </c>
    </row>
    <row r="788" spans="1:23" x14ac:dyDescent="0.45">
      <c r="A788" s="103">
        <f t="shared" si="50"/>
        <v>787</v>
      </c>
      <c r="B788" s="103" t="s">
        <v>5777</v>
      </c>
      <c r="C788" s="103" t="s">
        <v>5782</v>
      </c>
      <c r="D788" s="103"/>
      <c r="E788" s="103" t="s">
        <v>100</v>
      </c>
      <c r="F788" s="103" t="s">
        <v>75</v>
      </c>
      <c r="G788" s="103" t="s">
        <v>88</v>
      </c>
      <c r="H788" s="103" t="s">
        <v>6034</v>
      </c>
      <c r="I788" s="103" t="s">
        <v>143</v>
      </c>
      <c r="J788" s="103" t="s">
        <v>142</v>
      </c>
      <c r="K788" s="103" t="s">
        <v>144</v>
      </c>
      <c r="L788" s="103"/>
      <c r="M788" s="103"/>
      <c r="N788" s="103" t="s">
        <v>5777</v>
      </c>
      <c r="O788" s="103" t="s">
        <v>5814</v>
      </c>
      <c r="P788" s="103" t="s">
        <v>6037</v>
      </c>
      <c r="Q788" s="103"/>
      <c r="R788" s="103"/>
      <c r="S788" s="103" t="s">
        <v>5802</v>
      </c>
      <c r="T788" s="103">
        <v>482437</v>
      </c>
      <c r="U788" s="103">
        <v>8</v>
      </c>
      <c r="V788" s="103" t="s">
        <v>5823</v>
      </c>
      <c r="W788" s="103" t="s">
        <v>310</v>
      </c>
    </row>
    <row r="789" spans="1:23" x14ac:dyDescent="0.45">
      <c r="A789" s="103">
        <f t="shared" ref="A789:A810" si="51">ROW()-1</f>
        <v>788</v>
      </c>
      <c r="B789" s="103" t="s">
        <v>6403</v>
      </c>
      <c r="C789" s="103" t="s">
        <v>1018</v>
      </c>
      <c r="D789" s="103" t="s">
        <v>330</v>
      </c>
      <c r="E789" s="103" t="s">
        <v>81</v>
      </c>
      <c r="F789" s="103" t="s">
        <v>75</v>
      </c>
      <c r="G789" s="103" t="s">
        <v>71</v>
      </c>
      <c r="H789" s="103" t="s">
        <v>6404</v>
      </c>
      <c r="I789" s="103" t="s">
        <v>173</v>
      </c>
      <c r="J789" s="103" t="s">
        <v>122</v>
      </c>
      <c r="K789" s="103" t="s">
        <v>186</v>
      </c>
      <c r="L789" s="103" t="s">
        <v>6409</v>
      </c>
      <c r="M789" s="103"/>
      <c r="N789" s="103" t="s">
        <v>6403</v>
      </c>
      <c r="O789" s="103" t="s">
        <v>5820</v>
      </c>
      <c r="P789" s="103">
        <v>16</v>
      </c>
      <c r="Q789" s="103"/>
      <c r="R789" s="103"/>
      <c r="S789" s="103">
        <v>16</v>
      </c>
      <c r="T789" s="103">
        <v>841419</v>
      </c>
      <c r="U789" s="103">
        <v>9</v>
      </c>
      <c r="V789" s="103" t="s">
        <v>65</v>
      </c>
      <c r="W789" s="103" t="s">
        <v>310</v>
      </c>
    </row>
    <row r="790" spans="1:23" x14ac:dyDescent="0.45">
      <c r="A790" s="103">
        <f t="shared" si="51"/>
        <v>789</v>
      </c>
      <c r="B790" s="103" t="s">
        <v>6403</v>
      </c>
      <c r="C790" s="103" t="s">
        <v>1018</v>
      </c>
      <c r="D790" s="103" t="s">
        <v>330</v>
      </c>
      <c r="E790" s="103" t="s">
        <v>81</v>
      </c>
      <c r="F790" s="103" t="s">
        <v>75</v>
      </c>
      <c r="G790" s="103" t="s">
        <v>71</v>
      </c>
      <c r="H790" s="103" t="s">
        <v>6404</v>
      </c>
      <c r="I790" s="103" t="s">
        <v>173</v>
      </c>
      <c r="J790" s="103" t="s">
        <v>122</v>
      </c>
      <c r="K790" s="103" t="s">
        <v>186</v>
      </c>
      <c r="L790" s="103" t="s">
        <v>6410</v>
      </c>
      <c r="M790" s="103"/>
      <c r="N790" s="103" t="s">
        <v>6403</v>
      </c>
      <c r="O790" s="103" t="s">
        <v>5821</v>
      </c>
      <c r="P790" s="103">
        <v>16</v>
      </c>
      <c r="Q790" s="103"/>
      <c r="R790" s="103"/>
      <c r="S790" s="103">
        <v>16</v>
      </c>
      <c r="T790" s="103">
        <v>841419</v>
      </c>
      <c r="U790" s="103">
        <v>9</v>
      </c>
      <c r="V790" s="103" t="s">
        <v>65</v>
      </c>
      <c r="W790" s="103" t="s">
        <v>310</v>
      </c>
    </row>
    <row r="791" spans="1:23" x14ac:dyDescent="0.45">
      <c r="A791" s="103">
        <f t="shared" si="51"/>
        <v>790</v>
      </c>
      <c r="B791" s="103" t="s">
        <v>6403</v>
      </c>
      <c r="C791" s="103" t="s">
        <v>1018</v>
      </c>
      <c r="D791" s="103" t="s">
        <v>330</v>
      </c>
      <c r="E791" s="103" t="s">
        <v>81</v>
      </c>
      <c r="F791" s="103" t="s">
        <v>75</v>
      </c>
      <c r="G791" s="103" t="s">
        <v>71</v>
      </c>
      <c r="H791" s="103" t="s">
        <v>6404</v>
      </c>
      <c r="I791" s="103" t="s">
        <v>173</v>
      </c>
      <c r="J791" s="103" t="s">
        <v>122</v>
      </c>
      <c r="K791" s="103" t="s">
        <v>186</v>
      </c>
      <c r="L791" s="103" t="s">
        <v>6411</v>
      </c>
      <c r="M791" s="103"/>
      <c r="N791" s="103" t="s">
        <v>6403</v>
      </c>
      <c r="O791" s="103" t="s">
        <v>5859</v>
      </c>
      <c r="P791" s="103">
        <v>16</v>
      </c>
      <c r="Q791" s="103"/>
      <c r="R791" s="103"/>
      <c r="S791" s="103">
        <v>16</v>
      </c>
      <c r="T791" s="103">
        <v>841419</v>
      </c>
      <c r="U791" s="103">
        <v>9</v>
      </c>
      <c r="V791" s="103" t="s">
        <v>65</v>
      </c>
      <c r="W791" s="103" t="s">
        <v>310</v>
      </c>
    </row>
    <row r="792" spans="1:23" x14ac:dyDescent="0.45">
      <c r="A792" s="103">
        <f t="shared" si="51"/>
        <v>791</v>
      </c>
      <c r="B792" s="103" t="s">
        <v>6403</v>
      </c>
      <c r="C792" s="103" t="s">
        <v>1018</v>
      </c>
      <c r="D792" s="103" t="s">
        <v>330</v>
      </c>
      <c r="E792" s="103" t="s">
        <v>81</v>
      </c>
      <c r="F792" s="103" t="s">
        <v>75</v>
      </c>
      <c r="G792" s="103" t="s">
        <v>71</v>
      </c>
      <c r="H792" s="103" t="s">
        <v>6404</v>
      </c>
      <c r="I792" s="103" t="s">
        <v>173</v>
      </c>
      <c r="J792" s="103" t="s">
        <v>122</v>
      </c>
      <c r="K792" s="103" t="s">
        <v>186</v>
      </c>
      <c r="L792" s="103" t="s">
        <v>6412</v>
      </c>
      <c r="M792" s="103"/>
      <c r="N792" s="103" t="s">
        <v>6403</v>
      </c>
      <c r="O792" s="103" t="s">
        <v>5860</v>
      </c>
      <c r="P792" s="103">
        <v>16</v>
      </c>
      <c r="Q792" s="103"/>
      <c r="R792" s="103"/>
      <c r="S792" s="103">
        <v>16</v>
      </c>
      <c r="T792" s="103">
        <v>841419</v>
      </c>
      <c r="U792" s="103">
        <v>9</v>
      </c>
      <c r="V792" s="103" t="s">
        <v>65</v>
      </c>
      <c r="W792" s="103" t="s">
        <v>310</v>
      </c>
    </row>
    <row r="793" spans="1:23" x14ac:dyDescent="0.45">
      <c r="A793" s="103">
        <f t="shared" si="51"/>
        <v>792</v>
      </c>
      <c r="B793" s="103" t="s">
        <v>6414</v>
      </c>
      <c r="C793" s="103" t="s">
        <v>606</v>
      </c>
      <c r="D793" s="103" t="s">
        <v>330</v>
      </c>
      <c r="E793" s="103" t="s">
        <v>73</v>
      </c>
      <c r="F793" s="103" t="s">
        <v>72</v>
      </c>
      <c r="G793" s="103" t="s">
        <v>71</v>
      </c>
      <c r="H793" s="103" t="s">
        <v>6415</v>
      </c>
      <c r="I793" s="103" t="s">
        <v>278</v>
      </c>
      <c r="J793" s="103" t="s">
        <v>122</v>
      </c>
      <c r="K793" s="103" t="s">
        <v>186</v>
      </c>
      <c r="L793" s="103" t="s">
        <v>6418</v>
      </c>
      <c r="M793" s="103"/>
      <c r="N793" s="103" t="s">
        <v>6414</v>
      </c>
      <c r="O793" s="103" t="s">
        <v>5812</v>
      </c>
      <c r="P793" s="103">
        <v>13</v>
      </c>
      <c r="Q793" s="103"/>
      <c r="R793" s="103"/>
      <c r="S793" s="103">
        <v>13</v>
      </c>
      <c r="T793" s="103">
        <v>320453</v>
      </c>
      <c r="U793" s="103">
        <v>7.5</v>
      </c>
      <c r="V793" s="103" t="s">
        <v>65</v>
      </c>
      <c r="W793" s="103" t="s">
        <v>310</v>
      </c>
    </row>
    <row r="794" spans="1:23" x14ac:dyDescent="0.45">
      <c r="A794" s="103">
        <f t="shared" si="51"/>
        <v>793</v>
      </c>
      <c r="B794" s="103" t="s">
        <v>6414</v>
      </c>
      <c r="C794" s="103" t="s">
        <v>606</v>
      </c>
      <c r="D794" s="103" t="s">
        <v>330</v>
      </c>
      <c r="E794" s="103" t="s">
        <v>73</v>
      </c>
      <c r="F794" s="103" t="s">
        <v>72</v>
      </c>
      <c r="G794" s="103" t="s">
        <v>71</v>
      </c>
      <c r="H794" s="103" t="s">
        <v>6415</v>
      </c>
      <c r="I794" s="103"/>
      <c r="J794" s="103" t="s">
        <v>122</v>
      </c>
      <c r="K794" s="103" t="s">
        <v>186</v>
      </c>
      <c r="L794" s="103" t="s">
        <v>6419</v>
      </c>
      <c r="M794" s="103"/>
      <c r="N794" s="103" t="s">
        <v>6414</v>
      </c>
      <c r="O794" s="103" t="s">
        <v>5581</v>
      </c>
      <c r="P794" s="103">
        <v>13</v>
      </c>
      <c r="Q794" s="103"/>
      <c r="R794" s="103"/>
      <c r="S794" s="103">
        <v>13</v>
      </c>
      <c r="T794" s="103">
        <v>320453</v>
      </c>
      <c r="U794" s="103">
        <v>7.5</v>
      </c>
      <c r="V794" s="103" t="s">
        <v>65</v>
      </c>
      <c r="W794" s="103" t="s">
        <v>310</v>
      </c>
    </row>
    <row r="795" spans="1:23" x14ac:dyDescent="0.45">
      <c r="A795" s="103">
        <f t="shared" si="51"/>
        <v>794</v>
      </c>
      <c r="B795" s="103" t="s">
        <v>6414</v>
      </c>
      <c r="C795" s="103" t="s">
        <v>606</v>
      </c>
      <c r="D795" s="103" t="s">
        <v>330</v>
      </c>
      <c r="E795" s="103" t="s">
        <v>73</v>
      </c>
      <c r="F795" s="103" t="s">
        <v>72</v>
      </c>
      <c r="G795" s="103" t="s">
        <v>71</v>
      </c>
      <c r="H795" s="103" t="s">
        <v>6415</v>
      </c>
      <c r="I795" s="103" t="s">
        <v>278</v>
      </c>
      <c r="J795" s="103" t="s">
        <v>122</v>
      </c>
      <c r="K795" s="103" t="s">
        <v>186</v>
      </c>
      <c r="L795" s="103" t="s">
        <v>6420</v>
      </c>
      <c r="M795" s="103"/>
      <c r="N795" s="103" t="s">
        <v>6414</v>
      </c>
      <c r="O795" s="103" t="s">
        <v>5813</v>
      </c>
      <c r="P795" s="103">
        <v>13</v>
      </c>
      <c r="Q795" s="103"/>
      <c r="R795" s="103"/>
      <c r="S795" s="103">
        <v>13</v>
      </c>
      <c r="T795" s="103">
        <v>320453</v>
      </c>
      <c r="U795" s="103">
        <v>7.5</v>
      </c>
      <c r="V795" s="103" t="s">
        <v>65</v>
      </c>
      <c r="W795" s="103" t="s">
        <v>310</v>
      </c>
    </row>
    <row r="796" spans="1:23" x14ac:dyDescent="0.45">
      <c r="A796" s="103">
        <f t="shared" si="51"/>
        <v>795</v>
      </c>
      <c r="B796" s="103" t="s">
        <v>6414</v>
      </c>
      <c r="C796" s="103" t="s">
        <v>606</v>
      </c>
      <c r="D796" s="103" t="s">
        <v>330</v>
      </c>
      <c r="E796" s="103" t="s">
        <v>73</v>
      </c>
      <c r="F796" s="103" t="s">
        <v>72</v>
      </c>
      <c r="G796" s="103" t="s">
        <v>71</v>
      </c>
      <c r="H796" s="103" t="s">
        <v>6415</v>
      </c>
      <c r="I796" s="103" t="s">
        <v>278</v>
      </c>
      <c r="J796" s="103" t="s">
        <v>122</v>
      </c>
      <c r="K796" s="103" t="s">
        <v>186</v>
      </c>
      <c r="L796" s="103" t="s">
        <v>6421</v>
      </c>
      <c r="M796" s="103"/>
      <c r="N796" s="103"/>
      <c r="O796" s="103" t="s">
        <v>5814</v>
      </c>
      <c r="P796" s="103">
        <v>13</v>
      </c>
      <c r="Q796" s="103"/>
      <c r="R796" s="103"/>
      <c r="S796" s="103">
        <v>13</v>
      </c>
      <c r="T796" s="103">
        <v>320453</v>
      </c>
      <c r="U796" s="103">
        <v>7.5</v>
      </c>
      <c r="V796" s="103" t="s">
        <v>65</v>
      </c>
      <c r="W796" s="103" t="s">
        <v>310</v>
      </c>
    </row>
    <row r="797" spans="1:23" x14ac:dyDescent="0.45">
      <c r="A797" s="103">
        <f t="shared" si="51"/>
        <v>796</v>
      </c>
      <c r="B797" s="103" t="s">
        <v>6414</v>
      </c>
      <c r="C797" s="103" t="s">
        <v>606</v>
      </c>
      <c r="D797" s="103" t="s">
        <v>330</v>
      </c>
      <c r="E797" s="103" t="s">
        <v>73</v>
      </c>
      <c r="F797" s="103" t="s">
        <v>72</v>
      </c>
      <c r="G797" s="103" t="s">
        <v>71</v>
      </c>
      <c r="H797" s="103" t="s">
        <v>6415</v>
      </c>
      <c r="I797" s="103" t="s">
        <v>278</v>
      </c>
      <c r="J797" s="103" t="s">
        <v>164</v>
      </c>
      <c r="K797" s="103" t="s">
        <v>6413</v>
      </c>
      <c r="L797" s="103"/>
      <c r="M797" s="103"/>
      <c r="N797" s="103" t="s">
        <v>6414</v>
      </c>
      <c r="O797" s="103" t="s">
        <v>47</v>
      </c>
      <c r="P797" s="103" t="s">
        <v>5789</v>
      </c>
      <c r="Q797" s="103"/>
      <c r="R797" s="103"/>
      <c r="S797" s="103">
        <v>9</v>
      </c>
      <c r="T797" s="103">
        <v>320453</v>
      </c>
      <c r="U797" s="103">
        <v>6.5</v>
      </c>
      <c r="V797" s="103" t="s">
        <v>5823</v>
      </c>
      <c r="W797" s="103" t="s">
        <v>310</v>
      </c>
    </row>
    <row r="798" spans="1:23" x14ac:dyDescent="0.45">
      <c r="A798" s="103">
        <f t="shared" si="51"/>
        <v>797</v>
      </c>
      <c r="B798" s="103" t="s">
        <v>6414</v>
      </c>
      <c r="C798" s="103" t="s">
        <v>606</v>
      </c>
      <c r="D798" s="103" t="s">
        <v>330</v>
      </c>
      <c r="E798" s="103" t="s">
        <v>73</v>
      </c>
      <c r="F798" s="103" t="s">
        <v>72</v>
      </c>
      <c r="G798" s="103" t="s">
        <v>71</v>
      </c>
      <c r="H798" s="103" t="s">
        <v>6415</v>
      </c>
      <c r="I798" s="103" t="s">
        <v>278</v>
      </c>
      <c r="J798" s="103" t="s">
        <v>122</v>
      </c>
      <c r="K798" s="103" t="s">
        <v>186</v>
      </c>
      <c r="L798" s="103"/>
      <c r="M798" s="103"/>
      <c r="N798" s="103" t="s">
        <v>6414</v>
      </c>
      <c r="O798" s="103" t="s">
        <v>5580</v>
      </c>
      <c r="P798" s="103" t="s">
        <v>5857</v>
      </c>
      <c r="Q798" s="103"/>
      <c r="R798" s="103"/>
      <c r="S798" s="103" t="s">
        <v>5850</v>
      </c>
      <c r="T798" s="103">
        <v>320453</v>
      </c>
      <c r="U798" s="103">
        <v>6.4</v>
      </c>
      <c r="V798" s="103" t="s">
        <v>5823</v>
      </c>
      <c r="W798" s="103" t="s">
        <v>310</v>
      </c>
    </row>
    <row r="799" spans="1:23" x14ac:dyDescent="0.45">
      <c r="A799" s="103">
        <f t="shared" si="51"/>
        <v>798</v>
      </c>
      <c r="B799" s="103" t="s">
        <v>6414</v>
      </c>
      <c r="C799" s="103" t="s">
        <v>6423</v>
      </c>
      <c r="D799" s="103"/>
      <c r="E799" s="103" t="s">
        <v>73</v>
      </c>
      <c r="F799" s="103" t="s">
        <v>89</v>
      </c>
      <c r="G799" s="103" t="s">
        <v>74</v>
      </c>
      <c r="H799" s="103" t="s">
        <v>6424</v>
      </c>
      <c r="I799" s="103" t="s">
        <v>123</v>
      </c>
      <c r="J799" s="103" t="s">
        <v>142</v>
      </c>
      <c r="K799" s="103" t="s">
        <v>5801</v>
      </c>
      <c r="L799" s="103">
        <v>1941302940</v>
      </c>
      <c r="M799" s="103"/>
      <c r="N799" s="103" t="s">
        <v>6414</v>
      </c>
      <c r="O799" s="103" t="s">
        <v>47</v>
      </c>
      <c r="P799" s="103">
        <v>15</v>
      </c>
      <c r="Q799" s="103"/>
      <c r="R799" s="103"/>
      <c r="S799" s="103">
        <v>15</v>
      </c>
      <c r="T799" s="103">
        <v>560277</v>
      </c>
      <c r="U799" s="103">
        <v>9</v>
      </c>
      <c r="V799" s="103" t="s">
        <v>65</v>
      </c>
      <c r="W799" s="103" t="s">
        <v>310</v>
      </c>
    </row>
    <row r="800" spans="1:23" x14ac:dyDescent="0.45">
      <c r="A800" s="103">
        <f t="shared" si="51"/>
        <v>799</v>
      </c>
      <c r="B800" s="103" t="s">
        <v>6414</v>
      </c>
      <c r="C800" s="103" t="s">
        <v>6423</v>
      </c>
      <c r="D800" s="103"/>
      <c r="E800" s="103" t="s">
        <v>73</v>
      </c>
      <c r="F800" s="103" t="s">
        <v>89</v>
      </c>
      <c r="G800" s="103" t="s">
        <v>74</v>
      </c>
      <c r="H800" s="103" t="s">
        <v>6424</v>
      </c>
      <c r="I800" s="103" t="s">
        <v>123</v>
      </c>
      <c r="J800" s="103" t="s">
        <v>142</v>
      </c>
      <c r="K800" s="103" t="s">
        <v>5801</v>
      </c>
      <c r="L800" s="103">
        <v>3001664343</v>
      </c>
      <c r="M800" s="103"/>
      <c r="N800" s="103" t="s">
        <v>6414</v>
      </c>
      <c r="O800" s="103" t="s">
        <v>5580</v>
      </c>
      <c r="P800" s="103">
        <v>15</v>
      </c>
      <c r="Q800" s="103"/>
      <c r="R800" s="103"/>
      <c r="S800" s="103">
        <v>15</v>
      </c>
      <c r="T800" s="103">
        <v>560277</v>
      </c>
      <c r="U800" s="103">
        <v>9</v>
      </c>
      <c r="V800" s="103" t="s">
        <v>65</v>
      </c>
      <c r="W800" s="103" t="s">
        <v>310</v>
      </c>
    </row>
    <row r="801" spans="1:23" x14ac:dyDescent="0.45">
      <c r="A801" s="103">
        <f t="shared" si="51"/>
        <v>800</v>
      </c>
      <c r="B801" s="103" t="s">
        <v>6414</v>
      </c>
      <c r="C801" s="103" t="s">
        <v>6423</v>
      </c>
      <c r="D801" s="103"/>
      <c r="E801" s="103" t="s">
        <v>73</v>
      </c>
      <c r="F801" s="103" t="s">
        <v>89</v>
      </c>
      <c r="G801" s="103" t="s">
        <v>74</v>
      </c>
      <c r="H801" s="103" t="s">
        <v>6424</v>
      </c>
      <c r="I801" s="103" t="s">
        <v>123</v>
      </c>
      <c r="J801" s="103" t="s">
        <v>142</v>
      </c>
      <c r="K801" s="103" t="s">
        <v>5834</v>
      </c>
      <c r="L801" s="103">
        <v>1003210134</v>
      </c>
      <c r="M801" s="103"/>
      <c r="N801" s="103" t="s">
        <v>6414</v>
      </c>
      <c r="O801" s="103" t="s">
        <v>5819</v>
      </c>
      <c r="P801" s="103">
        <v>18</v>
      </c>
      <c r="Q801" s="103"/>
      <c r="R801" s="103"/>
      <c r="S801" s="103">
        <v>18</v>
      </c>
      <c r="T801" s="103">
        <v>560277</v>
      </c>
      <c r="U801" s="103">
        <v>9</v>
      </c>
      <c r="V801" s="103" t="s">
        <v>65</v>
      </c>
      <c r="W801" s="103" t="s">
        <v>310</v>
      </c>
    </row>
    <row r="802" spans="1:23" x14ac:dyDescent="0.45">
      <c r="A802" s="103">
        <f t="shared" si="51"/>
        <v>801</v>
      </c>
      <c r="B802" s="103" t="s">
        <v>6414</v>
      </c>
      <c r="C802" s="103" t="s">
        <v>6423</v>
      </c>
      <c r="D802" s="103"/>
      <c r="E802" s="103" t="s">
        <v>73</v>
      </c>
      <c r="F802" s="103" t="s">
        <v>89</v>
      </c>
      <c r="G802" s="103" t="s">
        <v>74</v>
      </c>
      <c r="H802" s="103" t="s">
        <v>6424</v>
      </c>
      <c r="I802" s="103" t="s">
        <v>123</v>
      </c>
      <c r="J802" s="103" t="s">
        <v>142</v>
      </c>
      <c r="K802" s="103" t="s">
        <v>5834</v>
      </c>
      <c r="L802" s="103">
        <v>1003224858</v>
      </c>
      <c r="M802" s="103"/>
      <c r="N802" s="103" t="s">
        <v>6414</v>
      </c>
      <c r="O802" s="103" t="s">
        <v>5820</v>
      </c>
      <c r="P802" s="103">
        <v>18</v>
      </c>
      <c r="Q802" s="103"/>
      <c r="R802" s="103"/>
      <c r="S802" s="103">
        <v>18</v>
      </c>
      <c r="T802" s="103">
        <v>560277</v>
      </c>
      <c r="U802" s="103">
        <v>9</v>
      </c>
      <c r="V802" s="103" t="s">
        <v>65</v>
      </c>
      <c r="W802" s="103" t="s">
        <v>310</v>
      </c>
    </row>
    <row r="803" spans="1:23" x14ac:dyDescent="0.45">
      <c r="A803" s="103">
        <f t="shared" si="51"/>
        <v>802</v>
      </c>
      <c r="B803" s="103" t="s">
        <v>6414</v>
      </c>
      <c r="C803" s="103" t="s">
        <v>6423</v>
      </c>
      <c r="D803" s="103"/>
      <c r="E803" s="103" t="s">
        <v>73</v>
      </c>
      <c r="F803" s="103" t="s">
        <v>89</v>
      </c>
      <c r="G803" s="103" t="s">
        <v>74</v>
      </c>
      <c r="H803" s="103" t="s">
        <v>6424</v>
      </c>
      <c r="I803" s="103" t="s">
        <v>123</v>
      </c>
      <c r="J803" s="103" t="s">
        <v>142</v>
      </c>
      <c r="K803" s="103" t="s">
        <v>5834</v>
      </c>
      <c r="L803" s="103">
        <v>1003281653</v>
      </c>
      <c r="M803" s="103"/>
      <c r="N803" s="103" t="s">
        <v>6414</v>
      </c>
      <c r="O803" s="103" t="s">
        <v>5821</v>
      </c>
      <c r="P803" s="103">
        <v>18</v>
      </c>
      <c r="Q803" s="103"/>
      <c r="R803" s="103"/>
      <c r="S803" s="103">
        <v>18</v>
      </c>
      <c r="T803" s="103">
        <v>560277</v>
      </c>
      <c r="U803" s="103">
        <v>9</v>
      </c>
      <c r="V803" s="103" t="s">
        <v>65</v>
      </c>
      <c r="W803" s="103" t="s">
        <v>310</v>
      </c>
    </row>
    <row r="804" spans="1:23" x14ac:dyDescent="0.45">
      <c r="A804" s="103">
        <f t="shared" si="51"/>
        <v>803</v>
      </c>
      <c r="B804" s="103" t="s">
        <v>6414</v>
      </c>
      <c r="C804" s="103" t="s">
        <v>6423</v>
      </c>
      <c r="D804" s="103"/>
      <c r="E804" s="103" t="s">
        <v>73</v>
      </c>
      <c r="F804" s="103" t="s">
        <v>89</v>
      </c>
      <c r="G804" s="103" t="s">
        <v>74</v>
      </c>
      <c r="H804" s="103" t="s">
        <v>6424</v>
      </c>
      <c r="I804" s="103" t="s">
        <v>123</v>
      </c>
      <c r="J804" s="103" t="s">
        <v>142</v>
      </c>
      <c r="K804" s="103" t="s">
        <v>5834</v>
      </c>
      <c r="L804" s="103">
        <v>1003210162</v>
      </c>
      <c r="M804" s="103"/>
      <c r="N804" s="103" t="s">
        <v>6414</v>
      </c>
      <c r="O804" s="103" t="s">
        <v>5822</v>
      </c>
      <c r="P804" s="103">
        <v>18</v>
      </c>
      <c r="Q804" s="103"/>
      <c r="R804" s="103"/>
      <c r="S804" s="103">
        <v>18</v>
      </c>
      <c r="T804" s="103">
        <v>560277</v>
      </c>
      <c r="U804" s="103">
        <v>9</v>
      </c>
      <c r="V804" s="103" t="s">
        <v>65</v>
      </c>
      <c r="W804" s="103" t="s">
        <v>310</v>
      </c>
    </row>
    <row r="805" spans="1:23" x14ac:dyDescent="0.45">
      <c r="A805" s="103">
        <f t="shared" si="51"/>
        <v>804</v>
      </c>
      <c r="B805" s="103" t="s">
        <v>6414</v>
      </c>
      <c r="C805" s="103" t="s">
        <v>6423</v>
      </c>
      <c r="D805" s="103"/>
      <c r="E805" s="103" t="s">
        <v>73</v>
      </c>
      <c r="F805" s="103" t="s">
        <v>89</v>
      </c>
      <c r="G805" s="103" t="s">
        <v>74</v>
      </c>
      <c r="H805" s="103" t="s">
        <v>6424</v>
      </c>
      <c r="I805" s="103" t="s">
        <v>123</v>
      </c>
      <c r="J805" s="103" t="s">
        <v>115</v>
      </c>
      <c r="K805" s="103" t="s">
        <v>6429</v>
      </c>
      <c r="L805" s="103"/>
      <c r="M805" s="103"/>
      <c r="N805" s="103" t="s">
        <v>6414</v>
      </c>
      <c r="O805" s="103" t="s">
        <v>5581</v>
      </c>
      <c r="P805" s="103" t="s">
        <v>5943</v>
      </c>
      <c r="Q805" s="103"/>
      <c r="R805" s="103"/>
      <c r="S805" s="103" t="s">
        <v>5800</v>
      </c>
      <c r="T805" s="103">
        <v>560277</v>
      </c>
      <c r="U805" s="103">
        <v>8.5</v>
      </c>
      <c r="V805" s="103" t="s">
        <v>5823</v>
      </c>
      <c r="W805" s="103" t="s">
        <v>310</v>
      </c>
    </row>
    <row r="806" spans="1:23" x14ac:dyDescent="0.45">
      <c r="A806" s="103">
        <f t="shared" si="51"/>
        <v>805</v>
      </c>
      <c r="B806" s="103" t="s">
        <v>6414</v>
      </c>
      <c r="C806" s="103" t="s">
        <v>6423</v>
      </c>
      <c r="D806" s="103"/>
      <c r="E806" s="103" t="s">
        <v>73</v>
      </c>
      <c r="F806" s="103" t="s">
        <v>89</v>
      </c>
      <c r="G806" s="103" t="s">
        <v>74</v>
      </c>
      <c r="H806" s="103" t="s">
        <v>6424</v>
      </c>
      <c r="I806" s="103" t="s">
        <v>123</v>
      </c>
      <c r="J806" s="103" t="s">
        <v>115</v>
      </c>
      <c r="K806" s="103" t="s">
        <v>6429</v>
      </c>
      <c r="L806" s="103"/>
      <c r="M806" s="103"/>
      <c r="N806" s="103" t="s">
        <v>6414</v>
      </c>
      <c r="O806" s="103" t="s">
        <v>5813</v>
      </c>
      <c r="P806" s="103" t="s">
        <v>5795</v>
      </c>
      <c r="Q806" s="103"/>
      <c r="R806" s="103"/>
      <c r="S806" s="103" t="s">
        <v>5848</v>
      </c>
      <c r="T806" s="103">
        <v>560277</v>
      </c>
      <c r="U806" s="103">
        <v>8.8000000000000007</v>
      </c>
      <c r="V806" s="103" t="s">
        <v>5823</v>
      </c>
      <c r="W806" s="103" t="s">
        <v>310</v>
      </c>
    </row>
    <row r="807" spans="1:23" x14ac:dyDescent="0.45">
      <c r="A807" s="103">
        <f t="shared" si="51"/>
        <v>806</v>
      </c>
      <c r="B807" s="103" t="s">
        <v>6414</v>
      </c>
      <c r="C807" s="103" t="s">
        <v>6423</v>
      </c>
      <c r="D807" s="103"/>
      <c r="E807" s="103" t="s">
        <v>73</v>
      </c>
      <c r="F807" s="103" t="s">
        <v>89</v>
      </c>
      <c r="G807" s="103" t="s">
        <v>74</v>
      </c>
      <c r="H807" s="103" t="s">
        <v>6424</v>
      </c>
      <c r="I807" s="103" t="s">
        <v>123</v>
      </c>
      <c r="J807" s="103" t="s">
        <v>5608</v>
      </c>
      <c r="K807" s="103" t="s">
        <v>6430</v>
      </c>
      <c r="L807" s="103"/>
      <c r="M807" s="103"/>
      <c r="N807" s="103" t="s">
        <v>6414</v>
      </c>
      <c r="O807" s="103" t="s">
        <v>5815</v>
      </c>
      <c r="P807" s="103" t="s">
        <v>6261</v>
      </c>
      <c r="Q807" s="103"/>
      <c r="R807" s="103"/>
      <c r="S807" s="103">
        <v>12</v>
      </c>
      <c r="T807" s="103">
        <v>560277</v>
      </c>
      <c r="U807" s="103">
        <v>8.6</v>
      </c>
      <c r="V807" s="103" t="s">
        <v>5823</v>
      </c>
      <c r="W807" s="103" t="s">
        <v>310</v>
      </c>
    </row>
    <row r="808" spans="1:23" x14ac:dyDescent="0.45">
      <c r="A808" s="103">
        <f t="shared" si="51"/>
        <v>807</v>
      </c>
      <c r="B808" s="103" t="s">
        <v>6414</v>
      </c>
      <c r="C808" s="103" t="s">
        <v>6423</v>
      </c>
      <c r="D808" s="103"/>
      <c r="E808" s="103" t="s">
        <v>73</v>
      </c>
      <c r="F808" s="103" t="s">
        <v>89</v>
      </c>
      <c r="G808" s="103" t="s">
        <v>74</v>
      </c>
      <c r="H808" s="103" t="s">
        <v>6424</v>
      </c>
      <c r="I808" s="103" t="s">
        <v>123</v>
      </c>
      <c r="J808" s="103" t="s">
        <v>5608</v>
      </c>
      <c r="K808" s="103" t="s">
        <v>6430</v>
      </c>
      <c r="L808" s="103"/>
      <c r="M808" s="103"/>
      <c r="N808" s="103" t="s">
        <v>6414</v>
      </c>
      <c r="O808" s="103" t="s">
        <v>5816</v>
      </c>
      <c r="P808" s="103" t="s">
        <v>6041</v>
      </c>
      <c r="Q808" s="103"/>
      <c r="R808" s="103"/>
      <c r="S808" s="103" t="s">
        <v>5807</v>
      </c>
      <c r="T808" s="103">
        <v>560277</v>
      </c>
      <c r="U808" s="103" t="s">
        <v>5796</v>
      </c>
      <c r="V808" s="103" t="s">
        <v>5823</v>
      </c>
      <c r="W808" s="103" t="s">
        <v>310</v>
      </c>
    </row>
    <row r="809" spans="1:23" x14ac:dyDescent="0.45">
      <c r="A809" s="103">
        <f t="shared" si="51"/>
        <v>808</v>
      </c>
      <c r="B809" s="103" t="s">
        <v>6414</v>
      </c>
      <c r="C809" s="103" t="s">
        <v>6423</v>
      </c>
      <c r="D809" s="103"/>
      <c r="E809" s="103" t="s">
        <v>73</v>
      </c>
      <c r="F809" s="103" t="s">
        <v>89</v>
      </c>
      <c r="G809" s="103" t="s">
        <v>74</v>
      </c>
      <c r="H809" s="103" t="s">
        <v>6424</v>
      </c>
      <c r="I809" s="103" t="s">
        <v>123</v>
      </c>
      <c r="J809" s="103" t="s">
        <v>5608</v>
      </c>
      <c r="K809" s="103" t="s">
        <v>6430</v>
      </c>
      <c r="L809" s="103"/>
      <c r="M809" s="103"/>
      <c r="N809" s="103" t="s">
        <v>6414</v>
      </c>
      <c r="O809" s="103" t="s">
        <v>5817</v>
      </c>
      <c r="P809" s="103" t="s">
        <v>5986</v>
      </c>
      <c r="Q809" s="103"/>
      <c r="R809" s="103"/>
      <c r="S809" s="103" t="s">
        <v>6040</v>
      </c>
      <c r="T809" s="103">
        <v>560277</v>
      </c>
      <c r="U809" s="103" t="s">
        <v>5796</v>
      </c>
      <c r="V809" s="103" t="s">
        <v>5823</v>
      </c>
      <c r="W809" s="103" t="s">
        <v>310</v>
      </c>
    </row>
    <row r="810" spans="1:23" x14ac:dyDescent="0.45">
      <c r="A810" s="103">
        <f t="shared" si="51"/>
        <v>809</v>
      </c>
      <c r="B810" s="103" t="s">
        <v>6414</v>
      </c>
      <c r="C810" s="103" t="s">
        <v>6423</v>
      </c>
      <c r="D810" s="103"/>
      <c r="E810" s="103" t="s">
        <v>73</v>
      </c>
      <c r="F810" s="103" t="s">
        <v>89</v>
      </c>
      <c r="G810" s="103" t="s">
        <v>74</v>
      </c>
      <c r="H810" s="103" t="s">
        <v>6424</v>
      </c>
      <c r="I810" s="103" t="s">
        <v>123</v>
      </c>
      <c r="J810" s="103" t="s">
        <v>5608</v>
      </c>
      <c r="K810" s="103" t="s">
        <v>6430</v>
      </c>
      <c r="L810" s="103"/>
      <c r="M810" s="103"/>
      <c r="N810" s="103" t="s">
        <v>6414</v>
      </c>
      <c r="O810" s="103" t="s">
        <v>5815</v>
      </c>
      <c r="P810" s="103" t="s">
        <v>6057</v>
      </c>
      <c r="Q810" s="103"/>
      <c r="R810" s="103"/>
      <c r="S810" s="103" t="s">
        <v>5958</v>
      </c>
      <c r="T810" s="103">
        <v>560277</v>
      </c>
      <c r="U810" s="103">
        <v>8.1</v>
      </c>
      <c r="V810" s="103" t="s">
        <v>5823</v>
      </c>
      <c r="W810" s="103" t="s">
        <v>310</v>
      </c>
    </row>
  </sheetData>
  <sheetProtection password="9690" sheet="1" objects="1" scenarios="1"/>
  <phoneticPr fontId="1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BFB1BC-310B-475A-B60D-A2E2495FD6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Data</vt:lpstr>
      <vt:lpstr>Fiche de suivi</vt:lpstr>
      <vt:lpstr>Historique</vt:lpstr>
      <vt:lpstr>Tableau de suivi</vt:lpstr>
      <vt:lpstr>l_dim</vt:lpstr>
      <vt:lpstr>l_marque</vt:lpstr>
      <vt:lpstr>l_prof</vt:lpstr>
      <vt:lpstr>l_société</vt:lpstr>
      <vt:lpstr>p_dim</vt:lpstr>
      <vt:lpstr>p_marque</vt:lpstr>
      <vt:lpstr>p_prof</vt:lpstr>
      <vt:lpstr>p_société</vt:lpstr>
      <vt:lpstr>'Fiche de suivi'!Print_Area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Zakaria QADDI</dc:creator>
  <cp:lastModifiedBy>Zakaria QAADI</cp:lastModifiedBy>
  <cp:lastPrinted>2021-10-28T11:13:26Z</cp:lastPrinted>
  <dcterms:created xsi:type="dcterms:W3CDTF">2021-08-31T09:09:01Z</dcterms:created>
  <dcterms:modified xsi:type="dcterms:W3CDTF">2022-07-04T08:49:36Z</dcterms:modified>
</cp:coreProperties>
</file>